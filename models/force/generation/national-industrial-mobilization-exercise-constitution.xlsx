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d3f7a0ca7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9a0d514d534430"/>
    <x:sheet xmlns:r="http://schemas.openxmlformats.org/officeDocument/2006/relationships" name="Assumptions" sheetId="2" r:id="R5f0e936afe74446a"/>
    <x:sheet xmlns:r="http://schemas.openxmlformats.org/officeDocument/2006/relationships" name="Exercise Constitution" sheetId="3" r:id="Ree8b8b4b2f3f4ec3"/>
    <x:sheet xmlns:r="http://schemas.openxmlformats.org/officeDocument/2006/relationships" name="Family Register" sheetId="4" r:id="Rcbf783302ab9484f"/>
    <x:sheet xmlns:r="http://schemas.openxmlformats.org/officeDocument/2006/relationships" name="Scenarios" sheetId="5" r:id="R2ba0b1a5039641c2"/>
    <x:sheet xmlns:r="http://schemas.openxmlformats.org/officeDocument/2006/relationships" name="Scenario Results" sheetId="6" r:id="R17af253320dd44e4"/>
    <x:sheet xmlns:r="http://schemas.openxmlformats.org/officeDocument/2006/relationships" name="Stage Ledger" sheetId="7" r:id="Ra8bcfdb9cc704b76"/>
    <x:sheet xmlns:r="http://schemas.openxmlformats.org/officeDocument/2006/relationships" name="Industrial Sampling" sheetId="8" r:id="Rb32405e334964c3e"/>
    <x:sheet xmlns:r="http://schemas.openxmlformats.org/officeDocument/2006/relationships" name="Exercise Events" sheetId="9" r:id="R392fbbd6f37b47ae"/>
    <x:sheet xmlns:r="http://schemas.openxmlformats.org/officeDocument/2006/relationships" name="Inject Register" sheetId="10" r:id="R3919e96854a74278"/>
    <x:sheet xmlns:r="http://schemas.openxmlformats.org/officeDocument/2006/relationships" name="Evidence Package" sheetId="11" r:id="R281745bcea4d4608"/>
    <x:sheet xmlns:r="http://schemas.openxmlformats.org/officeDocument/2006/relationships" name="Authority Matrix" sheetId="12" r:id="Re1c3e71bbb824bb6"/>
    <x:sheet xmlns:r="http://schemas.openxmlformats.org/officeDocument/2006/relationships" name="Financial Control" sheetId="13" r:id="Re231a77a1f994af1"/>
    <x:sheet xmlns:r="http://schemas.openxmlformats.org/officeDocument/2006/relationships" name="After Action" sheetId="14" r:id="Rb2391fc4acfa4307"/>
    <x:sheet xmlns:r="http://schemas.openxmlformats.org/officeDocument/2006/relationships" name="Decision Gates" sheetId="15" r:id="R21af05379c164f1a"/>
    <x:sheet xmlns:r="http://schemas.openxmlformats.org/officeDocument/2006/relationships" name="Audit" sheetId="16" r:id="R1f36b8bb8bd94a83"/>
    <x:sheet xmlns:r="http://schemas.openxmlformats.org/officeDocument/2006/relationships" name="ReadMe" sheetId="17" r:id="Rfe19627beb60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 wrapText="1"/>
    </x:xf>
    <x:xf numFmtId="202" fontId="1" fillId="0" borderId="7" xfId="0" applyNumberFormat="1" applyFont="1" applyFill="1" applyBorder="1" applyAlignment="1">
      <x:alignment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202" fontId="1" fillId="0" borderId="9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491440d3941c3" /><Relationship Type="http://schemas.openxmlformats.org/officeDocument/2006/relationships/theme" Target="/xl/theme/theme1.xml" Id="R50c10855d58142ad" /><Relationship Type="http://schemas.openxmlformats.org/officeDocument/2006/relationships/sharedStrings" Target="/xl/sharedStrings.xml" Id="R2b1db9d95f714516" /><Relationship Type="http://schemas.openxmlformats.org/officeDocument/2006/relationships/worksheet" Target="/xl/worksheets/sheet1.xml" Id="Rbd9a0d514d534430" /><Relationship Type="http://schemas.openxmlformats.org/officeDocument/2006/relationships/worksheet" Target="/xl/worksheets/sheet2.xml" Id="R5f0e936afe74446a" /><Relationship Type="http://schemas.openxmlformats.org/officeDocument/2006/relationships/worksheet" Target="/xl/worksheets/sheet3.xml" Id="Ree8b8b4b2f3f4ec3" /><Relationship Type="http://schemas.openxmlformats.org/officeDocument/2006/relationships/worksheet" Target="/xl/worksheets/sheet4.xml" Id="Rcbf783302ab9484f" /><Relationship Type="http://schemas.openxmlformats.org/officeDocument/2006/relationships/worksheet" Target="/xl/worksheets/sheet5.xml" Id="R2ba0b1a5039641c2" /><Relationship Type="http://schemas.openxmlformats.org/officeDocument/2006/relationships/worksheet" Target="/xl/worksheets/sheet6.xml" Id="R17af253320dd44e4" /><Relationship Type="http://schemas.openxmlformats.org/officeDocument/2006/relationships/worksheet" Target="/xl/worksheets/sheet7.xml" Id="Ra8bcfdb9cc704b76" /><Relationship Type="http://schemas.openxmlformats.org/officeDocument/2006/relationships/worksheet" Target="/xl/worksheets/sheet8.xml" Id="Rb32405e334964c3e" /><Relationship Type="http://schemas.openxmlformats.org/officeDocument/2006/relationships/worksheet" Target="/xl/worksheets/sheet9.xml" Id="R392fbbd6f37b47ae" /><Relationship Type="http://schemas.openxmlformats.org/officeDocument/2006/relationships/worksheet" Target="/xl/worksheets/sheet10.xml" Id="R3919e96854a74278" /><Relationship Type="http://schemas.openxmlformats.org/officeDocument/2006/relationships/worksheet" Target="/xl/worksheets/sheet11.xml" Id="R281745bcea4d4608" /><Relationship Type="http://schemas.openxmlformats.org/officeDocument/2006/relationships/worksheet" Target="/xl/worksheets/sheet12.xml" Id="Re1c3e71bbb824bb6" /><Relationship Type="http://schemas.openxmlformats.org/officeDocument/2006/relationships/worksheet" Target="/xl/worksheets/sheet13.xml" Id="Re231a77a1f994af1" /><Relationship Type="http://schemas.openxmlformats.org/officeDocument/2006/relationships/worksheet" Target="/xl/worksheets/sheet14.xml" Id="Rb2391fc4acfa4307" /><Relationship Type="http://schemas.openxmlformats.org/officeDocument/2006/relationships/worksheet" Target="/xl/worksheets/sheet15.xml" Id="R21af05379c164f1a" /><Relationship Type="http://schemas.openxmlformats.org/officeDocument/2006/relationships/worksheet" Target="/xl/worksheets/sheet16.xml" Id="R1f36b8bb8bd94a83" /><Relationship Type="http://schemas.openxmlformats.org/officeDocument/2006/relationships/worksheet" Target="/xl/worksheets/sheet17.xml" Id="Rfe19627beb60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105" hidden="0" customWidth="1"/>
    <x:col min="4" max="4" width="29" hidden="0" customWidth="1"/>
    <x:col min="5" max="5" width="24" hidden="0" customWidth="1"/>
    <x:col min="6" max="6" width="2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B2" s="3" t="str">
        <x:v>National industrial-mobilization exercise constitution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The Department measures readiness as conserved, accepted service delivered under surprise and restored for the next demand. Plans and contracts receive no physical credit.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29" t="str">
        <x:v>Executive answer</x:v>
      </x:c>
      <x:c r="C6" s="30" t="str">
        <x:v>Executive answer</x:v>
      </x:c>
      <x:c r="D6" s="30" t="str">
        <x:v>Executive answer</x:v>
      </x:c>
      <x:c r="E6" s="30" t="str">
        <x:v>Executive answer</x:v>
      </x:c>
      <x:c r="F6" s="30" t="str">
        <x:v>Executive answer</x:v>
      </x:c>
      <x:c r="G6" s="30" t="str">
        <x:v>Executive answer</x:v>
      </x:c>
      <x:c r="H6" s="30" t="str">
        <x:v>Executive answer</x:v>
      </x:c>
      <x:c r="I6" s="30" t="str">
        <x:v>Executive answer</x:v>
      </x:c>
      <x:c r="J6" s="30" t="str">
        <x:v>Executive answer</x:v>
      </x:c>
      <x:c r="K6" s="30" t="str">
        <x:v>Executive answer</x:v>
      </x:c>
      <x:c r="L6" s="30" t="str">
        <x:v>Executive answer</x:v>
      </x:c>
      <x:c r="M6" s="30" t="str">
        <x:v>Executive answer</x:v>
      </x:c>
      <x:c r="N6" s="30" t="str">
        <x:v>Executive answer</x:v>
      </x:c>
      <x:c r="O6" s="30" t="str">
        <x:v>Executive answer</x:v>
      </x:c>
      <x:c r="P6" s="30" t="str">
        <x:v>Executive answer</x:v>
      </x:c>
      <x:c r="Q6" s="30" t="str">
        <x:v>Executive answer</x:v>
      </x:c>
      <x:c r="R6" s="31" t="str">
        <x:v>Executive answer</x:v>
      </x:c>
    </x:row>
    <x:row r="7">
      <x:c r="B7" s="14" t="str">
        <x:v>Question</x:v>
      </x:c>
      <x:c r="C7" s="15" t="str">
        <x:v>Design answer</x:v>
      </x:c>
      <x:c r="D7" s="15" t="str">
        <x:v>Scale</x:v>
      </x:c>
      <x:c r="E7" s="15" t="str">
        <x:v>State</x:v>
      </x:c>
      <x:c r="F7" s="16" t="str">
        <x:v>Next authority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B8" s="2" t="str">
        <x:v>What is mobilization readiness?</x:v>
      </x:c>
      <x:c r="C8" s="2" t="str">
        <x:v>accepted family-specific public service under sealed loss and deadline</x:v>
      </x:c>
      <x:c r="D8" s="2" t="str">
        <x:v>48 family chains</x:v>
      </x:c>
      <x:c r="E8" s="2" t="str">
        <x:v>HOLD</x:v>
      </x:c>
      <x:c r="F8" s="2" t="str">
        <x:v>physical exercise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B9" s="2" t="str">
        <x:v>What begins the exercise?</x:v>
      </x:c>
      <x:c r="C9" s="2" t="str">
        <x:v>authenticated no-notice order against a frozen cold-state declaration</x:v>
      </x:c>
      <x:c r="D9" s="2" t="str">
        <x:v>random sealed window</x:v>
      </x:c>
      <x:c r="E9" s="2" t="str">
        <x:v>OPEN</x:v>
      </x:c>
      <x:c r="F9" s="2" t="str">
        <x:v>white-cell custody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>
      <x:c r="B10" s="2" t="str">
        <x:v>What crosses the chain?</x:v>
      </x:c>
      <x:c r="C10" s="2" t="str">
        <x:v>configuration-specific mission service lots conserved through twelve stages</x:v>
      </x:c>
      <x:c r="D10" s="2" t="str">
        <x:v>576 stage records</x:v>
      </x:c>
      <x:c r="E10" s="2" t="str">
        <x:v>OPEN</x:v>
      </x:c>
      <x:c r="F10" s="2" t="str">
        <x:v>serial evidence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B11" s="2" t="str">
        <x:v>What counts as output?</x:v>
      </x:c>
      <x:c r="C11" s="2" t="str">
        <x:v>independently accepted lots; gross production receives no credit</x:v>
      </x:c>
      <x:c r="D11" s="2" t="str">
        <x:v>24 evidence records</x:v>
      </x:c>
      <x:c r="E11" s="2" t="str">
        <x:v>HOLD</x:v>
      </x:c>
      <x:c r="F11" s="2" t="str">
        <x:v>independent acceptance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B12" s="2" t="str">
        <x:v>When does a family pass?</x:v>
      </x:c>
      <x:c r="C12" s="2" t="str">
        <x:v>commissioned service and regeneration both meet the required lots</x:v>
      </x:c>
      <x:c r="D12" s="2" t="str">
        <x:v>weakest-family rule</x:v>
      </x:c>
      <x:c r="E12" s="2" t="str">
        <x:v>HOLD</x:v>
      </x:c>
      <x:c r="F12" s="2" t="str">
        <x:v>receiving and capacity findings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B13" s="2" t="str">
        <x:v>How is industry sampled?</x:v>
      </x:c>
      <x:c r="C13" s="2" t="str">
        <x:v>896 unique nodes annually with complete class coverage inside five years</x:v>
      </x:c>
      <x:c r="D13" s="2" t="str">
        <x:v>4,256-node network</x:v>
      </x:c>
      <x:c r="E13" s="2" t="str">
        <x:v>PLANNING</x:v>
      </x:c>
      <x:c r="F13" s="2" t="str">
        <x:v>sealed sample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B14" s="2" t="str">
        <x:v>What does the plan reveal?</x:v>
      </x:c>
      <x:c r="C14" s="2" t="str">
        <x:v>all families close M04; only H1 lines close M05; none close M06</x:v>
      </x:c>
      <x:c r="D14" s="2" t="str">
        <x:v>48 / 26 / 0</x:v>
      </x:c>
      <x:c r="E14" s="2" t="str">
        <x:v>PLANNING</x:v>
      </x:c>
      <x:c r="F14" s="2" t="str">
        <x:v>capacity redesign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B15" s="2" t="str">
        <x:v>What is physically admitted?</x:v>
      </x:c>
      <x:c r="C15" s="2" t="str">
        <x:v>nothing: all observed lots and accepted evidence remain zero</x:v>
      </x:c>
      <x:c r="D15" s="2" t="str">
        <x:v>0 of 48 families</x:v>
      </x:c>
      <x:c r="E15" s="2" t="str">
        <x:v>NOT ADMITTED</x:v>
      </x:c>
      <x:c r="F15" s="2" t="str">
        <x:v>no-notice exercise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B16" s="2" t="str">
        <x:v>What does exercise cost?</x:v>
      </x:c>
      <x:c r="C16" s="2" t="str">
        <x:v>USD 62B annually inside USD 310B mature AIMC operations</x:v>
      </x:c>
      <x:c r="D16" s="2" t="str">
        <x:v>USD 1.55T / 25 years</x:v>
      </x:c>
      <x:c r="E16" s="2" t="str">
        <x:v>PLANNING</x:v>
      </x:c>
      <x:c r="F16" s="2" t="str">
        <x:v>appropriation and execution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B17" s="2" t="str">
        <x:v>What institutional correction emerges?</x:v>
      </x:c>
      <x:c r="C17" s="2" t="str">
        <x:v>hazardous activation needs an eighth independent safety stop authority</x:v>
      </x:c>
      <x:c r="D17" s="2" t="str">
        <x:v>8 exercise authorities</x:v>
      </x:c>
      <x:c r="E17" s="2" t="str">
        <x:v>HOLD</x:v>
      </x:c>
      <x:c r="F17" s="2" t="str">
        <x:v>constitutional charter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B18" s="2" t="str">
        <x:v>May vehicle form be rendered?</x:v>
      </x:c>
      <x:c r="C18" s="2" t="str">
        <x:v>no representative geometry or coupled physical evidence exists</x:v>
      </x:c>
      <x:c r="D18" s="2" t="str">
        <x:v>zero authority</x:v>
      </x:c>
      <x:c r="E18" s="2" t="str">
        <x:v>BLOCKED</x:v>
      </x:c>
      <x:c r="F18" s="2" t="str">
        <x:v>accepted articles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B21" s="29" t="str">
        <x:v>Active scenario results</x:v>
      </x:c>
      <x:c r="C21" s="30" t="str">
        <x:v>Active scenario results</x:v>
      </x:c>
      <x:c r="D21" s="30" t="str">
        <x:v>Active scenario results</x:v>
      </x:c>
      <x:c r="E21" s="30" t="str">
        <x:v>Active scenario results</x:v>
      </x:c>
      <x:c r="F21" s="30" t="str">
        <x:v>Active scenario results</x:v>
      </x:c>
      <x:c r="G21" s="30" t="str">
        <x:v>Active scenario results</x:v>
      </x:c>
      <x:c r="H21" s="30" t="str">
        <x:v>Active scenario results</x:v>
      </x:c>
      <x:c r="I21" s="30" t="str">
        <x:v>Active scenario results</x:v>
      </x:c>
      <x:c r="J21" s="30" t="str">
        <x:v>Active scenario results</x:v>
      </x:c>
      <x:c r="K21" s="30" t="str">
        <x:v>Active scenario results</x:v>
      </x:c>
      <x:c r="L21" s="30" t="str">
        <x:v>Active scenario results</x:v>
      </x:c>
      <x:c r="M21" s="30" t="str">
        <x:v>Active scenario results</x:v>
      </x:c>
      <x:c r="N21" s="30" t="str">
        <x:v>Active scenario results</x:v>
      </x:c>
      <x:c r="O21" s="30" t="str">
        <x:v>Active scenario results</x:v>
      </x:c>
      <x:c r="P21" s="30" t="str">
        <x:v>Active scenario results</x:v>
      </x:c>
      <x:c r="Q21" s="30" t="str">
        <x:v>Active scenario results</x:v>
      </x:c>
      <x:c r="R21" s="31" t="str">
        <x:v>Active scenario results</x:v>
      </x:c>
    </x:row>
    <x:row r="22">
      <x:c r="B22" s="14" t="str">
        <x:v>Measure</x:v>
      </x:c>
      <x:c r="C22" s="15" t="str">
        <x:v>Observed</x:v>
      </x:c>
      <x:c r="D22" s="15" t="str">
        <x:v>Unit</x:v>
      </x:c>
      <x:c r="E22" s="15" t="str">
        <x:v>Required</x:v>
      </x:c>
      <x:c r="F22" s="16" t="str">
        <x:v>Result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B23" s="2" t="str">
        <x:v>Active scenario selector</x:v>
      </x:c>
      <x:c r="C23" s="36" t="n">
        <x:f>Assumptions!C7</x:f>
        <x:v>5</x:v>
      </x:c>
      <x:c r="D23" s="36" t="str">
        <x:v>scenario</x:v>
      </x:c>
      <x:c r="E23" s="36" t="n">
        <x:v>5</x:v>
      </x:c>
      <x:c r="F23" s="2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B24" s="2" t="str">
        <x:v>Families</x:v>
      </x:c>
      <x:c r="C24" s="36" t="n">
        <x:f>COUNTA('Family Register'!B7:B54)</x:f>
        <x:v>48</x:v>
      </x:c>
      <x:c r="D24" s="36" t="str">
        <x:v>families</x:v>
      </x:c>
      <x:c r="E24" s="36" t="n">
        <x:v>48</x:v>
      </x:c>
      <x:c r="F24" s="2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B25" s="2" t="str">
        <x:v>Twelve-stage records</x:v>
      </x:c>
      <x:c r="C25" s="36" t="n">
        <x:f>COUNTA('Stage Ledger'!B7:B582)</x:f>
        <x:v>576</x:v>
      </x:c>
      <x:c r="D25" s="36" t="str">
        <x:v>records</x:v>
      </x:c>
      <x:c r="E25" s="36" t="n">
        <x:v>576</x:v>
      </x:c>
      <x:c r="F25" s="2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B26" s="2" t="str">
        <x:v>Industrial nodes</x:v>
      </x:c>
      <x:c r="C26" s="36" t="n">
        <x:f>SUM('Industrial Sampling'!D7:D12)</x:f>
        <x:v>4256</x:v>
      </x:c>
      <x:c r="D26" s="36" t="str">
        <x:v>nodes</x:v>
      </x:c>
      <x:c r="E26" s="36" t="n">
        <x:v>4256</x:v>
      </x:c>
      <x:c r="F26" s="2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B27" s="2" t="str">
        <x:v>Annual unique-node sample</x:v>
      </x:c>
      <x:c r="C27" s="36" t="n">
        <x:f>SUM('Industrial Sampling'!E7:E12)</x:f>
        <x:v>896</x:v>
      </x:c>
      <x:c r="D27" s="36" t="str">
        <x:v>nodes</x:v>
      </x:c>
      <x:c r="E27" s="36" t="n">
        <x:v>896</x:v>
      </x:c>
      <x:c r="F27" s="2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B28" s="2" t="str">
        <x:v>Planning-adequate families</x:v>
      </x:c>
      <x:c r="C28" s="36" t="n">
        <x:f>COUNTIF('After Action'!K7:K54,"ADEQUATE")</x:f>
        <x:v>26</x:v>
      </x:c>
      <x:c r="D28" s="36" t="str">
        <x:v>families</x:v>
      </x:c>
      <x:c r="E28" s="36" t="n">
        <x:v>26</x:v>
      </x:c>
      <x:c r="F28" s="2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B29" s="2" t="str">
        <x:v>Physically admitted families</x:v>
      </x:c>
      <x:c r="C29" s="36" t="n">
        <x:f>COUNTIF('After Action'!L7:L54,"ADMITTED")</x:f>
        <x:v>0</x:v>
      </x:c>
      <x:c r="D29" s="36" t="str">
        <x:v>families</x:v>
      </x:c>
      <x:c r="E29" s="36" t="n">
        <x:v>0</x:v>
      </x:c>
      <x:c r="F29" s="2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B30" s="2" t="str">
        <x:v>Observed admitted lots</x:v>
      </x:c>
      <x:c r="C30" s="36" t="n">
        <x:f>SUM('Stage Ledger'!R7:R582)</x:f>
        <x:v>0</x:v>
      </x:c>
      <x:c r="D30" s="36" t="str">
        <x:v>family-specific lots</x:v>
      </x:c>
      <x:c r="E30" s="36" t="n">
        <x:v>0</x:v>
      </x:c>
      <x:c r="F30" s="2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B31" s="2" t="str">
        <x:v>Evidence packages accepted</x:v>
      </x:c>
      <x:c r="C31" s="36" t="n">
        <x:f>SUM('Evidence Package'!G7:G30)</x:f>
        <x:v>0</x:v>
      </x:c>
      <x:c r="D31" s="36" t="str">
        <x:v>records</x:v>
      </x:c>
      <x:c r="E31" s="36" t="n">
        <x:v>0</x:v>
      </x:c>
      <x:c r="F31" s="2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B32" s="2" t="str">
        <x:v>Annual exercise operations</x:v>
      </x:c>
      <x:c r="C32" s="36" t="n">
        <x:f>'Financial Control'!D17</x:f>
        <x:v>62</x:v>
      </x:c>
      <x:c r="D32" s="36" t="str">
        <x:v>constant USD B</x:v>
      </x:c>
      <x:c r="E32" s="36" t="n">
        <x:v>62</x:v>
      </x:c>
      <x:c r="F32" s="2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B33" s="2" t="str">
        <x:v>Twenty-five-year exercise operations</x:v>
      </x:c>
      <x:c r="C33" s="36" t="n">
        <x:f>'Financial Control'!F17</x:f>
        <x:v>1.55</x:v>
      </x:c>
      <x:c r="D33" s="36" t="str">
        <x:v>constant USD T</x:v>
      </x:c>
      <x:c r="E33" s="36" t="n">
        <x:v>1.55</x:v>
      </x:c>
      <x:c r="F33" s="2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B34" s="2" t="str">
        <x:v>AIMC operating share</x:v>
      </x:c>
      <x:c r="C34" s="36" t="n">
        <x:f>'Financial Control'!G17</x:f>
        <x:v>0.2</x:v>
      </x:c>
      <x:c r="D34" s="36" t="str">
        <x:v>ratio</x:v>
      </x:c>
      <x:c r="E34" s="36" t="n">
        <x:v>0.2</x:v>
      </x:c>
      <x:c r="F34" s="2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B35" s="2" t="str">
        <x:v>Decision gates</x:v>
      </x:c>
      <x:c r="C35" s="36" t="n">
        <x:f>COUNTA('Decision Gates'!B7:B30)</x:f>
        <x:v>24</x:v>
      </x:c>
      <x:c r="D35" s="36" t="str">
        <x:v>gates</x:v>
      </x:c>
      <x:c r="E35" s="36" t="n">
        <x:v>24</x:v>
      </x:c>
      <x:c r="F35" s="2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B36" s="2" t="str">
        <x:v>Rendering authority</x:v>
      </x:c>
      <x:c r="C36" s="36" t="n">
        <x:f>Assumptions!C17</x:f>
        <x:v>0</x:v>
      </x:c>
      <x:c r="D36" s="36" t="str">
        <x:v>binary</x:v>
      </x:c>
      <x:c r="E36" s="36" t="n">
        <x:v>0</x:v>
      </x:c>
      <x:c r="F36" s="2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B39" s="29" t="str">
        <x:v>First-principles consequences</x:v>
      </x:c>
      <x:c r="C39" s="30" t="str">
        <x:v>First-principles consequences</x:v>
      </x:c>
      <x:c r="D39" s="30" t="str">
        <x:v>First-principles consequences</x:v>
      </x:c>
      <x:c r="E39" s="30" t="str">
        <x:v>First-principles consequences</x:v>
      </x:c>
      <x:c r="F39" s="30" t="str">
        <x:v>First-principles consequences</x:v>
      </x:c>
      <x:c r="G39" s="30" t="str">
        <x:v>First-principles consequences</x:v>
      </x:c>
      <x:c r="H39" s="30" t="str">
        <x:v>First-principles consequences</x:v>
      </x:c>
      <x:c r="I39" s="30" t="str">
        <x:v>First-principles consequences</x:v>
      </x:c>
      <x:c r="J39" s="30" t="str">
        <x:v>First-principles consequences</x:v>
      </x:c>
      <x:c r="K39" s="30" t="str">
        <x:v>First-principles consequences</x:v>
      </x:c>
      <x:c r="L39" s="30" t="str">
        <x:v>First-principles consequences</x:v>
      </x:c>
      <x:c r="M39" s="30" t="str">
        <x:v>First-principles consequences</x:v>
      </x:c>
      <x:c r="N39" s="30" t="str">
        <x:v>First-principles consequences</x:v>
      </x:c>
      <x:c r="O39" s="30" t="str">
        <x:v>First-principles consequences</x:v>
      </x:c>
      <x:c r="P39" s="30" t="str">
        <x:v>First-principles consequences</x:v>
      </x:c>
      <x:c r="Q39" s="30" t="str">
        <x:v>First-principles consequences</x:v>
      </x:c>
      <x:c r="R39" s="31" t="str">
        <x:v>First-principles consequences</x:v>
      </x:c>
    </x:row>
    <x:row r="40">
      <x:c r="B40" s="2" t="str">
        <x:v>Mobilization is a physical state transition across firms facilities people materials instruments transport receivers and public service. Contracted capacity is only a claim.</x:v>
      </x:c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</x:row>
    <x:row r="41">
      <x:c r="B41" s="2" t="str">
        <x:v>The exercise starts cold and without notice. Quiet prepositioning, prepared demonstration crews and participant-written failure worlds invalidate the result.</x:v>
      </x:c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</x:row>
    <x:row r="42">
      <x:c r="B42" s="2" t="str">
        <x:v>A family-specific lot remains serialized from production through commissioned service. Gross output, shipped output and received equipment are reported separately.</x:v>
      </x:c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</x:row>
    <x:row r="43">
      <x:c r="B43" s="2" t="str">
        <x:v>National readiness is conjunctive. One missing effect family cannot be offset by surplus production in another or hidden inside a composite score.</x:v>
      </x:c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</x:row>
    <x:row r="44">
      <x:c r="B44" s="2" t="str">
        <x:v>The independent safety authority can stop exposure without pressure from AIMC, but a safe stop does not become a passing mission result.</x:v>
      </x:c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</x:row>
    <x:row r="45">
      <x:c r="B45" s="2" t="str">
        <x:v>The active M05 planning world reveals a readiness-tier fracture: 26 H1 families close on declared margins while 22 slower lines fail the transport-dominated chain.</x:v>
      </x:c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</x:row>
    <x:row r="46">
      <x:c r="B46" s="2" t="str">
        <x:v>The stronger M06 world defeats every declared family plan, creating a technology and industrial redesign agenda rather than an adjusted score.</x:v>
      </x:c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</x:row>
    <x:row r="47">
      <x:c r="B47" s="2" t="str">
        <x:v>This pass opens family-specific capacity redesign and the first complete no-notice exercise package. Rendering remains blocked.</x:v>
      </x:c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mergeCells>
    <x:mergeCell ref="B3:R3"/>
    <x:mergeCell ref="B6:R6"/>
    <x:mergeCell ref="B21:R21"/>
    <x:mergeCell ref="B39:R39"/>
  </x:mergeCells>
  <x:conditionalFormatting sqref="E8:E18">
    <x:cfRule type="containsText" dxfId="108" priority="1" operator="containsText" text="OPEN"/>
    <x:cfRule type="containsText" dxfId="109" priority="2" operator="containsText" text="HOLD"/>
    <x:cfRule type="containsText" dxfId="110" priority="3" operator="containsText" text="BLOCKED"/>
    <x:cfRule type="containsText" dxfId="111" priority="4" operator="containsText" text="GAP"/>
    <x:cfRule type="containsText" dxfId="112" priority="5" operator="containsText" text="NOT ADMITTED"/>
    <x:cfRule type="containsText" dxfId="113" priority="6" operator="containsText" text="FAIL"/>
    <x:cfRule type="containsText" dxfId="114" priority="7" operator="containsText" text="PASS"/>
    <x:cfRule type="containsText" dxfId="115" priority="8" operator="containsText" text="ADEQUATE"/>
    <x:cfRule type="containsText" dxfId="116" priority="9" operator="containsText" text="ADMITTED"/>
  </x:conditionalFormatting>
  <x:conditionalFormatting sqref="F23:F36">
    <x:cfRule type="containsText" dxfId="117" priority="10" operator="containsText" text="OPEN"/>
    <x:cfRule type="containsText" dxfId="118" priority="11" operator="containsText" text="HOLD"/>
    <x:cfRule type="containsText" dxfId="119" priority="12" operator="containsText" text="BLOCKED"/>
    <x:cfRule type="containsText" dxfId="120" priority="13" operator="containsText" text="GAP"/>
    <x:cfRule type="containsText" dxfId="121" priority="14" operator="containsText" text="NOT ADMITTED"/>
    <x:cfRule type="containsText" dxfId="122" priority="15" operator="containsText" text="FAIL"/>
    <x:cfRule type="containsText" dxfId="123" priority="16" operator="containsText" text="PASS"/>
    <x:cfRule type="containsText" dxfId="124" priority="17" operator="containsText" text="ADEQUATE"/>
    <x:cfRule type="containsText" dxfId="125" priority="18" operator="containsText" text="ADMIT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7" hidden="0" customWidth="1"/>
    <x:col min="3" max="3" width="18" hidden="0" customWidth="1"/>
    <x:col min="4" max="4" width="24" hidden="0" customWidth="1"/>
    <x:col min="5" max="5" width="16" hidden="0" customWidth="1"/>
    <x:col min="6" max="6" width="36" hidden="0" customWidth="1"/>
  </x:cols>
  <x:sheetData>
    <x:row r="2">
      <x:c r="B2" s="3" t="str">
        <x:v>Mobilization exercise assumptions</x:v>
      </x:c>
      <x:c r="C2" s="2"/>
      <x:c r="D2" s="2"/>
      <x:c r="E2" s="2"/>
      <x:c r="F2" s="2"/>
    </x:row>
    <x:row r="3">
      <x:c r="B3" s="4" t="str">
        <x:v>Blue-font values are editable design inputs. They are hypotheses for a mature force and do not describe present industrial capacity or exercise performance.</x:v>
      </x:c>
      <x:c r="C3" s="2"/>
      <x:c r="D3" s="2"/>
      <x:c r="E3" s="2"/>
      <x:c r="F3" s="2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19" t="str">
        <x:v>Input</x:v>
      </x:c>
      <x:c r="C6" s="20" t="str">
        <x:v>Value</x:v>
      </x:c>
      <x:c r="D6" s="20" t="str">
        <x:v>Unit</x:v>
      </x:c>
      <x:c r="E6" s="20" t="str">
        <x:v>State</x:v>
      </x:c>
      <x:c r="F6" s="20" t="str">
        <x:v>Reopen trigger</x:v>
      </x:c>
    </x:row>
    <x:row r="7">
      <x:c r="B7" s="21" t="str">
        <x:v>Active scenario selector</x:v>
      </x:c>
      <x:c r="C7" s="22" t="n">
        <x:v>5</x:v>
      </x:c>
      <x:c r="D7" s="21" t="str">
        <x:v>1-6</x:v>
      </x:c>
      <x:c r="E7" s="21" t="str">
        <x:v>FROZEN</x:v>
      </x:c>
      <x:c r="F7" s="23" t="str">
        <x:v>exercise order</x:v>
      </x:c>
    </x:row>
    <x:row r="8">
      <x:c r="B8" s="21" t="str">
        <x:v>Force families</x:v>
      </x:c>
      <x:c r="C8" s="22" t="n">
        <x:v>48</x:v>
      </x:c>
      <x:c r="D8" s="21" t="str">
        <x:v>families</x:v>
      </x:c>
      <x:c r="E8" s="21" t="str">
        <x:v>FROZEN</x:v>
      </x:c>
      <x:c r="F8" s="23" t="str">
        <x:v>force architecture</x:v>
      </x:c>
    </x:row>
    <x:row r="9">
      <x:c r="B9" s="21" t="str">
        <x:v>Stages per family chain</x:v>
      </x:c>
      <x:c r="C9" s="22" t="n">
        <x:v>12</x:v>
      </x:c>
      <x:c r="D9" s="21" t="str">
        <x:v>stages</x:v>
      </x:c>
      <x:c r="E9" s="21" t="str">
        <x:v>FROZEN</x:v>
      </x:c>
      <x:c r="F9" s="23" t="str">
        <x:v>exercise constitution</x:v>
      </x:c>
    </x:row>
    <x:row r="10">
      <x:c r="B10" s="21" t="str">
        <x:v>Certified industrial nodes</x:v>
      </x:c>
      <x:c r="C10" s="22" t="n">
        <x:v>4256</x:v>
      </x:c>
      <x:c r="D10" s="21" t="str">
        <x:v>nodes</x:v>
      </x:c>
      <x:c r="E10" s="21" t="str">
        <x:v>FROZEN</x:v>
      </x:c>
      <x:c r="F10" s="23" t="str">
        <x:v>AIMC topology</x:v>
      </x:c>
    </x:row>
    <x:row r="11">
      <x:c r="B11" s="21" t="str">
        <x:v>Annual node sample</x:v>
      </x:c>
      <x:c r="C11" s="22" t="n">
        <x:v>896</x:v>
      </x:c>
      <x:c r="D11" s="21" t="str">
        <x:v>unique nodes</x:v>
      </x:c>
      <x:c r="E11" s="21" t="str">
        <x:v>FROZEN</x:v>
      </x:c>
      <x:c r="F11" s="23" t="str">
        <x:v>sampling design</x:v>
      </x:c>
    </x:row>
    <x:row r="12">
      <x:c r="B12" s="21" t="str">
        <x:v>Maximum rolling coverage interval</x:v>
      </x:c>
      <x:c r="C12" s="22" t="n">
        <x:v>5</x:v>
      </x:c>
      <x:c r="D12" s="21" t="str">
        <x:v>years</x:v>
      </x:c>
      <x:c r="E12" s="21" t="str">
        <x:v>FROZEN</x:v>
      </x:c>
      <x:c r="F12" s="23" t="str">
        <x:v>readiness doctrine</x:v>
      </x:c>
    </x:row>
    <x:row r="13">
      <x:c r="B13" s="21" t="str">
        <x:v>Annual exercise operations</x:v>
      </x:c>
      <x:c r="C13" s="22" t="n">
        <x:v>62</x:v>
      </x:c>
      <x:c r="D13" s="21" t="str">
        <x:v>constant USD B</x:v>
      </x:c>
      <x:c r="E13" s="21" t="str">
        <x:v>FROZEN</x:v>
      </x:c>
      <x:c r="F13" s="23" t="str">
        <x:v>exercise program</x:v>
      </x:c>
    </x:row>
    <x:row r="14">
      <x:c r="B14" s="21" t="str">
        <x:v>Mature AIMC annual operations</x:v>
      </x:c>
      <x:c r="C14" s="22" t="n">
        <x:v>310</x:v>
      </x:c>
      <x:c r="D14" s="21" t="str">
        <x:v>constant USD B</x:v>
      </x:c>
      <x:c r="E14" s="21" t="str">
        <x:v>FROZEN</x:v>
      </x:c>
      <x:c r="F14" s="23" t="str">
        <x:v>AIMC operating design</x:v>
      </x:c>
    </x:row>
    <x:row r="15">
      <x:c r="B15" s="21" t="str">
        <x:v>Planning horizon</x:v>
      </x:c>
      <x:c r="C15" s="22" t="n">
        <x:v>25</x:v>
      </x:c>
      <x:c r="D15" s="21" t="str">
        <x:v>years</x:v>
      </x:c>
      <x:c r="E15" s="21" t="str">
        <x:v>FROZEN</x:v>
      </x:c>
      <x:c r="F15" s="23" t="str">
        <x:v>fiscal architecture</x:v>
      </x:c>
    </x:row>
    <x:row r="16">
      <x:c r="B16" s="21" t="str">
        <x:v>Evidence acceptance threshold</x:v>
      </x:c>
      <x:c r="C16" s="22" t="n">
        <x:v>1</x:v>
      </x:c>
      <x:c r="D16" s="21" t="str">
        <x:v>binary</x:v>
      </x:c>
      <x:c r="E16" s="21" t="str">
        <x:v>FROZEN</x:v>
      </x:c>
      <x:c r="F16" s="23" t="str">
        <x:v>evidence constitution</x:v>
      </x:c>
    </x:row>
    <x:row r="17">
      <x:c r="B17" s="24" t="str">
        <x:v>Rendering authority</x:v>
      </x:c>
      <x:c r="C17" s="25" t="n">
        <x:v>0</x:v>
      </x:c>
      <x:c r="D17" s="24" t="str">
        <x:v>binary</x:v>
      </x:c>
      <x:c r="E17" s="24" t="str">
        <x:v>FROZEN</x:v>
      </x:c>
      <x:c r="F17" s="26" t="str">
        <x:v>measured form authority</x:v>
      </x:c>
    </x:row>
    <x:row r="18">
      <x:c r="B18" s="2"/>
      <x:c r="C18" s="2"/>
      <x:c r="D18" s="2"/>
      <x:c r="E18" s="2"/>
      <x:c r="F18" s="2"/>
    </x:row>
    <x:row r="19">
      <x:c r="B19" s="2"/>
      <x:c r="C19" s="2"/>
      <x:c r="D19" s="2"/>
      <x:c r="E19" s="2"/>
      <x:c r="F19" s="2"/>
    </x:row>
    <x:row r="20">
      <x:c r="B20" s="29" t="str">
        <x:v>Interpretation</x:v>
      </x:c>
      <x:c r="C20" s="30" t="str">
        <x:v>Interpretation</x:v>
      </x:c>
      <x:c r="D20" s="30" t="str">
        <x:v>Interpretation</x:v>
      </x:c>
      <x:c r="E20" s="30" t="str">
        <x:v>Interpretation</x:v>
      </x:c>
      <x:c r="F20" s="31" t="str">
        <x:v>Interpretation</x:v>
      </x:c>
    </x:row>
    <x:row r="21">
      <x:c r="B21" s="2" t="str">
        <x:v>A mission service lot is family-specific. Lot counts may be compared within one family but never added across unlike families.</x:v>
      </x:c>
      <x:c r="C21" s="2" t="str"/>
      <x:c r="D21" s="2" t="str"/>
      <x:c r="E21" s="2" t="str"/>
      <x:c r="F21" s="2" t="str"/>
    </x:row>
    <x:row r="22">
      <x:c r="B22" s="2" t="str">
        <x:v>Planning capacity and observed performance remain separate. A plan may expose a gap but can never earn exercise credit.</x:v>
      </x:c>
      <x:c r="C22" s="2" t="str"/>
      <x:c r="D22" s="2" t="str"/>
      <x:c r="E22" s="2" t="str"/>
      <x:c r="F22" s="2" t="str"/>
    </x:row>
    <x:row r="23">
      <x:c r="B23" s="2" t="str">
        <x:v>Gross production is not conforming production. Conforming production is not delivered or commissioned service.</x:v>
      </x:c>
      <x:c r="C23" s="2" t="str"/>
      <x:c r="D23" s="2" t="str"/>
      <x:c r="E23" s="2" t="str"/>
      <x:c r="F23" s="2" t="str"/>
    </x:row>
    <x:row r="24">
      <x:c r="B24" s="2" t="str">
        <x:v>The family chain contains twelve conserved stages from alert through regeneration. Downstream work cannot recover lots lost upstream.</x:v>
      </x:c>
      <x:c r="C24" s="2" t="str"/>
      <x:c r="D24" s="2" t="str"/>
      <x:c r="E24" s="2" t="str"/>
      <x:c r="F24" s="2" t="str"/>
    </x:row>
    <x:row r="25">
      <x:c r="B25" s="2" t="str">
        <x:v>National readiness is the weakest required family result. No average may hide a missing effect family.</x:v>
      </x:c>
      <x:c r="C25" s="2" t="str"/>
      <x:c r="D25" s="2" t="str"/>
      <x:c r="E25" s="2" t="str"/>
      <x:c r="F25" s="2" t="str"/>
    </x:row>
    <x:row r="26">
      <x:c r="B26" s="2" t="str">
        <x:v>The independent white cell owns timing and inject custody. AIMC and participating firms cannot see sealed conditions.</x:v>
      </x:c>
      <x:c r="C26" s="2" t="str"/>
      <x:c r="D26" s="2" t="str"/>
      <x:c r="E26" s="2" t="str"/>
      <x:c r="F26" s="2" t="str"/>
    </x:row>
    <x:row r="27">
      <x:c r="B27" s="2" t="str">
        <x:v>Independent safety authority may stop any exposure. A safe stop preserves evidence but does not count as mission success.</x:v>
      </x:c>
      <x:c r="C27" s="2" t="str"/>
      <x:c r="D27" s="2" t="str"/>
      <x:c r="E27" s="2" t="str"/>
      <x:c r="F27" s="2" t="str"/>
    </x:row>
    <x:row r="28">
      <x:c r="B28" s="2" t="str">
        <x:v>Rendering remains blocked until representative internal geometry and coupled physical evidence exist.</x:v>
      </x:c>
      <x:c r="C28" s="2" t="str"/>
      <x:c r="D28" s="2" t="str"/>
      <x:c r="E28" s="2" t="str"/>
      <x:c r="F28" s="2" t="str"/>
    </x:row>
    <x:row r="29">
      <x:c r="B29" s="2"/>
      <x:c r="C29" s="2"/>
      <x:c r="D29" s="2"/>
      <x:c r="E29" s="2"/>
      <x:c r="F29" s="2"/>
    </x:row>
    <x:row r="30">
      <x:c r="B30" s="2"/>
      <x:c r="C30" s="2"/>
      <x:c r="D30" s="2"/>
      <x:c r="E30" s="2"/>
      <x:c r="F30" s="2"/>
    </x:row>
    <x:row r="31">
      <x:c r="B31" s="2"/>
      <x:c r="C31" s="2"/>
      <x:c r="D31" s="2"/>
      <x:c r="E31" s="2"/>
      <x:c r="F31" s="2"/>
    </x:row>
    <x:row r="32">
      <x:c r="B32" s="2"/>
      <x:c r="C32" s="2"/>
      <x:c r="D32" s="2"/>
      <x:c r="E32" s="2"/>
      <x:c r="F32" s="2"/>
    </x:row>
    <x:row r="33">
      <x:c r="B33" s="2"/>
      <x:c r="C33" s="2"/>
      <x:c r="D33" s="2"/>
      <x:c r="E33" s="2"/>
      <x:c r="F33" s="2"/>
    </x:row>
    <x:row r="34">
      <x:c r="B34" s="2"/>
      <x:c r="C34" s="2"/>
      <x:c r="D34" s="2"/>
      <x:c r="E34" s="2"/>
      <x:c r="F34" s="2"/>
    </x:row>
    <x:row r="35">
      <x:c r="B35" s="2"/>
      <x:c r="C35" s="2"/>
      <x:c r="D35" s="2"/>
      <x:c r="E35" s="2"/>
      <x:c r="F35" s="2"/>
    </x:row>
    <x:row r="36">
      <x:c r="B36" s="2"/>
      <x:c r="C36" s="2"/>
      <x:c r="D36" s="2"/>
      <x:c r="E36" s="2"/>
      <x:c r="F36" s="2"/>
    </x:row>
  </x:sheetData>
  <x:mergeCells>
    <x:mergeCell ref="B3:F3"/>
    <x:mergeCell ref="B20:F20"/>
  </x:mergeCells>
  <x:conditionalFormatting sqref="E7:E17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GAP"/>
    <x:cfRule type="containsText" dxfId="4" priority="5" operator="containsText" text="NOT ADMITTED"/>
    <x:cfRule type="containsText" dxfId="5" priority="6" operator="containsText" text="FAIL"/>
    <x:cfRule type="containsText" dxfId="6" priority="7" operator="containsText" text="PASS"/>
    <x:cfRule type="containsText" dxfId="7" priority="8" operator="containsText" text="ADEQUATE"/>
    <x:cfRule type="containsText" dxfId="8" priority="9" operator="containsText" text="ADMIT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27" hidden="0" customWidth="1"/>
    <x:col min="4" max="4" width="42" hidden="0" customWidth="1"/>
    <x:col min="5" max="5" width="38" hidden="0" customWidth="1"/>
    <x:col min="6" max="6" width="38" hidden="0" customWidth="1"/>
    <x:col min="7" max="7" width="39" hidden="0" customWidth="1"/>
    <x:col min="8" max="8" width="36" hidden="0" customWidth="1"/>
    <x:col min="9" max="9" width="13" hidden="0" customWidth="1"/>
    <x:col min="10" max="10" width="13" hidden="0" customWidth="1"/>
  </x:cols>
  <x:sheetData>
    <x:row r="2">
      <x:c r="B2" s="3" t="str">
        <x:v>National exercise constitution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Industrial readiness is accepted service under surprise. The exercise starts from a frozen cold state, inserts controlled loss and ends after regeneration is measured.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Article</x:v>
      </x:c>
      <x:c r="C6" s="20" t="str">
        <x:v>Rule</x:v>
      </x:c>
      <x:c r="D6" s="20" t="str">
        <x:v>Physical object</x:v>
      </x:c>
      <x:c r="E6" s="20" t="str">
        <x:v>Independent owner</x:v>
      </x:c>
      <x:c r="F6" s="20" t="str">
        <x:v>Participant duty</x:v>
      </x:c>
      <x:c r="G6" s="20" t="str">
        <x:v>Invalid shortcut</x:v>
      </x:c>
      <x:c r="H6" s="20" t="str">
        <x:v>Failure consequence</x:v>
      </x:c>
      <x:c r="I6" s="20" t="str">
        <x:v>Evidence</x:v>
      </x:c>
      <x:c r="J6" s="20" t="str">
        <x:v>Decision</x:v>
      </x:c>
    </x:row>
    <x:row r="7" ht="42" customHeight="1">
      <x:c r="B7" s="32" t="str">
        <x:v>C01</x:v>
      </x:c>
      <x:c r="C7" s="32" t="str">
        <x:v>No-notice order</x:v>
      </x:c>
      <x:c r="D7" s="32" t="str">
        <x:v>sealed activation message and random window</x:v>
      </x:c>
      <x:c r="E7" s="32" t="str">
        <x:v>Independent Cost and Capacity Authority</x:v>
      </x:c>
      <x:c r="F7" s="32" t="str">
        <x:v>authenticate and declare cold state</x:v>
      </x:c>
      <x:c r="G7" s="32" t="str">
        <x:v>pre-alert rehearsal or quiet prepositioning</x:v>
      </x:c>
      <x:c r="H7" s="32" t="str">
        <x:v>invalidate affected result</x:v>
      </x:c>
      <x:c r="I7" s="32" t="str">
        <x:v>OPEN</x:v>
      </x:c>
      <x:c r="J7" s="33" t="str">
        <x:v>HOLD</x:v>
      </x:c>
    </x:row>
    <x:row r="8" ht="42" customHeight="1">
      <x:c r="B8" s="32" t="str">
        <x:v>C02</x:v>
      </x:c>
      <x:c r="C8" s="32" t="str">
        <x:v>Frozen pre-state</x:v>
      </x:c>
      <x:c r="D8" s="32" t="str">
        <x:v>serial people stock facility software and process snapshot</x:v>
      </x:c>
      <x:c r="E8" s="32" t="str">
        <x:v>Independent Evidence and Data Authority</x:v>
      </x:c>
      <x:c r="F8" s="32" t="str">
        <x:v>disclose before first action</x:v>
      </x:c>
      <x:c r="G8" s="32" t="str">
        <x:v>backfilled readiness claim</x:v>
      </x:c>
      <x:c r="H8" s="32" t="str">
        <x:v>quarantine later evidence</x:v>
      </x:c>
      <x:c r="I8" s="32" t="str">
        <x:v>OPEN</x:v>
      </x:c>
      <x:c r="J8" s="33" t="str">
        <x:v>HOLD</x:v>
      </x:c>
    </x:row>
    <x:row r="9" ht="42" customHeight="1">
      <x:c r="B9" s="32" t="str">
        <x:v>C03</x:v>
      </x:c>
      <x:c r="C9" s="32" t="str">
        <x:v>Representative sample</x:v>
      </x:c>
      <x:c r="D9" s="32" t="str">
        <x:v>unique industrial nodes selected across each class</x:v>
      </x:c>
      <x:c r="E9" s="32" t="str">
        <x:v>Joint exercise white cell</x:v>
      </x:c>
      <x:c r="F9" s="32" t="str">
        <x:v>activate selected nodes</x:v>
      </x:c>
      <x:c r="G9" s="32" t="str">
        <x:v>substitute prepared demonstration team</x:v>
      </x:c>
      <x:c r="H9" s="32" t="str">
        <x:v>deny rolling-coverage credit</x:v>
      </x:c>
      <x:c r="I9" s="32" t="str">
        <x:v>OPEN</x:v>
      </x:c>
      <x:c r="J9" s="33" t="str">
        <x:v>HOLD</x:v>
      </x:c>
    </x:row>
    <x:row r="10" ht="42" customHeight="1">
      <x:c r="B10" s="32" t="str">
        <x:v>C04</x:v>
      </x:c>
      <x:c r="C10" s="32" t="str">
        <x:v>Sealed loss injects</x:v>
      </x:c>
      <x:c r="D10" s="32" t="str">
        <x:v>supplier process utility route receiver and safety cuts</x:v>
      </x:c>
      <x:c r="E10" s="32" t="str">
        <x:v>Joint exercise white cell</x:v>
      </x:c>
      <x:c r="F10" s="32" t="str">
        <x:v>respond without privileged knowledge</x:v>
      </x:c>
      <x:c r="G10" s="32" t="str">
        <x:v>participant-written failure world</x:v>
      </x:c>
      <x:c r="H10" s="32" t="str">
        <x:v>invalidate independence claim</x:v>
      </x:c>
      <x:c r="I10" s="32" t="str">
        <x:v>OPEN</x:v>
      </x:c>
      <x:c r="J10" s="33" t="str">
        <x:v>HOLD</x:v>
      </x:c>
    </x:row>
    <x:row r="11" ht="42" customHeight="1">
      <x:c r="B11" s="32" t="str">
        <x:v>C05</x:v>
      </x:c>
      <x:c r="C11" s="32" t="str">
        <x:v>Conserved lots</x:v>
      </x:c>
      <x:c r="D11" s="32" t="str">
        <x:v>family-specific configuration from production to service</x:v>
      </x:c>
      <x:c r="E11" s="32" t="str">
        <x:v>Independent Evidence and Data Authority</x:v>
      </x:c>
      <x:c r="F11" s="32" t="str">
        <x:v>retain serial and custody identity</x:v>
      </x:c>
      <x:c r="G11" s="32" t="str">
        <x:v>replace lost output with paper capacity</x:v>
      </x:c>
      <x:c r="H11" s="32" t="str">
        <x:v>stop downstream credit</x:v>
      </x:c>
      <x:c r="I11" s="32" t="str">
        <x:v>OPEN</x:v>
      </x:c>
      <x:c r="J11" s="33" t="str">
        <x:v>HOLD</x:v>
      </x:c>
    </x:row>
    <x:row r="12" ht="42" customHeight="1">
      <x:c r="B12" s="32" t="str">
        <x:v>C06</x:v>
      </x:c>
      <x:c r="C12" s="32" t="str">
        <x:v>Independent acceptance</x:v>
      </x:c>
      <x:c r="D12" s="32" t="str">
        <x:v>method instrument uncertainty and conforming yield</x:v>
      </x:c>
      <x:c r="E12" s="32" t="str">
        <x:v>Independent Evidence and Data Authority</x:v>
      </x:c>
      <x:c r="F12" s="32" t="str">
        <x:v>present candidate lots</x:v>
      </x:c>
      <x:c r="G12" s="32" t="str">
        <x:v>builder grades own output</x:v>
      </x:c>
      <x:c r="H12" s="32" t="str">
        <x:v>hold loadout and transport</x:v>
      </x:c>
      <x:c r="I12" s="32" t="str">
        <x:v>OPEN</x:v>
      </x:c>
      <x:c r="J12" s="33" t="str">
        <x:v>HOLD</x:v>
      </x:c>
    </x:row>
    <x:row r="13" ht="42" customHeight="1">
      <x:c r="B13" s="32" t="str">
        <x:v>C07</x:v>
      </x:c>
      <x:c r="C13" s="32" t="str">
        <x:v>Receiving consent</x:v>
      </x:c>
      <x:c r="D13" s="32" t="str">
        <x:v>site interface labor burden and refusal</x:v>
      </x:c>
      <x:c r="E13" s="32" t="str">
        <x:v>Receiving Service Authority</x:v>
      </x:c>
      <x:c r="F13" s="32" t="str">
        <x:v>offer complete support and alternate path</x:v>
      </x:c>
      <x:c r="G13" s="32" t="str">
        <x:v>declare delivery as service</x:v>
      </x:c>
      <x:c r="H13" s="32" t="str">
        <x:v>deny commissioned-effect credit</x:v>
      </x:c>
      <x:c r="I13" s="32" t="str">
        <x:v>OPEN</x:v>
      </x:c>
      <x:c r="J13" s="33" t="str">
        <x:v>HOLD</x:v>
      </x:c>
    </x:row>
    <x:row r="14" ht="42" customHeight="1">
      <x:c r="B14" s="32" t="str">
        <x:v>C08</x:v>
      </x:c>
      <x:c r="C14" s="32" t="str">
        <x:v>Safety supremacy</x:v>
      </x:c>
      <x:c r="D14" s="32" t="str">
        <x:v>exposure residual and bystander state</x:v>
      </x:c>
      <x:c r="E14" s="32" t="str">
        <x:v>Independent Safety and Environmental Authority</x:v>
      </x:c>
      <x:c r="F14" s="32" t="str">
        <x:v>enter safe state and preserve record</x:v>
      </x:c>
      <x:c r="G14" s="32" t="str">
        <x:v>mission urgency overrides stop</x:v>
      </x:c>
      <x:c r="H14" s="32" t="str">
        <x:v>stop exposure without success credit</x:v>
      </x:c>
      <x:c r="I14" s="32" t="str">
        <x:v>OPEN</x:v>
      </x:c>
      <x:c r="J14" s="33" t="str">
        <x:v>HOLD</x:v>
      </x:c>
    </x:row>
    <x:row r="15" ht="42" customHeight="1">
      <x:c r="B15" s="32" t="str">
        <x:v>C09</x:v>
      </x:c>
      <x:c r="C15" s="32" t="str">
        <x:v>Follow-on reserve</x:v>
      </x:c>
      <x:c r="D15" s="32" t="str">
        <x:v>protected people stock tools and capacity</x:v>
      </x:c>
      <x:c r="E15" s="32" t="str">
        <x:v>Production Release Board</x:v>
      </x:c>
      <x:c r="F15" s="32" t="str">
        <x:v>leave reserve untouched until release</x:v>
      </x:c>
      <x:c r="G15" s="32" t="str">
        <x:v>consume reserve to improve first wave</x:v>
      </x:c>
      <x:c r="H15" s="32" t="str">
        <x:v>fail follow-on readiness</x:v>
      </x:c>
      <x:c r="I15" s="32" t="str">
        <x:v>OPEN</x:v>
      </x:c>
      <x:c r="J15" s="33" t="str">
        <x:v>HOLD</x:v>
      </x:c>
    </x:row>
    <x:row r="16" ht="42" customHeight="1">
      <x:c r="B16" s="32" t="str">
        <x:v>C10</x:v>
      </x:c>
      <x:c r="C16" s="32" t="str">
        <x:v>Regeneration closure</x:v>
      </x:c>
      <x:c r="D16" s="32" t="str">
        <x:v>restored people stock process configuration and receiver</x:v>
      </x:c>
      <x:c r="E16" s="32" t="str">
        <x:v>Independent Cost and Capacity Authority</x:v>
      </x:c>
      <x:c r="F16" s="32" t="str">
        <x:v>return chain to declared state</x:v>
      </x:c>
      <x:c r="G16" s="32" t="str">
        <x:v>end exercise at first delivery</x:v>
      </x:c>
      <x:c r="H16" s="32" t="str">
        <x:v>deny mobilization readiness</x:v>
      </x:c>
      <x:c r="I16" s="32" t="str">
        <x:v>OPEN</x:v>
      </x:c>
      <x:c r="J16" s="33" t="str">
        <x:v>HOLD</x:v>
      </x:c>
    </x:row>
    <x:row r="17" ht="42" customHeight="1">
      <x:c r="B17" s="32" t="str">
        <x:v>C11</x:v>
      </x:c>
      <x:c r="C17" s="32" t="str">
        <x:v>Causal after action</x:v>
      </x:c>
      <x:c r="D17" s="32" t="str">
        <x:v>mechanism consequence owner and reopened baseline</x:v>
      </x:c>
      <x:c r="E17" s="32" t="str">
        <x:v>Civil Guarantee Authority</x:v>
      </x:c>
      <x:c r="F17" s="32" t="str">
        <x:v>submit complete record</x:v>
      </x:c>
      <x:c r="G17" s="32" t="str">
        <x:v>narrative lessons without serial cause</x:v>
      </x:c>
      <x:c r="H17" s="32" t="str">
        <x:v>withhold public closure</x:v>
      </x:c>
      <x:c r="I17" s="32" t="str">
        <x:v>OPEN</x:v>
      </x:c>
      <x:c r="J17" s="33" t="str">
        <x:v>HOLD</x:v>
      </x:c>
    </x:row>
    <x:row r="18" ht="42" customHeight="1">
      <x:c r="B18" s="34" t="str">
        <x:v>C12</x:v>
      </x:c>
      <x:c r="C18" s="34" t="str">
        <x:v>Weakest-family rule</x:v>
      </x:c>
      <x:c r="D18" s="34" t="str">
        <x:v>all forty-eight family results</x:v>
      </x:c>
      <x:c r="E18" s="34" t="str">
        <x:v>Resilience Staff</x:v>
      </x:c>
      <x:c r="F18" s="34" t="str">
        <x:v>report every family separately</x:v>
      </x:c>
      <x:c r="G18" s="34" t="str">
        <x:v>portfolio average or composite score</x:v>
      </x:c>
      <x:c r="H18" s="34" t="str">
        <x:v>national result not admitted</x:v>
      </x:c>
      <x:c r="I18" s="34" t="str">
        <x:v>OPEN</x:v>
      </x:c>
      <x:c r="J18" s="35" t="str">
        <x:v>HOLD</x:v>
      </x:c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9" t="str">
        <x:v>Admission equation</x:v>
      </x:c>
      <x:c r="C21" s="30" t="str">
        <x:v>Admission equation</x:v>
      </x:c>
      <x:c r="D21" s="30" t="str">
        <x:v>Admission equation</x:v>
      </x:c>
      <x:c r="E21" s="30" t="str">
        <x:v>Admission equation</x:v>
      </x:c>
      <x:c r="F21" s="30" t="str">
        <x:v>Admission equation</x:v>
      </x:c>
      <x:c r="G21" s="30" t="str">
        <x:v>Admission equation</x:v>
      </x:c>
      <x:c r="H21" s="30" t="str">
        <x:v>Admission equation</x:v>
      </x:c>
      <x:c r="I21" s="30" t="str">
        <x:v>Admission equation</x:v>
      </x:c>
      <x:c r="J21" s="31" t="str">
        <x:v>Admission equation</x:v>
      </x:c>
    </x:row>
    <x:row r="22">
      <x:c r="B22" s="2" t="str">
        <x:v>Stage admitted lots are the minimum of required lots, certified lots and prior-stage admitted lots, only when elapsed time and evidence acceptance both pass.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</x:row>
    <x:row r="23">
      <x:c r="B23" s="2" t="str">
        <x:v>Family admission requires commissioned service and regeneration at or above the registered lot requirement.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</x:row>
    <x:row r="24">
      <x:c r="B24" s="2" t="str">
        <x:v>National admission requires every required family to admit. One failed family preserves a national HOLD.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</x:row>
    <x:row r="25">
      <x:c r="B25" s="2" t="str">
        <x:v>Planning closure and physical admission remain separate outputs throughout the workbook.</x:v>
      </x:c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</x:row>
    <x:row r="26">
      <x:c r="B26" s="2" t="str">
        <x:v>The exercise may produce a valid failure. Failure is a result; readiness credit is not.</x:v>
      </x:c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</x:sheetData>
  <x:mergeCells>
    <x:mergeCell ref="B3:J3"/>
    <x:mergeCell ref="B21:J21"/>
  </x:mergeCells>
  <x:conditionalFormatting sqref="I7:J18">
    <x:cfRule type="containsText" dxfId="9" priority="1" operator="containsText" text="OPEN"/>
    <x:cfRule type="containsText" dxfId="10" priority="2" operator="containsText" text="HOLD"/>
    <x:cfRule type="containsText" dxfId="11" priority="3" operator="containsText" text="BLOCKED"/>
    <x:cfRule type="containsText" dxfId="12" priority="4" operator="containsText" text="GAP"/>
    <x:cfRule type="containsText" dxfId="13" priority="5" operator="containsText" text="NOT ADMITTED"/>
    <x:cfRule type="containsText" dxfId="14" priority="6" operator="containsText" text="FAIL"/>
    <x:cfRule type="containsText" dxfId="15" priority="7" operator="containsText" text="PASS"/>
    <x:cfRule type="containsText" dxfId="16" priority="8" operator="containsText" text="ADEQUATE"/>
    <x:cfRule type="containsText" dxfId="17" priority="9" operator="containsText" text="ADMIT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1" hidden="0" customWidth="1"/>
    <x:col min="4" max="4" width="43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16" hidden="0" customWidth="1"/>
    <x:col min="10" max="10" width="40" hidden="0" customWidth="1"/>
    <x:col min="11" max="11" width="48" hidden="0" customWidth="1"/>
    <x:col min="12" max="12" width="20" hidden="0" customWidth="1"/>
    <x:col min="13" max="13" width="14" hidden="0" customWidth="1"/>
  </x:cols>
  <x:sheetData>
    <x:row r="2">
      <x:c r="B2" s="3" t="str">
        <x:v>Family-specific mission service lots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A lot is the smallest configuration-specific output that can traverse the full industrial-to-public-service chain. Counts are never summed across unlike families.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19" t="str">
        <x:v>Family</x:v>
      </x:c>
      <x:c r="C6" s="20" t="str">
        <x:v>Portfolio</x:v>
      </x:c>
      <x:c r="D6" s="20" t="str">
        <x:v>Capability family</x:v>
      </x:c>
      <x:c r="E6" s="20" t="str">
        <x:v>Lot archetype</x:v>
      </x:c>
      <x:c r="F6" s="20" t="str">
        <x:v>Readiness</x:v>
      </x:c>
      <x:c r="G6" s="20" t="str">
        <x:v>Base lots</x:v>
      </x:c>
      <x:c r="H6" s="20" t="str">
        <x:v>Service deadline hours</x:v>
      </x:c>
      <x:c r="I6" s="20" t="str">
        <x:v>Reserve margin</x:v>
      </x:c>
      <x:c r="J6" s="20" t="str">
        <x:v>Exercise lot definition</x:v>
      </x:c>
      <x:c r="K6" s="20" t="str">
        <x:v>Receiving criterion</x:v>
      </x:c>
      <x:c r="L6" s="20" t="str">
        <x:v>Active required lots</x:v>
      </x:c>
      <x:c r="M6" s="20" t="str">
        <x:v>State</x:v>
      </x:c>
    </x:row>
    <x:row r="7">
      <x:c r="B7" s="21" t="str">
        <x:v>F01</x:v>
      </x:c>
      <x:c r="C7" s="21" t="str">
        <x:v>P01</x:v>
      </x:c>
      <x:c r="D7" s="21" t="str">
        <x:v>Civil coordination node</x:v>
      </x:c>
      <x:c r="E7" s="21" t="str">
        <x:v>Command-and-data set</x:v>
      </x:c>
      <x:c r="F7" s="21" t="str">
        <x:v>H1</x:v>
      </x:c>
      <x:c r="G7" s="37" t="n">
        <x:v>12</x:v>
      </x:c>
      <x:c r="H7" s="37" t="n">
        <x:v>168</x:v>
      </x:c>
      <x:c r="I7" s="37" t="n">
        <x:v>1.6</x:v>
      </x:c>
      <x:c r="J7" s="21" t="str">
        <x:v>12 configured command-and-data set lots</x:v>
      </x:c>
      <x:c r="K7" s="21" t="str">
        <x:v>authenticated service under network loss</x:v>
      </x:c>
      <x:c r="L7" s="37" t="n">
        <x:f>G7*INDEX(Scenarios!$D$7:$D$12,Assumptions!C7)</x:f>
        <x:v>12</x:v>
      </x:c>
      <x:c r="M7" s="23" t="str">
        <x:v>PLANNING</x:v>
      </x:c>
    </x:row>
    <x:row r="8">
      <x:c r="B8" s="21" t="str">
        <x:v>F02</x:v>
      </x:c>
      <x:c r="C8" s="21" t="str">
        <x:v>P01</x:v>
      </x:c>
      <x:c r="D8" s="21" t="str">
        <x:v>Common operating-picture mesh</x:v>
      </x:c>
      <x:c r="E8" s="21" t="str">
        <x:v>Command-and-data set</x:v>
      </x:c>
      <x:c r="F8" s="21" t="str">
        <x:v>H1</x:v>
      </x:c>
      <x:c r="G8" s="37" t="n">
        <x:v>12</x:v>
      </x:c>
      <x:c r="H8" s="37" t="n">
        <x:v>168</x:v>
      </x:c>
      <x:c r="I8" s="37" t="n">
        <x:v>1.6</x:v>
      </x:c>
      <x:c r="J8" s="21" t="str">
        <x:v>12 configured command-and-data set lots</x:v>
      </x:c>
      <x:c r="K8" s="21" t="str">
        <x:v>authenticated service under network loss</x:v>
      </x:c>
      <x:c r="L8" s="37" t="n">
        <x:f>G8*INDEX(Scenarios!$D$7:$D$12,Assumptions!C7)</x:f>
        <x:v>12</x:v>
      </x:c>
      <x:c r="M8" s="23" t="str">
        <x:v>PLANNING</x:v>
      </x:c>
    </x:row>
    <x:row r="9">
      <x:c r="B9" s="21" t="str">
        <x:v>F03</x:v>
      </x:c>
      <x:c r="C9" s="21" t="str">
        <x:v>P01</x:v>
      </x:c>
      <x:c r="D9" s="21" t="str">
        <x:v>Public warning and translation network</x:v>
      </x:c>
      <x:c r="E9" s="21" t="str">
        <x:v>Command-and-data set</x:v>
      </x:c>
      <x:c r="F9" s="21" t="str">
        <x:v>H1</x:v>
      </x:c>
      <x:c r="G9" s="37" t="n">
        <x:v>12</x:v>
      </x:c>
      <x:c r="H9" s="37" t="n">
        <x:v>168</x:v>
      </x:c>
      <x:c r="I9" s="37" t="n">
        <x:v>1.6</x:v>
      </x:c>
      <x:c r="J9" s="21" t="str">
        <x:v>12 configured command-and-data set lots</x:v>
      </x:c>
      <x:c r="K9" s="21" t="str">
        <x:v>authenticated service under network loss</x:v>
      </x:c>
      <x:c r="L9" s="37" t="n">
        <x:f>G9*INDEX(Scenarios!$D$7:$D$12,Assumptions!C7)</x:f>
        <x:v>12</x:v>
      </x:c>
      <x:c r="M9" s="23" t="str">
        <x:v>PLANNING</x:v>
      </x:c>
    </x:row>
    <x:row r="10">
      <x:c r="B10" s="21" t="str">
        <x:v>F04</x:v>
      </x:c>
      <x:c r="C10" s="21" t="str">
        <x:v>P01</x:v>
      </x:c>
      <x:c r="D10" s="21" t="str">
        <x:v>Evidence and identity continuity system</x:v>
      </x:c>
      <x:c r="E10" s="21" t="str">
        <x:v>Command-and-data set</x:v>
      </x:c>
      <x:c r="F10" s="21" t="str">
        <x:v>H1</x:v>
      </x:c>
      <x:c r="G10" s="37" t="n">
        <x:v>12</x:v>
      </x:c>
      <x:c r="H10" s="37" t="n">
        <x:v>168</x:v>
      </x:c>
      <x:c r="I10" s="37" t="n">
        <x:v>1.6</x:v>
      </x:c>
      <x:c r="J10" s="21" t="str">
        <x:v>12 configured command-and-data set lots</x:v>
      </x:c>
      <x:c r="K10" s="21" t="str">
        <x:v>authenticated service under network loss</x:v>
      </x:c>
      <x:c r="L10" s="37" t="n">
        <x:f>G10*INDEX(Scenarios!$D$7:$D$12,Assumptions!C7)</x:f>
        <x:v>12</x:v>
      </x:c>
      <x:c r="M10" s="23" t="str">
        <x:v>PLANNING</x:v>
      </x:c>
    </x:row>
    <x:row r="11">
      <x:c r="B11" s="21" t="str">
        <x:v>F05</x:v>
      </x:c>
      <x:c r="C11" s="21" t="str">
        <x:v>P02</x:v>
      </x:c>
      <x:c r="D11" s="21" t="str">
        <x:v>Rapid nutrition production cell</x:v>
      </x:c>
      <x:c r="E11" s="21" t="str">
        <x:v>Consumable production batch</x:v>
      </x:c>
      <x:c r="F11" s="21" t="str">
        <x:v>S1</x:v>
      </x:c>
      <x:c r="G11" s="37" t="n">
        <x:v>20</x:v>
      </x:c>
      <x:c r="H11" s="37" t="n">
        <x:v>336</x:v>
      </x:c>
      <x:c r="I11" s="37" t="n">
        <x:v>1.45</x:v>
      </x:c>
      <x:c r="J11" s="21" t="str">
        <x:v>20 configured consumable production batch lots</x:v>
      </x:c>
      <x:c r="K11" s="21" t="str">
        <x:v>accepted goods through public distribution</x:v>
      </x:c>
      <x:c r="L11" s="37" t="n">
        <x:f>G11*INDEX(Scenarios!$D$7:$D$12,Assumptions!C7)</x:f>
        <x:v>20</x:v>
      </x:c>
      <x:c r="M11" s="23" t="str">
        <x:v>PLANNING</x:v>
      </x:c>
    </x:row>
    <x:row r="12">
      <x:c r="B12" s="21" t="str">
        <x:v>F06</x:v>
      </x:c>
      <x:c r="C12" s="21" t="str">
        <x:v>P02</x:v>
      </x:c>
      <x:c r="D12" s="21" t="str">
        <x:v>Cold-chain preservation lattice</x:v>
      </x:c>
      <x:c r="E12" s="21" t="str">
        <x:v>Consumable production batch</x:v>
      </x:c>
      <x:c r="F12" s="21" t="str">
        <x:v>S1</x:v>
      </x:c>
      <x:c r="G12" s="37" t="n">
        <x:v>20</x:v>
      </x:c>
      <x:c r="H12" s="37" t="n">
        <x:v>336</x:v>
      </x:c>
      <x:c r="I12" s="37" t="n">
        <x:v>1.45</x:v>
      </x:c>
      <x:c r="J12" s="21" t="str">
        <x:v>20 configured consumable production batch lots</x:v>
      </x:c>
      <x:c r="K12" s="21" t="str">
        <x:v>accepted goods through public distribution</x:v>
      </x:c>
      <x:c r="L12" s="37" t="n">
        <x:f>G12*INDEX(Scenarios!$D$7:$D$12,Assumptions!C7)</x:f>
        <x:v>20</x:v>
      </x:c>
      <x:c r="M12" s="23" t="str">
        <x:v>PLANNING</x:v>
      </x:c>
    </x:row>
    <x:row r="13">
      <x:c r="B13" s="21" t="str">
        <x:v>F07</x:v>
      </x:c>
      <x:c r="C13" s="21" t="str">
        <x:v>P02</x:v>
      </x:c>
      <x:c r="D13" s="21" t="str">
        <x:v>Shelter manufacturing line</x:v>
      </x:c>
      <x:c r="E13" s="21" t="str">
        <x:v>Civil works package</x:v>
      </x:c>
      <x:c r="F13" s="21" t="str">
        <x:v>W2</x:v>
      </x:c>
      <x:c r="G13" s="37" t="n">
        <x:v>8</x:v>
      </x:c>
      <x:c r="H13" s="37" t="n">
        <x:v>720</x:v>
      </x:c>
      <x:c r="I13" s="37" t="n">
        <x:v>1.3</x:v>
      </x:c>
      <x:c r="J13" s="21" t="str">
        <x:v>8 configured civil works package lots</x:v>
      </x:c>
      <x:c r="K13" s="21" t="str">
        <x:v>accepted goods through public distribution</x:v>
      </x:c>
      <x:c r="L13" s="37" t="n">
        <x:f>G13*INDEX(Scenarios!$D$7:$D$12,Assumptions!C7)</x:f>
        <x:v>8</x:v>
      </x:c>
      <x:c r="M13" s="23" t="str">
        <x:v>PLANNING</x:v>
      </x:c>
    </x:row>
    <x:row r="14">
      <x:c r="B14" s="21" t="str">
        <x:v>F08</x:v>
      </x:c>
      <x:c r="C14" s="21" t="str">
        <x:v>P02</x:v>
      </x:c>
      <x:c r="D14" s="21" t="str">
        <x:v>Essential-goods fabrication cell</x:v>
      </x:c>
      <x:c r="E14" s="21" t="str">
        <x:v>Consumable production batch</x:v>
      </x:c>
      <x:c r="F14" s="21" t="str">
        <x:v>S1</x:v>
      </x:c>
      <x:c r="G14" s="37" t="n">
        <x:v>20</x:v>
      </x:c>
      <x:c r="H14" s="37" t="n">
        <x:v>336</x:v>
      </x:c>
      <x:c r="I14" s="37" t="n">
        <x:v>1.45</x:v>
      </x:c>
      <x:c r="J14" s="21" t="str">
        <x:v>20 configured consumable production batch lots</x:v>
      </x:c>
      <x:c r="K14" s="21" t="str">
        <x:v>accepted goods through public distribution</x:v>
      </x:c>
      <x:c r="L14" s="37" t="n">
        <x:f>G14*INDEX(Scenarios!$D$7:$D$12,Assumptions!C7)</x:f>
        <x:v>20</x:v>
      </x:c>
      <x:c r="M14" s="23" t="str">
        <x:v>PLANNING</x:v>
      </x:c>
    </x:row>
    <x:row r="15">
      <x:c r="B15" s="21" t="str">
        <x:v>F09</x:v>
      </x:c>
      <x:c r="C15" s="21" t="str">
        <x:v>P02</x:v>
      </x:c>
      <x:c r="D15" s="21" t="str">
        <x:v>Mass-care distribution hub</x:v>
      </x:c>
      <x:c r="E15" s="21" t="str">
        <x:v>Distributed service cell</x:v>
      </x:c>
      <x:c r="F15" s="21" t="str">
        <x:v>H1</x:v>
      </x:c>
      <x:c r="G15" s="37" t="n">
        <x:v>12</x:v>
      </x:c>
      <x:c r="H15" s="37" t="n">
        <x:v>168</x:v>
      </x:c>
      <x:c r="I15" s="37" t="n">
        <x:v>1.6</x:v>
      </x:c>
      <x:c r="J15" s="21" t="str">
        <x:v>12 configured distributed service cell lots</x:v>
      </x:c>
      <x:c r="K15" s="21" t="str">
        <x:v>accepted goods through public distribution</x:v>
      </x:c>
      <x:c r="L15" s="37" t="n">
        <x:f>G15*INDEX(Scenarios!$D$7:$D$12,Assumptions!C7)</x:f>
        <x:v>12</x:v>
      </x:c>
      <x:c r="M15" s="23" t="str">
        <x:v>PLANNING</x:v>
      </x:c>
    </x:row>
    <x:row r="16">
      <x:c r="B16" s="21" t="str">
        <x:v>F10</x:v>
      </x:c>
      <x:c r="C16" s="21" t="str">
        <x:v>P03</x:v>
      </x:c>
      <x:c r="D16" s="21" t="str">
        <x:v>Field acute-care hospital family</x:v>
      </x:c>
      <x:c r="E16" s="21" t="str">
        <x:v>Medical service unit</x:v>
      </x:c>
      <x:c r="F16" s="21" t="str">
        <x:v>H1</x:v>
      </x:c>
      <x:c r="G16" s="37" t="n">
        <x:v>6</x:v>
      </x:c>
      <x:c r="H16" s="37" t="n">
        <x:v>336</x:v>
      </x:c>
      <x:c r="I16" s="37" t="n">
        <x:v>1.6</x:v>
      </x:c>
      <x:c r="J16" s="21" t="str">
        <x:v>6 configured medical service unit lots</x:v>
      </x:c>
      <x:c r="K16" s="21" t="str">
        <x:v>licensed staffed service with referral and discharge</x:v>
      </x:c>
      <x:c r="L16" s="37" t="n">
        <x:f>G16*INDEX(Scenarios!$D$7:$D$12,Assumptions!C7)</x:f>
        <x:v>6</x:v>
      </x:c>
      <x:c r="M16" s="23" t="str">
        <x:v>PLANNING</x:v>
      </x:c>
    </x:row>
    <x:row r="17">
      <x:c r="B17" s="21" t="str">
        <x:v>F11</x:v>
      </x:c>
      <x:c r="C17" s="21" t="str">
        <x:v>P03</x:v>
      </x:c>
      <x:c r="D17" s="21" t="str">
        <x:v>Surgical and critical-care carrier</x:v>
      </x:c>
      <x:c r="E17" s="21" t="str">
        <x:v>Medical service unit</x:v>
      </x:c>
      <x:c r="F17" s="21" t="str">
        <x:v>H1</x:v>
      </x:c>
      <x:c r="G17" s="37" t="n">
        <x:v>6</x:v>
      </x:c>
      <x:c r="H17" s="37" t="n">
        <x:v>336</x:v>
      </x:c>
      <x:c r="I17" s="37" t="n">
        <x:v>1.6</x:v>
      </x:c>
      <x:c r="J17" s="21" t="str">
        <x:v>6 configured medical service unit lots</x:v>
      </x:c>
      <x:c r="K17" s="21" t="str">
        <x:v>licensed staffed service with referral and discharge</x:v>
      </x:c>
      <x:c r="L17" s="37" t="n">
        <x:f>G17*INDEX(Scenarios!$D$7:$D$12,Assumptions!C7)</x:f>
        <x:v>6</x:v>
      </x:c>
      <x:c r="M17" s="23" t="str">
        <x:v>PLANNING</x:v>
      </x:c>
    </x:row>
    <x:row r="18">
      <x:c r="B18" s="21" t="str">
        <x:v>F12</x:v>
      </x:c>
      <x:c r="C18" s="21" t="str">
        <x:v>P03</x:v>
      </x:c>
      <x:c r="D18" s="21" t="str">
        <x:v>Mobile diagnostic and laboratory network</x:v>
      </x:c>
      <x:c r="E18" s="21" t="str">
        <x:v>Medical service unit</x:v>
      </x:c>
      <x:c r="F18" s="21" t="str">
        <x:v>H1</x:v>
      </x:c>
      <x:c r="G18" s="37" t="n">
        <x:v>6</x:v>
      </x:c>
      <x:c r="H18" s="37" t="n">
        <x:v>336</x:v>
      </x:c>
      <x:c r="I18" s="37" t="n">
        <x:v>1.6</x:v>
      </x:c>
      <x:c r="J18" s="21" t="str">
        <x:v>6 configured medical service unit lots</x:v>
      </x:c>
      <x:c r="K18" s="21" t="str">
        <x:v>licensed staffed service with referral and discharge</x:v>
      </x:c>
      <x:c r="L18" s="37" t="n">
        <x:f>G18*INDEX(Scenarios!$D$7:$D$12,Assumptions!C7)</x:f>
        <x:v>6</x:v>
      </x:c>
      <x:c r="M18" s="23" t="str">
        <x:v>PLANNING</x:v>
      </x:c>
    </x:row>
    <x:row r="19">
      <x:c r="B19" s="21" t="str">
        <x:v>F13</x:v>
      </x:c>
      <x:c r="C19" s="21" t="str">
        <x:v>P03</x:v>
      </x:c>
      <x:c r="D19" s="21" t="str">
        <x:v>Pharmaceutical and biologic microfactory</x:v>
      </x:c>
      <x:c r="E19" s="21" t="str">
        <x:v>Consumable production batch</x:v>
      </x:c>
      <x:c r="F19" s="21" t="str">
        <x:v>S1</x:v>
      </x:c>
      <x:c r="G19" s="37" t="n">
        <x:v>20</x:v>
      </x:c>
      <x:c r="H19" s="37" t="n">
        <x:v>720</x:v>
      </x:c>
      <x:c r="I19" s="37" t="n">
        <x:v>1.45</x:v>
      </x:c>
      <x:c r="J19" s="21" t="str">
        <x:v>20 configured consumable production batch lots</x:v>
      </x:c>
      <x:c r="K19" s="21" t="str">
        <x:v>licensed staffed service with referral and discharge</x:v>
      </x:c>
      <x:c r="L19" s="37" t="n">
        <x:f>G19*INDEX(Scenarios!$D$7:$D$12,Assumptions!C7)</x:f>
        <x:v>20</x:v>
      </x:c>
      <x:c r="M19" s="23" t="str">
        <x:v>PLANNING</x:v>
      </x:c>
    </x:row>
    <x:row r="20">
      <x:c r="B20" s="21" t="str">
        <x:v>F14</x:v>
      </x:c>
      <x:c r="C20" s="21" t="str">
        <x:v>P03</x:v>
      </x:c>
      <x:c r="D20" s="21" t="str">
        <x:v>Patient evacuation and isolation fleet</x:v>
      </x:c>
      <x:c r="E20" s="21" t="str">
        <x:v>Medical service unit</x:v>
      </x:c>
      <x:c r="F20" s="21" t="str">
        <x:v>H1</x:v>
      </x:c>
      <x:c r="G20" s="37" t="n">
        <x:v>6</x:v>
      </x:c>
      <x:c r="H20" s="37" t="n">
        <x:v>336</x:v>
      </x:c>
      <x:c r="I20" s="37" t="n">
        <x:v>1.6</x:v>
      </x:c>
      <x:c r="J20" s="21" t="str">
        <x:v>6 configured medical service unit lots</x:v>
      </x:c>
      <x:c r="K20" s="21" t="str">
        <x:v>licensed staffed service with referral and discharge</x:v>
      </x:c>
      <x:c r="L20" s="37" t="n">
        <x:f>G20*INDEX(Scenarios!$D$7:$D$12,Assumptions!C7)</x:f>
        <x:v>6</x:v>
      </x:c>
      <x:c r="M20" s="23" t="str">
        <x:v>PLANNING</x:v>
      </x:c>
    </x:row>
    <x:row r="21">
      <x:c r="B21" s="21" t="str">
        <x:v>F15</x:v>
      </x:c>
      <x:c r="C21" s="21" t="str">
        <x:v>P03</x:v>
      </x:c>
      <x:c r="D21" s="21" t="str">
        <x:v>Public-health surveillance grid</x:v>
      </x:c>
      <x:c r="E21" s="21" t="str">
        <x:v>Medical service unit</x:v>
      </x:c>
      <x:c r="F21" s="21" t="str">
        <x:v>H1</x:v>
      </x:c>
      <x:c r="G21" s="37" t="n">
        <x:v>6</x:v>
      </x:c>
      <x:c r="H21" s="37" t="n">
        <x:v>336</x:v>
      </x:c>
      <x:c r="I21" s="37" t="n">
        <x:v>1.6</x:v>
      </x:c>
      <x:c r="J21" s="21" t="str">
        <x:v>6 configured medical service unit lots</x:v>
      </x:c>
      <x:c r="K21" s="21" t="str">
        <x:v>licensed staffed service with referral and discharge</x:v>
      </x:c>
      <x:c r="L21" s="37" t="n">
        <x:f>G21*INDEX(Scenarios!$D$7:$D$12,Assumptions!C7)</x:f>
        <x:v>6</x:v>
      </x:c>
      <x:c r="M21" s="23" t="str">
        <x:v>PLANNING</x:v>
      </x:c>
    </x:row>
    <x:row r="22">
      <x:c r="B22" s="21" t="str">
        <x:v>F16</x:v>
      </x:c>
      <x:c r="C22" s="21" t="str">
        <x:v>P04</x:v>
      </x:c>
      <x:c r="D22" s="21" t="str">
        <x:v>Deployable grid-forming power station</x:v>
      </x:c>
      <x:c r="E22" s="21" t="str">
        <x:v>Utility service block</x:v>
      </x:c>
      <x:c r="F22" s="21" t="str">
        <x:v>H1</x:v>
      </x:c>
      <x:c r="G22" s="37" t="n">
        <x:v>4</x:v>
      </x:c>
      <x:c r="H22" s="37" t="n">
        <x:v>336</x:v>
      </x:c>
      <x:c r="I22" s="37" t="n">
        <x:v>1.6</x:v>
      </x:c>
      <x:c r="J22" s="21" t="str">
        <x:v>4 configured utility service block lots</x:v>
      </x:c>
      <x:c r="K22" s="21" t="str">
        <x:v>commissioned service at the receiving utility boundary</x:v>
      </x:c>
      <x:c r="L22" s="37" t="n">
        <x:f>G22*INDEX(Scenarios!$D$7:$D$12,Assumptions!C7)</x:f>
        <x:v>4</x:v>
      </x:c>
      <x:c r="M22" s="23" t="str">
        <x:v>PLANNING</x:v>
      </x:c>
    </x:row>
    <x:row r="23">
      <x:c r="B23" s="21" t="str">
        <x:v>F17</x:v>
      </x:c>
      <x:c r="C23" s="21" t="str">
        <x:v>P04</x:v>
      </x:c>
      <x:c r="D23" s="21" t="str">
        <x:v>Mobile nuclear energy station</x:v>
      </x:c>
      <x:c r="E23" s="21" t="str">
        <x:v>Utility service block</x:v>
      </x:c>
      <x:c r="F23" s="21" t="str">
        <x:v>S1</x:v>
      </x:c>
      <x:c r="G23" s="37" t="n">
        <x:v>4</x:v>
      </x:c>
      <x:c r="H23" s="37" t="n">
        <x:v>720</x:v>
      </x:c>
      <x:c r="I23" s="37" t="n">
        <x:v>1.45</x:v>
      </x:c>
      <x:c r="J23" s="21" t="str">
        <x:v>4 configured utility service block lots</x:v>
      </x:c>
      <x:c r="K23" s="21" t="str">
        <x:v>commissioned service at the receiving utility boundary</x:v>
      </x:c>
      <x:c r="L23" s="37" t="n">
        <x:f>G23*INDEX(Scenarios!$D$7:$D$12,Assumptions!C7)</x:f>
        <x:v>4</x:v>
      </x:c>
      <x:c r="M23" s="23" t="str">
        <x:v>PLANNING</x:v>
      </x:c>
    </x:row>
    <x:row r="24">
      <x:c r="B24" s="21" t="str">
        <x:v>F18</x:v>
      </x:c>
      <x:c r="C24" s="21" t="str">
        <x:v>P04</x:v>
      </x:c>
      <x:c r="D24" s="21" t="str">
        <x:v>Long-duration storage module</x:v>
      </x:c>
      <x:c r="E24" s="21" t="str">
        <x:v>Utility service block</x:v>
      </x:c>
      <x:c r="F24" s="21" t="str">
        <x:v>S1</x:v>
      </x:c>
      <x:c r="G24" s="37" t="n">
        <x:v>4</x:v>
      </x:c>
      <x:c r="H24" s="37" t="n">
        <x:v>720</x:v>
      </x:c>
      <x:c r="I24" s="37" t="n">
        <x:v>1.45</x:v>
      </x:c>
      <x:c r="J24" s="21" t="str">
        <x:v>4 configured utility service block lots</x:v>
      </x:c>
      <x:c r="K24" s="21" t="str">
        <x:v>commissioned service at the receiving utility boundary</x:v>
      </x:c>
      <x:c r="L24" s="37" t="n">
        <x:f>G24*INDEX(Scenarios!$D$7:$D$12,Assumptions!C7)</x:f>
        <x:v>4</x:v>
      </x:c>
      <x:c r="M24" s="23" t="str">
        <x:v>PLANNING</x:v>
      </x:c>
    </x:row>
    <x:row r="25">
      <x:c r="B25" s="21" t="str">
        <x:v>F19</x:v>
      </x:c>
      <x:c r="C25" s="21" t="str">
        <x:v>P04</x:v>
      </x:c>
      <x:c r="D25" s="21" t="str">
        <x:v>District thermal utility</x:v>
      </x:c>
      <x:c r="E25" s="21" t="str">
        <x:v>Utility service block</x:v>
      </x:c>
      <x:c r="F25" s="21" t="str">
        <x:v>H1</x:v>
      </x:c>
      <x:c r="G25" s="37" t="n">
        <x:v>4</x:v>
      </x:c>
      <x:c r="H25" s="37" t="n">
        <x:v>336</x:v>
      </x:c>
      <x:c r="I25" s="37" t="n">
        <x:v>1.6</x:v>
      </x:c>
      <x:c r="J25" s="21" t="str">
        <x:v>4 configured utility service block lots</x:v>
      </x:c>
      <x:c r="K25" s="21" t="str">
        <x:v>commissioned service at the receiving utility boundary</x:v>
      </x:c>
      <x:c r="L25" s="37" t="n">
        <x:f>G25*INDEX(Scenarios!$D$7:$D$12,Assumptions!C7)</x:f>
        <x:v>4</x:v>
      </x:c>
      <x:c r="M25" s="23" t="str">
        <x:v>PLANNING</x:v>
      </x:c>
    </x:row>
    <x:row r="26">
      <x:c r="B26" s="21" t="str">
        <x:v>F20</x:v>
      </x:c>
      <x:c r="C26" s="21" t="str">
        <x:v>P04</x:v>
      </x:c>
      <x:c r="D26" s="21" t="str">
        <x:v>Fuel synthesis and distribution train</x:v>
      </x:c>
      <x:c r="E26" s="21" t="str">
        <x:v>Consumable production batch</x:v>
      </x:c>
      <x:c r="F26" s="21" t="str">
        <x:v>W2</x:v>
      </x:c>
      <x:c r="G26" s="37" t="n">
        <x:v>8</x:v>
      </x:c>
      <x:c r="H26" s="37" t="n">
        <x:v>1440</x:v>
      </x:c>
      <x:c r="I26" s="37" t="n">
        <x:v>1.3</x:v>
      </x:c>
      <x:c r="J26" s="21" t="str">
        <x:v>8 configured consumable production batch lots</x:v>
      </x:c>
      <x:c r="K26" s="21" t="str">
        <x:v>commissioned service at the receiving utility boundary</x:v>
      </x:c>
      <x:c r="L26" s="37" t="n">
        <x:f>G26*INDEX(Scenarios!$D$7:$D$12,Assumptions!C7)</x:f>
        <x:v>8</x:v>
      </x:c>
      <x:c r="M26" s="23" t="str">
        <x:v>PLANNING</x:v>
      </x:c>
    </x:row>
    <x:row r="27">
      <x:c r="B27" s="21" t="str">
        <x:v>F21</x:v>
      </x:c>
      <x:c r="C27" s="21" t="str">
        <x:v>P04</x:v>
      </x:c>
      <x:c r="D27" s="21" t="str">
        <x:v>Grid restoration and line-deployment system</x:v>
      </x:c>
      <x:c r="E27" s="21" t="str">
        <x:v>Civil works package</x:v>
      </x:c>
      <x:c r="F27" s="21" t="str">
        <x:v>S1</x:v>
      </x:c>
      <x:c r="G27" s="37" t="n">
        <x:v>8</x:v>
      </x:c>
      <x:c r="H27" s="37" t="n">
        <x:v>720</x:v>
      </x:c>
      <x:c r="I27" s="37" t="n">
        <x:v>1.45</x:v>
      </x:c>
      <x:c r="J27" s="21" t="str">
        <x:v>8 configured civil works package lots</x:v>
      </x:c>
      <x:c r="K27" s="21" t="str">
        <x:v>commissioned service at the receiving utility boundary</x:v>
      </x:c>
      <x:c r="L27" s="37" t="n">
        <x:f>G27*INDEX(Scenarios!$D$7:$D$12,Assumptions!C7)</x:f>
        <x:v>8</x:v>
      </x:c>
      <x:c r="M27" s="23" t="str">
        <x:v>PLANNING</x:v>
      </x:c>
    </x:row>
    <x:row r="28">
      <x:c r="B28" s="21" t="str">
        <x:v>F22</x:v>
      </x:c>
      <x:c r="C28" s="21" t="str">
        <x:v>P05</x:v>
      </x:c>
      <x:c r="D28" s="21" t="str">
        <x:v>Stratospheric communications platform</x:v>
      </x:c>
      <x:c r="E28" s="21" t="str">
        <x:v>Command-and-data set</x:v>
      </x:c>
      <x:c r="F28" s="21" t="str">
        <x:v>H1</x:v>
      </x:c>
      <x:c r="G28" s="37" t="n">
        <x:v>12</x:v>
      </x:c>
      <x:c r="H28" s="37" t="n">
        <x:v>168</x:v>
      </x:c>
      <x:c r="I28" s="37" t="n">
        <x:v>1.6</x:v>
      </x:c>
      <x:c r="J28" s="21" t="str">
        <x:v>12 configured command-and-data set lots</x:v>
      </x:c>
      <x:c r="K28" s="21" t="str">
        <x:v>public and force access under infrastructure loss</x:v>
      </x:c>
      <x:c r="L28" s="37" t="n">
        <x:f>G28*INDEX(Scenarios!$D$7:$D$12,Assumptions!C7)</x:f>
        <x:v>12</x:v>
      </x:c>
      <x:c r="M28" s="23" t="str">
        <x:v>PLANNING</x:v>
      </x:c>
    </x:row>
    <x:row r="29">
      <x:c r="B29" s="21" t="str">
        <x:v>F23</x:v>
      </x:c>
      <x:c r="C29" s="21" t="str">
        <x:v>P05</x:v>
      </x:c>
      <x:c r="D29" s="21" t="str">
        <x:v>Terrestrial recovery mesh</x:v>
      </x:c>
      <x:c r="E29" s="21" t="str">
        <x:v>Command-and-data set</x:v>
      </x:c>
      <x:c r="F29" s="21" t="str">
        <x:v>H1</x:v>
      </x:c>
      <x:c r="G29" s="37" t="n">
        <x:v>12</x:v>
      </x:c>
      <x:c r="H29" s="37" t="n">
        <x:v>168</x:v>
      </x:c>
      <x:c r="I29" s="37" t="n">
        <x:v>1.6</x:v>
      </x:c>
      <x:c r="J29" s="21" t="str">
        <x:v>12 configured command-and-data set lots</x:v>
      </x:c>
      <x:c r="K29" s="21" t="str">
        <x:v>public and force access under infrastructure loss</x:v>
      </x:c>
      <x:c r="L29" s="37" t="n">
        <x:f>G29*INDEX(Scenarios!$D$7:$D$12,Assumptions!C7)</x:f>
        <x:v>12</x:v>
      </x:c>
      <x:c r="M29" s="23" t="str">
        <x:v>PLANNING</x:v>
      </x:c>
    </x:row>
    <x:row r="30">
      <x:c r="B30" s="21" t="str">
        <x:v>F24</x:v>
      </x:c>
      <x:c r="C30" s="21" t="str">
        <x:v>P05</x:v>
      </x:c>
      <x:c r="D30" s="21" t="str">
        <x:v>Civil compute and data-continuity cloudlet</x:v>
      </x:c>
      <x:c r="E30" s="21" t="str">
        <x:v>Command-and-data set</x:v>
      </x:c>
      <x:c r="F30" s="21" t="str">
        <x:v>H1</x:v>
      </x:c>
      <x:c r="G30" s="37" t="n">
        <x:v>12</x:v>
      </x:c>
      <x:c r="H30" s="37" t="n">
        <x:v>168</x:v>
      </x:c>
      <x:c r="I30" s="37" t="n">
        <x:v>1.6</x:v>
      </x:c>
      <x:c r="J30" s="21" t="str">
        <x:v>12 configured command-and-data set lots</x:v>
      </x:c>
      <x:c r="K30" s="21" t="str">
        <x:v>public and force access under infrastructure loss</x:v>
      </x:c>
      <x:c r="L30" s="37" t="n">
        <x:f>G30*INDEX(Scenarios!$D$7:$D$12,Assumptions!C7)</x:f>
        <x:v>12</x:v>
      </x:c>
      <x:c r="M30" s="23" t="str">
        <x:v>PLANNING</x:v>
      </x:c>
    </x:row>
    <x:row r="31">
      <x:c r="B31" s="21" t="str">
        <x:v>F25</x:v>
      </x:c>
      <x:c r="C31" s="21" t="str">
        <x:v>P05</x:v>
      </x:c>
      <x:c r="D31" s="21" t="str">
        <x:v>Spectrum recovery and public-access node</x:v>
      </x:c>
      <x:c r="E31" s="21" t="str">
        <x:v>Command-and-data set</x:v>
      </x:c>
      <x:c r="F31" s="21" t="str">
        <x:v>H1</x:v>
      </x:c>
      <x:c r="G31" s="37" t="n">
        <x:v>12</x:v>
      </x:c>
      <x:c r="H31" s="37" t="n">
        <x:v>168</x:v>
      </x:c>
      <x:c r="I31" s="37" t="n">
        <x:v>1.6</x:v>
      </x:c>
      <x:c r="J31" s="21" t="str">
        <x:v>12 configured command-and-data set lots</x:v>
      </x:c>
      <x:c r="K31" s="21" t="str">
        <x:v>public and force access under infrastructure loss</x:v>
      </x:c>
      <x:c r="L31" s="37" t="n">
        <x:f>G31*INDEX(Scenarios!$D$7:$D$12,Assumptions!C7)</x:f>
        <x:v>12</x:v>
      </x:c>
      <x:c r="M31" s="23" t="str">
        <x:v>PLANNING</x:v>
      </x:c>
    </x:row>
    <x:row r="32">
      <x:c r="B32" s="21" t="str">
        <x:v>F26</x:v>
      </x:c>
      <x:c r="C32" s="21" t="str">
        <x:v>P05</x:v>
      </x:c>
      <x:c r="D32" s="21" t="str">
        <x:v>Position navigation and time restoration lattice</x:v>
      </x:c>
      <x:c r="E32" s="21" t="str">
        <x:v>Command-and-data set</x:v>
      </x:c>
      <x:c r="F32" s="21" t="str">
        <x:v>H1</x:v>
      </x:c>
      <x:c r="G32" s="37" t="n">
        <x:v>12</x:v>
      </x:c>
      <x:c r="H32" s="37" t="n">
        <x:v>168</x:v>
      </x:c>
      <x:c r="I32" s="37" t="n">
        <x:v>1.6</x:v>
      </x:c>
      <x:c r="J32" s="21" t="str">
        <x:v>12 configured command-and-data set lots</x:v>
      </x:c>
      <x:c r="K32" s="21" t="str">
        <x:v>public and force access under infrastructure loss</x:v>
      </x:c>
      <x:c r="L32" s="37" t="n">
        <x:f>G32*INDEX(Scenarios!$D$7:$D$12,Assumptions!C7)</x:f>
        <x:v>12</x:v>
      </x:c>
      <x:c r="M32" s="23" t="str">
        <x:v>PLANNING</x:v>
      </x:c>
    </x:row>
    <x:row r="33">
      <x:c r="B33" s="21" t="str">
        <x:v>F27</x:v>
      </x:c>
      <x:c r="C33" s="21" t="str">
        <x:v>P06</x:v>
      </x:c>
      <x:c r="D33" s="21" t="str">
        <x:v>Heavy airlift relief carrier</x:v>
      </x:c>
      <x:c r="E33" s="21" t="str">
        <x:v>Strategic mobility set</x:v>
      </x:c>
      <x:c r="F33" s="21" t="str">
        <x:v>W2</x:v>
      </x:c>
      <x:c r="G33" s="37" t="n">
        <x:v>2</x:v>
      </x:c>
      <x:c r="H33" s="37" t="n">
        <x:v>1440</x:v>
      </x:c>
      <x:c r="I33" s="37" t="n">
        <x:v>1.3</x:v>
      </x:c>
      <x:c r="J33" s="21" t="str">
        <x:v>2 configured strategic mobility set lots</x:v>
      </x:c>
      <x:c r="K33" s="21" t="str">
        <x:v>accepted payload reaches commissioned receiver</x:v>
      </x:c>
      <x:c r="L33" s="37" t="n">
        <x:f>G33*INDEX(Scenarios!$D$7:$D$12,Assumptions!C7)</x:f>
        <x:v>2</x:v>
      </x:c>
      <x:c r="M33" s="23" t="str">
        <x:v>PLANNING</x:v>
      </x:c>
    </x:row>
    <x:row r="34">
      <x:c r="B34" s="21" t="str">
        <x:v>F28</x:v>
      </x:c>
      <x:c r="C34" s="21" t="str">
        <x:v>P06</x:v>
      </x:c>
      <x:c r="D34" s="21" t="str">
        <x:v>Vertical-access and evacuation aircraft</x:v>
      </x:c>
      <x:c r="E34" s="21" t="str">
        <x:v>Distributed service cell</x:v>
      </x:c>
      <x:c r="F34" s="21" t="str">
        <x:v>H1</x:v>
      </x:c>
      <x:c r="G34" s="37" t="n">
        <x:v>12</x:v>
      </x:c>
      <x:c r="H34" s="37" t="n">
        <x:v>336</x:v>
      </x:c>
      <x:c r="I34" s="37" t="n">
        <x:v>1.6</x:v>
      </x:c>
      <x:c r="J34" s="21" t="str">
        <x:v>12 configured distributed service cell lots</x:v>
      </x:c>
      <x:c r="K34" s="21" t="str">
        <x:v>accepted payload reaches commissioned receiver</x:v>
      </x:c>
      <x:c r="L34" s="37" t="n">
        <x:f>G34*INDEX(Scenarios!$D$7:$D$12,Assumptions!C7)</x:f>
        <x:v>12</x:v>
      </x:c>
      <x:c r="M34" s="23" t="str">
        <x:v>PLANNING</x:v>
      </x:c>
    </x:row>
    <x:row r="35">
      <x:c r="B35" s="21" t="str">
        <x:v>F29</x:v>
      </x:c>
      <x:c r="C35" s="21" t="str">
        <x:v>P06</x:v>
      </x:c>
      <x:c r="D35" s="21" t="str">
        <x:v>Littoral response carrier</x:v>
      </x:c>
      <x:c r="E35" s="21" t="str">
        <x:v>Strategic mobility set</x:v>
      </x:c>
      <x:c r="F35" s="21" t="str">
        <x:v>W2</x:v>
      </x:c>
      <x:c r="G35" s="37" t="n">
        <x:v>2</x:v>
      </x:c>
      <x:c r="H35" s="37" t="n">
        <x:v>1440</x:v>
      </x:c>
      <x:c r="I35" s="37" t="n">
        <x:v>1.3</x:v>
      </x:c>
      <x:c r="J35" s="21" t="str">
        <x:v>2 configured strategic mobility set lots</x:v>
      </x:c>
      <x:c r="K35" s="21" t="str">
        <x:v>accepted payload reaches commissioned receiver</x:v>
      </x:c>
      <x:c r="L35" s="37" t="n">
        <x:f>G35*INDEX(Scenarios!$D$7:$D$12,Assumptions!C7)</x:f>
        <x:v>2</x:v>
      </x:c>
      <x:c r="M35" s="23" t="str">
        <x:v>PLANNING</x:v>
      </x:c>
    </x:row>
    <x:row r="36">
      <x:c r="B36" s="21" t="str">
        <x:v>F30</x:v>
      </x:c>
      <x:c r="C36" s="21" t="str">
        <x:v>P06</x:v>
      </x:c>
      <x:c r="D36" s="21" t="str">
        <x:v>Riverine access train</x:v>
      </x:c>
      <x:c r="E36" s="21" t="str">
        <x:v>Strategic mobility set</x:v>
      </x:c>
      <x:c r="F36" s="21" t="str">
        <x:v>W2</x:v>
      </x:c>
      <x:c r="G36" s="37" t="n">
        <x:v>2</x:v>
      </x:c>
      <x:c r="H36" s="37" t="n">
        <x:v>1440</x:v>
      </x:c>
      <x:c r="I36" s="37" t="n">
        <x:v>1.3</x:v>
      </x:c>
      <x:c r="J36" s="21" t="str">
        <x:v>2 configured strategic mobility set lots</x:v>
      </x:c>
      <x:c r="K36" s="21" t="str">
        <x:v>accepted payload reaches commissioned receiver</x:v>
      </x:c>
      <x:c r="L36" s="37" t="n">
        <x:f>G36*INDEX(Scenarios!$D$7:$D$12,Assumptions!C7)</x:f>
        <x:v>2</x:v>
      </x:c>
      <x:c r="M36" s="23" t="str">
        <x:v>PLANNING</x:v>
      </x:c>
    </x:row>
    <x:row r="37">
      <x:c r="B37" s="21" t="str">
        <x:v>F31</x:v>
      </x:c>
      <x:c r="C37" s="21" t="str">
        <x:v>P06</x:v>
      </x:c>
      <x:c r="D37" s="21" t="str">
        <x:v>Autonomous ground-logistics convoy</x:v>
      </x:c>
      <x:c r="E37" s="21" t="str">
        <x:v>Distributed service cell</x:v>
      </x:c>
      <x:c r="F37" s="21" t="str">
        <x:v>S1</x:v>
      </x:c>
      <x:c r="G37" s="37" t="n">
        <x:v>12</x:v>
      </x:c>
      <x:c r="H37" s="37" t="n">
        <x:v>720</x:v>
      </x:c>
      <x:c r="I37" s="37" t="n">
        <x:v>1.45</x:v>
      </x:c>
      <x:c r="J37" s="21" t="str">
        <x:v>12 configured distributed service cell lots</x:v>
      </x:c>
      <x:c r="K37" s="21" t="str">
        <x:v>accepted payload reaches commissioned receiver</x:v>
      </x:c>
      <x:c r="L37" s="37" t="n">
        <x:f>G37*INDEX(Scenarios!$D$7:$D$12,Assumptions!C7)</x:f>
        <x:v>12</x:v>
      </x:c>
      <x:c r="M37" s="23" t="str">
        <x:v>PLANNING</x:v>
      </x:c>
    </x:row>
    <x:row r="38">
      <x:c r="B38" s="21" t="str">
        <x:v>F32</x:v>
      </x:c>
      <x:c r="C38" s="21" t="str">
        <x:v>P06</x:v>
      </x:c>
      <x:c r="D38" s="21" t="str">
        <x:v>Rapid bridge and causeway system</x:v>
      </x:c>
      <x:c r="E38" s="21" t="str">
        <x:v>Civil works package</x:v>
      </x:c>
      <x:c r="F38" s="21" t="str">
        <x:v>W2</x:v>
      </x:c>
      <x:c r="G38" s="37" t="n">
        <x:v>8</x:v>
      </x:c>
      <x:c r="H38" s="37" t="n">
        <x:v>1440</x:v>
      </x:c>
      <x:c r="I38" s="37" t="n">
        <x:v>1.3</x:v>
      </x:c>
      <x:c r="J38" s="21" t="str">
        <x:v>8 configured civil works package lots</x:v>
      </x:c>
      <x:c r="K38" s="21" t="str">
        <x:v>accepted payload reaches commissioned receiver</x:v>
      </x:c>
      <x:c r="L38" s="37" t="n">
        <x:f>G38*INDEX(Scenarios!$D$7:$D$12,Assumptions!C7)</x:f>
        <x:v>8</x:v>
      </x:c>
      <x:c r="M38" s="23" t="str">
        <x:v>PLANNING</x:v>
      </x:c>
    </x:row>
    <x:row r="39">
      <x:c r="B39" s="21" t="str">
        <x:v>F33</x:v>
      </x:c>
      <x:c r="C39" s="21" t="str">
        <x:v>P06</x:v>
      </x:c>
      <x:c r="D39" s="21" t="str">
        <x:v>Port rail and airfield restoration complex</x:v>
      </x:c>
      <x:c r="E39" s="21" t="str">
        <x:v>Civil works package</x:v>
      </x:c>
      <x:c r="F39" s="21" t="str">
        <x:v>W1</x:v>
      </x:c>
      <x:c r="G39" s="37" t="n">
        <x:v>8</x:v>
      </x:c>
      <x:c r="H39" s="37" t="n">
        <x:v>2160</x:v>
      </x:c>
      <x:c r="I39" s="37" t="n">
        <x:v>1.2</x:v>
      </x:c>
      <x:c r="J39" s="21" t="str">
        <x:v>8 configured civil works package lots</x:v>
      </x:c>
      <x:c r="K39" s="21" t="str">
        <x:v>accepted payload reaches commissioned receiver</x:v>
      </x:c>
      <x:c r="L39" s="37" t="n">
        <x:f>G39*INDEX(Scenarios!$D$7:$D$12,Assumptions!C7)</x:f>
        <x:v>8</x:v>
      </x:c>
      <x:c r="M39" s="23" t="str">
        <x:v>PLANNING</x:v>
      </x:c>
    </x:row>
    <x:row r="40">
      <x:c r="B40" s="21" t="str">
        <x:v>F34</x:v>
      </x:c>
      <x:c r="C40" s="21" t="str">
        <x:v>P07</x:v>
      </x:c>
      <x:c r="D40" s="21" t="str">
        <x:v>Floating nuclear desalination utility</x:v>
      </x:c>
      <x:c r="E40" s="21" t="str">
        <x:v>Utility service block</x:v>
      </x:c>
      <x:c r="F40" s="21" t="str">
        <x:v>S1</x:v>
      </x:c>
      <x:c r="G40" s="37" t="n">
        <x:v>4</x:v>
      </x:c>
      <x:c r="H40" s="37" t="n">
        <x:v>720</x:v>
      </x:c>
      <x:c r="I40" s="37" t="n">
        <x:v>1.45</x:v>
      </x:c>
      <x:c r="J40" s="21" t="str">
        <x:v>4 configured utility service block lots</x:v>
      </x:c>
      <x:c r="K40" s="21" t="str">
        <x:v>verified service and residual streams close at receiver</x:v>
      </x:c>
      <x:c r="L40" s="37" t="n">
        <x:f>G40*INDEX(Scenarios!$D$7:$D$12,Assumptions!C7)</x:f>
        <x:v>4</x:v>
      </x:c>
      <x:c r="M40" s="23" t="str">
        <x:v>PLANNING</x:v>
      </x:c>
    </x:row>
    <x:row r="41">
      <x:c r="B41" s="21" t="str">
        <x:v>F35</x:v>
      </x:c>
      <x:c r="C41" s="21" t="str">
        <x:v>P07</x:v>
      </x:c>
      <x:c r="D41" s="21" t="str">
        <x:v>Inland brackish-water treatment train</x:v>
      </x:c>
      <x:c r="E41" s="21" t="str">
        <x:v>Utility service block</x:v>
      </x:c>
      <x:c r="F41" s="21" t="str">
        <x:v>W2</x:v>
      </x:c>
      <x:c r="G41" s="37" t="n">
        <x:v>4</x:v>
      </x:c>
      <x:c r="H41" s="37" t="n">
        <x:v>1440</x:v>
      </x:c>
      <x:c r="I41" s="37" t="n">
        <x:v>1.3</x:v>
      </x:c>
      <x:c r="J41" s="21" t="str">
        <x:v>4 configured utility service block lots</x:v>
      </x:c>
      <x:c r="K41" s="21" t="str">
        <x:v>verified service and residual streams close at receiver</x:v>
      </x:c>
      <x:c r="L41" s="37" t="n">
        <x:f>G41*INDEX(Scenarios!$D$7:$D$12,Assumptions!C7)</x:f>
        <x:v>4</x:v>
      </x:c>
      <x:c r="M41" s="23" t="str">
        <x:v>PLANNING</x:v>
      </x:c>
    </x:row>
    <x:row r="42">
      <x:c r="B42" s="21" t="str">
        <x:v>F36</x:v>
      </x:c>
      <x:c r="C42" s="21" t="str">
        <x:v>P07</x:v>
      </x:c>
      <x:c r="D42" s="21" t="str">
        <x:v>Rapid water trunkline system</x:v>
      </x:c>
      <x:c r="E42" s="21" t="str">
        <x:v>Civil works package</x:v>
      </x:c>
      <x:c r="F42" s="21" t="str">
        <x:v>S1</x:v>
      </x:c>
      <x:c r="G42" s="37" t="n">
        <x:v>8</x:v>
      </x:c>
      <x:c r="H42" s="37" t="n">
        <x:v>720</x:v>
      </x:c>
      <x:c r="I42" s="37" t="n">
        <x:v>1.45</x:v>
      </x:c>
      <x:c r="J42" s="21" t="str">
        <x:v>8 configured civil works package lots</x:v>
      </x:c>
      <x:c r="K42" s="21" t="str">
        <x:v>verified service and residual streams close at receiver</x:v>
      </x:c>
      <x:c r="L42" s="37" t="n">
        <x:f>G42*INDEX(Scenarios!$D$7:$D$12,Assumptions!C7)</x:f>
        <x:v>8</x:v>
      </x:c>
      <x:c r="M42" s="23" t="str">
        <x:v>PLANNING</x:v>
      </x:c>
    </x:row>
    <x:row r="43">
      <x:c r="B43" s="21" t="str">
        <x:v>F37</x:v>
      </x:c>
      <x:c r="C43" s="21" t="str">
        <x:v>P07</x:v>
      </x:c>
      <x:c r="D43" s="21" t="str">
        <x:v>Wastewater and sanitation restoration plant</x:v>
      </x:c>
      <x:c r="E43" s="21" t="str">
        <x:v>Utility service block</x:v>
      </x:c>
      <x:c r="F43" s="21" t="str">
        <x:v>S1</x:v>
      </x:c>
      <x:c r="G43" s="37" t="n">
        <x:v>4</x:v>
      </x:c>
      <x:c r="H43" s="37" t="n">
        <x:v>720</x:v>
      </x:c>
      <x:c r="I43" s="37" t="n">
        <x:v>1.45</x:v>
      </x:c>
      <x:c r="J43" s="21" t="str">
        <x:v>4 configured utility service block lots</x:v>
      </x:c>
      <x:c r="K43" s="21" t="str">
        <x:v>verified service and residual streams close at receiver</x:v>
      </x:c>
      <x:c r="L43" s="37" t="n">
        <x:f>G43*INDEX(Scenarios!$D$7:$D$12,Assumptions!C7)</x:f>
        <x:v>4</x:v>
      </x:c>
      <x:c r="M43" s="23" t="str">
        <x:v>PLANNING</x:v>
      </x:c>
    </x:row>
    <x:row r="44">
      <x:c r="B44" s="21" t="str">
        <x:v>F38</x:v>
      </x:c>
      <x:c r="C44" s="21" t="str">
        <x:v>P07</x:v>
      </x:c>
      <x:c r="D44" s="21" t="str">
        <x:v>Potable storage and distribution lattice</x:v>
      </x:c>
      <x:c r="E44" s="21" t="str">
        <x:v>Distributed service cell</x:v>
      </x:c>
      <x:c r="F44" s="21" t="str">
        <x:v>H1</x:v>
      </x:c>
      <x:c r="G44" s="37" t="n">
        <x:v>12</x:v>
      </x:c>
      <x:c r="H44" s="37" t="n">
        <x:v>336</x:v>
      </x:c>
      <x:c r="I44" s="37" t="n">
        <x:v>1.6</x:v>
      </x:c>
      <x:c r="J44" s="21" t="str">
        <x:v>12 configured distributed service cell lots</x:v>
      </x:c>
      <x:c r="K44" s="21" t="str">
        <x:v>verified service and residual streams close at receiver</x:v>
      </x:c>
      <x:c r="L44" s="37" t="n">
        <x:f>G44*INDEX(Scenarios!$D$7:$D$12,Assumptions!C7)</x:f>
        <x:v>12</x:v>
      </x:c>
      <x:c r="M44" s="23" t="str">
        <x:v>PLANNING</x:v>
      </x:c>
    </x:row>
    <x:row r="45">
      <x:c r="B45" s="21" t="str">
        <x:v>F39</x:v>
      </x:c>
      <x:c r="C45" s="21" t="str">
        <x:v>P08</x:v>
      </x:c>
      <x:c r="D45" s="21" t="str">
        <x:v>Heavy wildfire-suppression aircraft</x:v>
      </x:c>
      <x:c r="E45" s="21" t="str">
        <x:v>Hazard-control cell</x:v>
      </x:c>
      <x:c r="F45" s="21" t="str">
        <x:v>H1</x:v>
      </x:c>
      <x:c r="G45" s="37" t="n">
        <x:v>4</x:v>
      </x:c>
      <x:c r="H45" s="37" t="n">
        <x:v>336</x:v>
      </x:c>
      <x:c r="I45" s="37" t="n">
        <x:v>1.6</x:v>
      </x:c>
      <x:c r="J45" s="21" t="str">
        <x:v>4 configured hazard-control cell lots</x:v>
      </x:c>
      <x:c r="K45" s="21" t="str">
        <x:v>verified hazard reduction with safe residual state</x:v>
      </x:c>
      <x:c r="L45" s="37" t="n">
        <x:f>G45*INDEX(Scenarios!$D$7:$D$12,Assumptions!C7)</x:f>
        <x:v>4</x:v>
      </x:c>
      <x:c r="M45" s="23" t="str">
        <x:v>PLANNING</x:v>
      </x:c>
    </x:row>
    <x:row r="46">
      <x:c r="B46" s="21" t="str">
        <x:v>F40</x:v>
      </x:c>
      <x:c r="C46" s="21" t="str">
        <x:v>P08</x:v>
      </x:c>
      <x:c r="D46" s="21" t="str">
        <x:v>Autonomous fireline and terrain fleet</x:v>
      </x:c>
      <x:c r="E46" s="21" t="str">
        <x:v>Hazard-control cell</x:v>
      </x:c>
      <x:c r="F46" s="21" t="str">
        <x:v>H1</x:v>
      </x:c>
      <x:c r="G46" s="37" t="n">
        <x:v>4</x:v>
      </x:c>
      <x:c r="H46" s="37" t="n">
        <x:v>336</x:v>
      </x:c>
      <x:c r="I46" s="37" t="n">
        <x:v>1.6</x:v>
      </x:c>
      <x:c r="J46" s="21" t="str">
        <x:v>4 configured hazard-control cell lots</x:v>
      </x:c>
      <x:c r="K46" s="21" t="str">
        <x:v>verified hazard reduction with safe residual state</x:v>
      </x:c>
      <x:c r="L46" s="37" t="n">
        <x:f>G46*INDEX(Scenarios!$D$7:$D$12,Assumptions!C7)</x:f>
        <x:v>4</x:v>
      </x:c>
      <x:c r="M46" s="23" t="str">
        <x:v>PLANNING</x:v>
      </x:c>
    </x:row>
    <x:row r="47">
      <x:c r="B47" s="21" t="str">
        <x:v>F41</x:v>
      </x:c>
      <x:c r="C47" s="21" t="str">
        <x:v>P08</x:v>
      </x:c>
      <x:c r="D47" s="21" t="str">
        <x:v>Flood diversion and pumping complex</x:v>
      </x:c>
      <x:c r="E47" s="21" t="str">
        <x:v>Hazard-control cell</x:v>
      </x:c>
      <x:c r="F47" s="21" t="str">
        <x:v>H1</x:v>
      </x:c>
      <x:c r="G47" s="37" t="n">
        <x:v>4</x:v>
      </x:c>
      <x:c r="H47" s="37" t="n">
        <x:v>336</x:v>
      </x:c>
      <x:c r="I47" s="37" t="n">
        <x:v>1.6</x:v>
      </x:c>
      <x:c r="J47" s="21" t="str">
        <x:v>4 configured hazard-control cell lots</x:v>
      </x:c>
      <x:c r="K47" s="21" t="str">
        <x:v>verified hazard reduction with safe residual state</x:v>
      </x:c>
      <x:c r="L47" s="37" t="n">
        <x:f>G47*INDEX(Scenarios!$D$7:$D$12,Assumptions!C7)</x:f>
        <x:v>4</x:v>
      </x:c>
      <x:c r="M47" s="23" t="str">
        <x:v>PLANNING</x:v>
      </x:c>
    </x:row>
    <x:row r="48">
      <x:c r="B48" s="21" t="str">
        <x:v>F42</x:v>
      </x:c>
      <x:c r="C48" s="21" t="str">
        <x:v>P08</x:v>
      </x:c>
      <x:c r="D48" s="21" t="str">
        <x:v>Atmospheric and chemical hazard-control system</x:v>
      </x:c>
      <x:c r="E48" s="21" t="str">
        <x:v>Hazard-control cell</x:v>
      </x:c>
      <x:c r="F48" s="21" t="str">
        <x:v>H1</x:v>
      </x:c>
      <x:c r="G48" s="37" t="n">
        <x:v>4</x:v>
      </x:c>
      <x:c r="H48" s="37" t="n">
        <x:v>336</x:v>
      </x:c>
      <x:c r="I48" s="37" t="n">
        <x:v>1.6</x:v>
      </x:c>
      <x:c r="J48" s="21" t="str">
        <x:v>4 configured hazard-control cell lots</x:v>
      </x:c>
      <x:c r="K48" s="21" t="str">
        <x:v>verified hazard reduction with safe residual state</x:v>
      </x:c>
      <x:c r="L48" s="37" t="n">
        <x:f>G48*INDEX(Scenarios!$D$7:$D$12,Assumptions!C7)</x:f>
        <x:v>4</x:v>
      </x:c>
      <x:c r="M48" s="23" t="str">
        <x:v>PLANNING</x:v>
      </x:c>
    </x:row>
    <x:row r="49">
      <x:c r="B49" s="21" t="str">
        <x:v>F43</x:v>
      </x:c>
      <x:c r="C49" s="21" t="str">
        <x:v>P08</x:v>
      </x:c>
      <x:c r="D49" s="21" t="str">
        <x:v>Earthquake search and stabilization swarm</x:v>
      </x:c>
      <x:c r="E49" s="21" t="str">
        <x:v>Hazard-control cell</x:v>
      </x:c>
      <x:c r="F49" s="21" t="str">
        <x:v>H1</x:v>
      </x:c>
      <x:c r="G49" s="37" t="n">
        <x:v>4</x:v>
      </x:c>
      <x:c r="H49" s="37" t="n">
        <x:v>336</x:v>
      </x:c>
      <x:c r="I49" s="37" t="n">
        <x:v>1.6</x:v>
      </x:c>
      <x:c r="J49" s="21" t="str">
        <x:v>4 configured hazard-control cell lots</x:v>
      </x:c>
      <x:c r="K49" s="21" t="str">
        <x:v>verified hazard reduction with safe residual state</x:v>
      </x:c>
      <x:c r="L49" s="37" t="n">
        <x:f>G49*INDEX(Scenarios!$D$7:$D$12,Assumptions!C7)</x:f>
        <x:v>4</x:v>
      </x:c>
      <x:c r="M49" s="23" t="str">
        <x:v>PLANNING</x:v>
      </x:c>
    </x:row>
    <x:row r="50">
      <x:c r="B50" s="21" t="str">
        <x:v>F44</x:v>
      </x:c>
      <x:c r="C50" s="21" t="str">
        <x:v>P09</x:v>
      </x:c>
      <x:c r="D50" s="21" t="str">
        <x:v>Rapid structural-stabilization system</x:v>
      </x:c>
      <x:c r="E50" s="21" t="str">
        <x:v>Civil works package</x:v>
      </x:c>
      <x:c r="F50" s="21" t="str">
        <x:v>H1</x:v>
      </x:c>
      <x:c r="G50" s="37" t="n">
        <x:v>8</x:v>
      </x:c>
      <x:c r="H50" s="37" t="n">
        <x:v>336</x:v>
      </x:c>
      <x:c r="I50" s="37" t="n">
        <x:v>1.6</x:v>
      </x:c>
      <x:c r="J50" s="21" t="str">
        <x:v>8 configured civil works package lots</x:v>
      </x:c>
      <x:c r="K50" s="21" t="str">
        <x:v>engineer-accepted public service condition</x:v>
      </x:c>
      <x:c r="L50" s="37" t="n">
        <x:f>G50*INDEX(Scenarios!$D$7:$D$12,Assumptions!C7)</x:f>
        <x:v>8</x:v>
      </x:c>
      <x:c r="M50" s="23" t="str">
        <x:v>PLANNING</x:v>
      </x:c>
    </x:row>
    <x:row r="51">
      <x:c r="B51" s="21" t="str">
        <x:v>F45</x:v>
      </x:c>
      <x:c r="C51" s="21" t="str">
        <x:v>P09</x:v>
      </x:c>
      <x:c r="D51" s="21" t="str">
        <x:v>Modular housing production complex</x:v>
      </x:c>
      <x:c r="E51" s="21" t="str">
        <x:v>Civil works package</x:v>
      </x:c>
      <x:c r="F51" s="21" t="str">
        <x:v>W2</x:v>
      </x:c>
      <x:c r="G51" s="37" t="n">
        <x:v>8</x:v>
      </x:c>
      <x:c r="H51" s="37" t="n">
        <x:v>1440</x:v>
      </x:c>
      <x:c r="I51" s="37" t="n">
        <x:v>1.3</x:v>
      </x:c>
      <x:c r="J51" s="21" t="str">
        <x:v>8 configured civil works package lots</x:v>
      </x:c>
      <x:c r="K51" s="21" t="str">
        <x:v>engineer-accepted public service condition</x:v>
      </x:c>
      <x:c r="L51" s="37" t="n">
        <x:f>G51*INDEX(Scenarios!$D$7:$D$12,Assumptions!C7)</x:f>
        <x:v>8</x:v>
      </x:c>
      <x:c r="M51" s="23" t="str">
        <x:v>PLANNING</x:v>
      </x:c>
    </x:row>
    <x:row r="52">
      <x:c r="B52" s="21" t="str">
        <x:v>F46</x:v>
      </x:c>
      <x:c r="C52" s="21" t="str">
        <x:v>P09</x:v>
      </x:c>
      <x:c r="D52" s="21" t="str">
        <x:v>Debris separation and material-recovery fleet</x:v>
      </x:c>
      <x:c r="E52" s="21" t="str">
        <x:v>Civil works package</x:v>
      </x:c>
      <x:c r="F52" s="21" t="str">
        <x:v>S1</x:v>
      </x:c>
      <x:c r="G52" s="37" t="n">
        <x:v>8</x:v>
      </x:c>
      <x:c r="H52" s="37" t="n">
        <x:v>720</x:v>
      </x:c>
      <x:c r="I52" s="37" t="n">
        <x:v>1.45</x:v>
      </x:c>
      <x:c r="J52" s="21" t="str">
        <x:v>8 configured civil works package lots</x:v>
      </x:c>
      <x:c r="K52" s="21" t="str">
        <x:v>engineer-accepted public service condition</x:v>
      </x:c>
      <x:c r="L52" s="37" t="n">
        <x:f>G52*INDEX(Scenarios!$D$7:$D$12,Assumptions!C7)</x:f>
        <x:v>8</x:v>
      </x:c>
      <x:c r="M52" s="23" t="str">
        <x:v>PLANNING</x:v>
      </x:c>
    </x:row>
    <x:row r="53">
      <x:c r="B53" s="21" t="str">
        <x:v>F47</x:v>
      </x:c>
      <x:c r="C53" s="21" t="str">
        <x:v>P09</x:v>
      </x:c>
      <x:c r="D53" s="21" t="str">
        <x:v>Municipal service-restoration block</x:v>
      </x:c>
      <x:c r="E53" s="21" t="str">
        <x:v>Distributed service cell</x:v>
      </x:c>
      <x:c r="F53" s="21" t="str">
        <x:v>S1</x:v>
      </x:c>
      <x:c r="G53" s="37" t="n">
        <x:v>12</x:v>
      </x:c>
      <x:c r="H53" s="37" t="n">
        <x:v>720</x:v>
      </x:c>
      <x:c r="I53" s="37" t="n">
        <x:v>1.45</x:v>
      </x:c>
      <x:c r="J53" s="21" t="str">
        <x:v>12 configured distributed service cell lots</x:v>
      </x:c>
      <x:c r="K53" s="21" t="str">
        <x:v>engineer-accepted public service condition</x:v>
      </x:c>
      <x:c r="L53" s="37" t="n">
        <x:f>G53*INDEX(Scenarios!$D$7:$D$12,Assumptions!C7)</x:f>
        <x:v>12</x:v>
      </x:c>
      <x:c r="M53" s="23" t="str">
        <x:v>PLANNING</x:v>
      </x:c>
    </x:row>
    <x:row r="54">
      <x:c r="B54" s="24" t="str">
        <x:v>F48</x:v>
      </x:c>
      <x:c r="C54" s="24" t="str">
        <x:v>P09</x:v>
      </x:c>
      <x:c r="D54" s="24" t="str">
        <x:v>Economic-continuity logistics and finance cell</x:v>
      </x:c>
      <x:c r="E54" s="24" t="str">
        <x:v>Command-and-data set</x:v>
      </x:c>
      <x:c r="F54" s="24" t="str">
        <x:v>H1</x:v>
      </x:c>
      <x:c r="G54" s="38" t="n">
        <x:v>12</x:v>
      </x:c>
      <x:c r="H54" s="38" t="n">
        <x:v>168</x:v>
      </x:c>
      <x:c r="I54" s="38" t="n">
        <x:v>1.6</x:v>
      </x:c>
      <x:c r="J54" s="24" t="str">
        <x:v>12 configured command-and-data set lots</x:v>
      </x:c>
      <x:c r="K54" s="24" t="str">
        <x:v>engineer-accepted public service condition</x:v>
      </x:c>
      <x:c r="L54" s="38" t="n">
        <x:f>G54*INDEX(Scenarios!$D$7:$D$12,Assumptions!C7)</x:f>
        <x:v>12</x:v>
      </x:c>
      <x:c r="M54" s="26" t="str">
        <x:v>PLANNING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</x:sheetData>
  <x:mergeCells>
    <x:mergeCell ref="B3:M3"/>
  </x:mergeCells>
  <x:conditionalFormatting sqref="M7:M54">
    <x:cfRule type="containsText" dxfId="18" priority="1" operator="containsText" text="OPEN"/>
    <x:cfRule type="containsText" dxfId="19" priority="2" operator="containsText" text="HOLD"/>
    <x:cfRule type="containsText" dxfId="20" priority="3" operator="containsText" text="BLOCKED"/>
    <x:cfRule type="containsText" dxfId="21" priority="4" operator="containsText" text="GAP"/>
    <x:cfRule type="containsText" dxfId="22" priority="5" operator="containsText" text="NOT ADMITTED"/>
    <x:cfRule type="containsText" dxfId="23" priority="6" operator="containsText" text="FAIL"/>
    <x:cfRule type="containsText" dxfId="24" priority="7" operator="containsText" text="PASS"/>
    <x:cfRule type="containsText" dxfId="25" priority="8" operator="containsText" text="ADEQUATE"/>
    <x:cfRule type="containsText" dxfId="26" priority="9" operator="containsText" text="ADMIT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7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3" hidden="0" customWidth="1"/>
    <x:col min="13" max="13" width="18" hidden="0" customWidth="1"/>
    <x:col min="14" max="14" width="12" hidden="0" customWidth="1"/>
    <x:col min="15" max="15" width="54" hidden="0" customWidth="1"/>
  </x:cols>
  <x:sheetData>
    <x:row r="2">
      <x:c r="B2" s="3" t="str">
        <x:v>Registered mobilization scenarios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Scenarios vary demand and independent availability domains. They are design worlds, not forecasts. The active selection drives the twelve-stage ledger.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19" t="str">
        <x:v>Scenario</x:v>
      </x:c>
      <x:c r="C6" s="20" t="str">
        <x:v>Name</x:v>
      </x:c>
      <x:c r="D6" s="20" t="str">
        <x:v>Demand multiplier</x:v>
      </x:c>
      <x:c r="E6" s="20" t="str">
        <x:v>Supplier</x:v>
      </x:c>
      <x:c r="F6" s="20" t="str">
        <x:v>Process</x:v>
      </x:c>
      <x:c r="G6" s="20" t="str">
        <x:v>Utility</x:v>
      </x:c>
      <x:c r="H6" s="20" t="str">
        <x:v>Transport</x:v>
      </x:c>
      <x:c r="I6" s="20" t="str">
        <x:v>Receiver</x:v>
      </x:c>
      <x:c r="J6" s="20" t="str">
        <x:v>Workforce</x:v>
      </x:c>
      <x:c r="K6" s="20" t="str">
        <x:v>Comms and time</x:v>
      </x:c>
      <x:c r="L6" s="20" t="str">
        <x:v>Metrology</x:v>
      </x:c>
      <x:c r="M6" s="20" t="str">
        <x:v>Follow-on reserve</x:v>
      </x:c>
      <x:c r="N6" s="20" t="str">
        <x:v>Campaigns</x:v>
      </x:c>
      <x:c r="O6" s="20" t="str">
        <x:v>Boundary</x:v>
      </x:c>
    </x:row>
    <x:row r="7" ht="38" customHeight="1">
      <x:c r="B7" s="32" t="str">
        <x:v>M01</x:v>
      </x:c>
      <x:c r="C7" s="32" t="str">
        <x:v>Quarterly authentication and custody probe</x:v>
      </x:c>
      <x:c r="D7" s="45" t="n">
        <x:v>0.1</x:v>
      </x:c>
      <x:c r="E7" s="45" t="n">
        <x:v>1</x:v>
      </x:c>
      <x:c r="F7" s="45" t="n">
        <x:v>1</x:v>
      </x:c>
      <x:c r="G7" s="45" t="n">
        <x:v>1</x:v>
      </x:c>
      <x:c r="H7" s="45" t="n">
        <x:v>1</x:v>
      </x:c>
      <x:c r="I7" s="45" t="n">
        <x:v>1</x:v>
      </x:c>
      <x:c r="J7" s="45" t="n">
        <x:v>1</x:v>
      </x:c>
      <x:c r="K7" s="45" t="n">
        <x:v>1</x:v>
      </x:c>
      <x:c r="L7" s="45" t="n">
        <x:v>1</x:v>
      </x:c>
      <x:c r="M7" s="45" t="n">
        <x:v>0</x:v>
      </x:c>
      <x:c r="N7" s="46" t="n">
        <x:v>1</x:v>
      </x:c>
      <x:c r="O7" s="33" t="str">
        <x:v>identity and declared cold state</x:v>
      </x:c>
    </x:row>
    <x:row r="8" ht="38" customHeight="1">
      <x:c r="B8" s="32" t="str">
        <x:v>M02</x:v>
      </x:c>
      <x:c r="C8" s="32" t="str">
        <x:v>Four simultaneous domestic campaigns</x:v>
      </x:c>
      <x:c r="D8" s="45" t="n">
        <x:v>0.35</x:v>
      </x:c>
      <x:c r="E8" s="45" t="n">
        <x:v>0.95</x:v>
      </x:c>
      <x:c r="F8" s="45" t="n">
        <x:v>0.95</x:v>
      </x:c>
      <x:c r="G8" s="45" t="n">
        <x:v>0.95</x:v>
      </x:c>
      <x:c r="H8" s="45" t="n">
        <x:v>0.95</x:v>
      </x:c>
      <x:c r="I8" s="45" t="n">
        <x:v>0.95</x:v>
      </x:c>
      <x:c r="J8" s="45" t="n">
        <x:v>0.95</x:v>
      </x:c>
      <x:c r="K8" s="45" t="n">
        <x:v>0.95</x:v>
      </x:c>
      <x:c r="L8" s="45" t="n">
        <x:v>0.98</x:v>
      </x:c>
      <x:c r="M8" s="45" t="n">
        <x:v>0.1</x:v>
      </x:c>
      <x:c r="N8" s="46" t="n">
        <x:v>4</x:v>
      </x:c>
      <x:c r="O8" s="33" t="str">
        <x:v>routine regional friction</x:v>
      </x:c>
    </x:row>
    <x:row r="9" ht="38" customHeight="1">
      <x:c r="B9" s="32" t="str">
        <x:v>M03</x:v>
      </x:c>
      <x:c r="C9" s="32" t="str">
        <x:v>Four domestic and two invited international campaigns</x:v>
      </x:c>
      <x:c r="D9" s="45" t="n">
        <x:v>0.55</x:v>
      </x:c>
      <x:c r="E9" s="45" t="n">
        <x:v>0.9</x:v>
      </x:c>
      <x:c r="F9" s="45" t="n">
        <x:v>0.9</x:v>
      </x:c>
      <x:c r="G9" s="45" t="n">
        <x:v>0.9</x:v>
      </x:c>
      <x:c r="H9" s="45" t="n">
        <x:v>0.9</x:v>
      </x:c>
      <x:c r="I9" s="45" t="n">
        <x:v>0.9</x:v>
      </x:c>
      <x:c r="J9" s="45" t="n">
        <x:v>0.9</x:v>
      </x:c>
      <x:c r="K9" s="45" t="n">
        <x:v>0.9</x:v>
      </x:c>
      <x:c r="L9" s="45" t="n">
        <x:v>0.95</x:v>
      </x:c>
      <x:c r="M9" s="45" t="n">
        <x:v>0.15</x:v>
      </x:c>
      <x:c r="N9" s="46" t="n">
        <x:v>6</x:v>
      </x:c>
      <x:c r="O9" s="33" t="str">
        <x:v>allied deployment with domestic guarantee</x:v>
      </x:c>
    </x:row>
    <x:row r="10" ht="38" customHeight="1">
      <x:c r="B10" s="32" t="str">
        <x:v>M04</x:v>
      </x:c>
      <x:c r="C10" s="32" t="str">
        <x:v>Ten concurrent campaigns</x:v>
      </x:c>
      <x:c r="D10" s="45" t="n">
        <x:v>0.8</x:v>
      </x:c>
      <x:c r="E10" s="45" t="n">
        <x:v>0.85</x:v>
      </x:c>
      <x:c r="F10" s="45" t="n">
        <x:v>0.85</x:v>
      </x:c>
      <x:c r="G10" s="45" t="n">
        <x:v>0.85</x:v>
      </x:c>
      <x:c r="H10" s="45" t="n">
        <x:v>0.85</x:v>
      </x:c>
      <x:c r="I10" s="45" t="n">
        <x:v>0.85</x:v>
      </x:c>
      <x:c r="J10" s="45" t="n">
        <x:v>0.85</x:v>
      </x:c>
      <x:c r="K10" s="45" t="n">
        <x:v>0.85</x:v>
      </x:c>
      <x:c r="L10" s="45" t="n">
        <x:v>0.9</x:v>
      </x:c>
      <x:c r="M10" s="45" t="n">
        <x:v>0.2</x:v>
      </x:c>
      <x:c r="N10" s="46" t="n">
        <x:v>10</x:v>
      </x:c>
      <x:c r="O10" s="33" t="str">
        <x:v>full planned concurrency</x:v>
      </x:c>
    </x:row>
    <x:row r="11" ht="38" customHeight="1">
      <x:c r="B11" s="32" t="str">
        <x:v>M05</x:v>
      </x:c>
      <x:c r="C11" s="32" t="str">
        <x:v>Ten campaigns with grid and transport-region loss</x:v>
      </x:c>
      <x:c r="D11" s="45" t="n">
        <x:v>1</x:v>
      </x:c>
      <x:c r="E11" s="45" t="n">
        <x:v>0.75</x:v>
      </x:c>
      <x:c r="F11" s="45" t="n">
        <x:v>0.7</x:v>
      </x:c>
      <x:c r="G11" s="45" t="n">
        <x:v>0.7</x:v>
      </x:c>
      <x:c r="H11" s="45" t="n">
        <x:v>0.65</x:v>
      </x:c>
      <x:c r="I11" s="45" t="n">
        <x:v>0.75</x:v>
      </x:c>
      <x:c r="J11" s="45" t="n">
        <x:v>0.8</x:v>
      </x:c>
      <x:c r="K11" s="45" t="n">
        <x:v>0.75</x:v>
      </x:c>
      <x:c r="L11" s="45" t="n">
        <x:v>0.8</x:v>
      </x:c>
      <x:c r="M11" s="45" t="n">
        <x:v>0.2</x:v>
      </x:c>
      <x:c r="N11" s="46" t="n">
        <x:v>10</x:v>
      </x:c>
      <x:c r="O11" s="33" t="str">
        <x:v>compound industrial and receiving loss</x:v>
      </x:c>
    </x:row>
    <x:row r="12" ht="38" customHeight="1">
      <x:c r="B12" s="34" t="str">
        <x:v>M06</x:v>
      </x:c>
      <x:c r="C12" s="34" t="str">
        <x:v>Follow-on catastrophe with two industrial-domain losses</x:v>
      </x:c>
      <x:c r="D12" s="47" t="n">
        <x:v>1.25</x:v>
      </x:c>
      <x:c r="E12" s="47" t="n">
        <x:v>0.55</x:v>
      </x:c>
      <x:c r="F12" s="47" t="n">
        <x:v>0.5</x:v>
      </x:c>
      <x:c r="G12" s="47" t="n">
        <x:v>0.55</x:v>
      </x:c>
      <x:c r="H12" s="47" t="n">
        <x:v>0.5</x:v>
      </x:c>
      <x:c r="I12" s="47" t="n">
        <x:v>0.6</x:v>
      </x:c>
      <x:c r="J12" s="47" t="n">
        <x:v>0.65</x:v>
      </x:c>
      <x:c r="K12" s="47" t="n">
        <x:v>0.6</x:v>
      </x:c>
      <x:c r="L12" s="47" t="n">
        <x:v>0.65</x:v>
      </x:c>
      <x:c r="M12" s="47" t="n">
        <x:v>0.25</x:v>
      </x:c>
      <x:c r="N12" s="48" t="n">
        <x:v>12</x:v>
      </x:c>
      <x:c r="O12" s="35" t="str">
        <x:v>second demand wave after domain loss</x:v>
      </x:c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</x:sheetData>
  <x:mergeCells>
    <x:mergeCell ref="B3:O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0" hidden="0" customWidth="1"/>
    <x:col min="4" max="4" width="12" hidden="0" customWidth="1"/>
    <x:col min="5" max="5" width="18" hidden="0" customWidth="1"/>
    <x:col min="6" max="6" width="17" hidden="0" customWidth="1"/>
    <x:col min="7" max="7" width="21" hidden="0" customWidth="1"/>
    <x:col min="8" max="8" width="23" hidden="0" customWidth="1"/>
    <x:col min="9" max="9" width="22" hidden="0" customWidth="1"/>
    <x:col min="10" max="10" width="16" hidden="0" customWidth="1"/>
    <x:col min="11" max="11" width="17" hidden="0" customWidth="1"/>
  </x:cols>
  <x:sheetData>
    <x:row r="2">
      <x:c r="B2" s="3" t="str">
        <x:v>Scenario planning screen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This screen asks whether declared capacity could cover each family under each scenario. It cannot create exercise or readiness credit.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Record</x:v>
      </x:c>
      <x:c r="C6" s="20" t="str">
        <x:v>Family</x:v>
      </x:c>
      <x:c r="D6" s="20" t="str">
        <x:v>Scenario</x:v>
      </x:c>
      <x:c r="E6" s="20" t="str">
        <x:v>Required lots</x:v>
      </x:c>
      <x:c r="F6" s="20" t="str">
        <x:v>Reserve margin</x:v>
      </x:c>
      <x:c r="G6" s="20" t="str">
        <x:v>Weakest availability</x:v>
      </x:c>
      <x:c r="H6" s="20" t="str">
        <x:v>Effective capacity lots</x:v>
      </x:c>
      <x:c r="I6" s="20" t="str">
        <x:v>Planned admitted lots</x:v>
      </x:c>
      <x:c r="J6" s="20" t="str">
        <x:v>Closure ratio</x:v>
      </x:c>
      <x:c r="K6" s="20" t="str">
        <x:v>Planning result</x:v>
      </x:c>
    </x:row>
    <x:row r="7">
      <x:c r="B7" s="21" t="str">
        <x:v>SR-0001</x:v>
      </x:c>
      <x:c r="C7" s="21" t="str">
        <x:v>F01</x:v>
      </x:c>
      <x:c r="D7" s="21" t="str">
        <x:v>M01</x:v>
      </x:c>
      <x:c r="E7" s="37" t="n">
        <x:f>'Family Register'!G7*Scenarios!D7</x:f>
        <x:v>1.2000000000000002</x:v>
      </x:c>
      <x:c r="F7" s="37" t="n">
        <x:f>'Family Register'!I7</x:f>
        <x:v>1.6</x:v>
      </x:c>
      <x:c r="G7" s="37" t="n">
        <x:f>MIN(Scenarios!E7:L7)</x:f>
        <x:v>1</x:v>
      </x:c>
      <x:c r="H7" s="37" t="n">
        <x:f>'Family Register'!G7*F7*G7</x:f>
        <x:v>19.200000000000003</x:v>
      </x:c>
      <x:c r="I7" s="37" t="n">
        <x:f>MIN(E7,H7)</x:f>
        <x:v>1.2000000000000002</x:v>
      </x:c>
      <x:c r="J7" s="37" t="n">
        <x:f>IF(E7&gt;0,I7/E7,0)</x:f>
        <x:v>1</x:v>
      </x:c>
      <x:c r="K7" s="23" t="str">
        <x:f>IF(J7&gt;=1,"ADEQUATE","GAP")</x:f>
        <x:v>ADEQUATE</x:v>
      </x:c>
    </x:row>
    <x:row r="8">
      <x:c r="B8" s="21" t="str">
        <x:v>SR-0002</x:v>
      </x:c>
      <x:c r="C8" s="21" t="str">
        <x:v>F01</x:v>
      </x:c>
      <x:c r="D8" s="21" t="str">
        <x:v>M02</x:v>
      </x:c>
      <x:c r="E8" s="37" t="n">
        <x:f>'Family Register'!G7*Scenarios!D8</x:f>
        <x:v>4.199999999999999</x:v>
      </x:c>
      <x:c r="F8" s="37" t="n">
        <x:f>'Family Register'!I7</x:f>
        <x:v>1.6</x:v>
      </x:c>
      <x:c r="G8" s="37" t="n">
        <x:f>MIN(Scenarios!E8:L8)</x:f>
        <x:v>0.95</x:v>
      </x:c>
      <x:c r="H8" s="37" t="n">
        <x:f>'Family Register'!G7*F8*G8</x:f>
        <x:v>18.240000000000002</x:v>
      </x:c>
      <x:c r="I8" s="37" t="n">
        <x:f>MIN(E8,H8)</x:f>
        <x:v>4.199999999999999</x:v>
      </x:c>
      <x:c r="J8" s="37" t="n">
        <x:f>IF(E8&gt;0,I8/E8,0)</x:f>
        <x:v>1</x:v>
      </x:c>
      <x:c r="K8" s="23" t="str">
        <x:f>IF(J8&gt;=1,"ADEQUATE","GAP")</x:f>
        <x:v>ADEQUATE</x:v>
      </x:c>
    </x:row>
    <x:row r="9">
      <x:c r="B9" s="21" t="str">
        <x:v>SR-0003</x:v>
      </x:c>
      <x:c r="C9" s="21" t="str">
        <x:v>F01</x:v>
      </x:c>
      <x:c r="D9" s="21" t="str">
        <x:v>M03</x:v>
      </x:c>
      <x:c r="E9" s="37" t="n">
        <x:f>'Family Register'!G7*Scenarios!D9</x:f>
        <x:v>6.6000000000000005</x:v>
      </x:c>
      <x:c r="F9" s="37" t="n">
        <x:f>'Family Register'!I7</x:f>
        <x:v>1.6</x:v>
      </x:c>
      <x:c r="G9" s="37" t="n">
        <x:f>MIN(Scenarios!E9:L9)</x:f>
        <x:v>0.9</x:v>
      </x:c>
      <x:c r="H9" s="37" t="n">
        <x:f>'Family Register'!G7*F9*G9</x:f>
        <x:v>17.280000000000005</x:v>
      </x:c>
      <x:c r="I9" s="37" t="n">
        <x:f>MIN(E9,H9)</x:f>
        <x:v>6.6000000000000005</x:v>
      </x:c>
      <x:c r="J9" s="37" t="n">
        <x:f>IF(E9&gt;0,I9/E9,0)</x:f>
        <x:v>1</x:v>
      </x:c>
      <x:c r="K9" s="23" t="str">
        <x:f>IF(J9&gt;=1,"ADEQUATE","GAP")</x:f>
        <x:v>ADEQUATE</x:v>
      </x:c>
    </x:row>
    <x:row r="10">
      <x:c r="B10" s="21" t="str">
        <x:v>SR-0004</x:v>
      </x:c>
      <x:c r="C10" s="21" t="str">
        <x:v>F01</x:v>
      </x:c>
      <x:c r="D10" s="21" t="str">
        <x:v>M04</x:v>
      </x:c>
      <x:c r="E10" s="37" t="n">
        <x:f>'Family Register'!G7*Scenarios!D10</x:f>
        <x:v>9.600000000000001</x:v>
      </x:c>
      <x:c r="F10" s="37" t="n">
        <x:f>'Family Register'!I7</x:f>
        <x:v>1.6</x:v>
      </x:c>
      <x:c r="G10" s="37" t="n">
        <x:f>MIN(Scenarios!E10:L10)</x:f>
        <x:v>0.85</x:v>
      </x:c>
      <x:c r="H10" s="37" t="n">
        <x:f>'Family Register'!G7*F10*G10</x:f>
        <x:v>16.32</x:v>
      </x:c>
      <x:c r="I10" s="37" t="n">
        <x:f>MIN(E10,H10)</x:f>
        <x:v>9.600000000000001</x:v>
      </x:c>
      <x:c r="J10" s="37" t="n">
        <x:f>IF(E10&gt;0,I10/E10,0)</x:f>
        <x:v>1</x:v>
      </x:c>
      <x:c r="K10" s="23" t="str">
        <x:f>IF(J10&gt;=1,"ADEQUATE","GAP")</x:f>
        <x:v>ADEQUATE</x:v>
      </x:c>
    </x:row>
    <x:row r="11">
      <x:c r="B11" s="21" t="str">
        <x:v>SR-0005</x:v>
      </x:c>
      <x:c r="C11" s="21" t="str">
        <x:v>F01</x:v>
      </x:c>
      <x:c r="D11" s="21" t="str">
        <x:v>M05</x:v>
      </x:c>
      <x:c r="E11" s="37" t="n">
        <x:f>'Family Register'!G7*Scenarios!D11</x:f>
        <x:v>12</x:v>
      </x:c>
      <x:c r="F11" s="37" t="n">
        <x:f>'Family Register'!I7</x:f>
        <x:v>1.6</x:v>
      </x:c>
      <x:c r="G11" s="37" t="n">
        <x:f>MIN(Scenarios!E11:L11)</x:f>
        <x:v>0.65</x:v>
      </x:c>
      <x:c r="H11" s="37" t="n">
        <x:f>'Family Register'!G7*F11*G11</x:f>
        <x:v>12.480000000000002</x:v>
      </x:c>
      <x:c r="I11" s="37" t="n">
        <x:f>MIN(E11,H11)</x:f>
        <x:v>12</x:v>
      </x:c>
      <x:c r="J11" s="37" t="n">
        <x:f>IF(E11&gt;0,I11/E11,0)</x:f>
        <x:v>1</x:v>
      </x:c>
      <x:c r="K11" s="23" t="str">
        <x:f>IF(J11&gt;=1,"ADEQUATE","GAP")</x:f>
        <x:v>ADEQUATE</x:v>
      </x:c>
    </x:row>
    <x:row r="12">
      <x:c r="B12" s="21" t="str">
        <x:v>SR-0006</x:v>
      </x:c>
      <x:c r="C12" s="21" t="str">
        <x:v>F01</x:v>
      </x:c>
      <x:c r="D12" s="21" t="str">
        <x:v>M06</x:v>
      </x:c>
      <x:c r="E12" s="37" t="n">
        <x:f>'Family Register'!G7*Scenarios!D12</x:f>
        <x:v>15</x:v>
      </x:c>
      <x:c r="F12" s="37" t="n">
        <x:f>'Family Register'!I7</x:f>
        <x:v>1.6</x:v>
      </x:c>
      <x:c r="G12" s="37" t="n">
        <x:f>MIN(Scenarios!E12:L12)</x:f>
        <x:v>0.5</x:v>
      </x:c>
      <x:c r="H12" s="37" t="n">
        <x:f>'Family Register'!G7*F12*G12</x:f>
        <x:v>9.600000000000001</x:v>
      </x:c>
      <x:c r="I12" s="37" t="n">
        <x:f>MIN(E12,H12)</x:f>
        <x:v>9.600000000000001</x:v>
      </x:c>
      <x:c r="J12" s="37" t="n">
        <x:f>IF(E12&gt;0,I12/E12,0)</x:f>
        <x:v>0.6400000000000001</x:v>
      </x:c>
      <x:c r="K12" s="23" t="str">
        <x:f>IF(J12&gt;=1,"ADEQUATE","GAP")</x:f>
        <x:v>GAP</x:v>
      </x:c>
    </x:row>
    <x:row r="13">
      <x:c r="B13" s="21" t="str">
        <x:v>SR-0007</x:v>
      </x:c>
      <x:c r="C13" s="21" t="str">
        <x:v>F02</x:v>
      </x:c>
      <x:c r="D13" s="21" t="str">
        <x:v>M01</x:v>
      </x:c>
      <x:c r="E13" s="37" t="n">
        <x:f>'Family Register'!G8*Scenarios!D7</x:f>
        <x:v>1.2000000000000002</x:v>
      </x:c>
      <x:c r="F13" s="37" t="n">
        <x:f>'Family Register'!I8</x:f>
        <x:v>1.6</x:v>
      </x:c>
      <x:c r="G13" s="37" t="n">
        <x:f>MIN(Scenarios!E7:L7)</x:f>
        <x:v>1</x:v>
      </x:c>
      <x:c r="H13" s="37" t="n">
        <x:f>'Family Register'!G8*F13*G13</x:f>
        <x:v>19.200000000000003</x:v>
      </x:c>
      <x:c r="I13" s="37" t="n">
        <x:f>MIN(E13,H13)</x:f>
        <x:v>1.2000000000000002</x:v>
      </x:c>
      <x:c r="J13" s="37" t="n">
        <x:f>IF(E13&gt;0,I13/E13,0)</x:f>
        <x:v>1</x:v>
      </x:c>
      <x:c r="K13" s="23" t="str">
        <x:f>IF(J13&gt;=1,"ADEQUATE","GAP")</x:f>
        <x:v>ADEQUATE</x:v>
      </x:c>
    </x:row>
    <x:row r="14">
      <x:c r="B14" s="21" t="str">
        <x:v>SR-0008</x:v>
      </x:c>
      <x:c r="C14" s="21" t="str">
        <x:v>F02</x:v>
      </x:c>
      <x:c r="D14" s="21" t="str">
        <x:v>M02</x:v>
      </x:c>
      <x:c r="E14" s="37" t="n">
        <x:f>'Family Register'!G8*Scenarios!D8</x:f>
        <x:v>4.199999999999999</x:v>
      </x:c>
      <x:c r="F14" s="37" t="n">
        <x:f>'Family Register'!I8</x:f>
        <x:v>1.6</x:v>
      </x:c>
      <x:c r="G14" s="37" t="n">
        <x:f>MIN(Scenarios!E8:L8)</x:f>
        <x:v>0.95</x:v>
      </x:c>
      <x:c r="H14" s="37" t="n">
        <x:f>'Family Register'!G8*F14*G14</x:f>
        <x:v>18.240000000000002</x:v>
      </x:c>
      <x:c r="I14" s="37" t="n">
        <x:f>MIN(E14,H14)</x:f>
        <x:v>4.199999999999999</x:v>
      </x:c>
      <x:c r="J14" s="37" t="n">
        <x:f>IF(E14&gt;0,I14/E14,0)</x:f>
        <x:v>1</x:v>
      </x:c>
      <x:c r="K14" s="23" t="str">
        <x:f>IF(J14&gt;=1,"ADEQUATE","GAP")</x:f>
        <x:v>ADEQUATE</x:v>
      </x:c>
    </x:row>
    <x:row r="15">
      <x:c r="B15" s="21" t="str">
        <x:v>SR-0009</x:v>
      </x:c>
      <x:c r="C15" s="21" t="str">
        <x:v>F02</x:v>
      </x:c>
      <x:c r="D15" s="21" t="str">
        <x:v>M03</x:v>
      </x:c>
      <x:c r="E15" s="37" t="n">
        <x:f>'Family Register'!G8*Scenarios!D9</x:f>
        <x:v>6.6000000000000005</x:v>
      </x:c>
      <x:c r="F15" s="37" t="n">
        <x:f>'Family Register'!I8</x:f>
        <x:v>1.6</x:v>
      </x:c>
      <x:c r="G15" s="37" t="n">
        <x:f>MIN(Scenarios!E9:L9)</x:f>
        <x:v>0.9</x:v>
      </x:c>
      <x:c r="H15" s="37" t="n">
        <x:f>'Family Register'!G8*F15*G15</x:f>
        <x:v>17.280000000000005</x:v>
      </x:c>
      <x:c r="I15" s="37" t="n">
        <x:f>MIN(E15,H15)</x:f>
        <x:v>6.6000000000000005</x:v>
      </x:c>
      <x:c r="J15" s="37" t="n">
        <x:f>IF(E15&gt;0,I15/E15,0)</x:f>
        <x:v>1</x:v>
      </x:c>
      <x:c r="K15" s="23" t="str">
        <x:f>IF(J15&gt;=1,"ADEQUATE","GAP")</x:f>
        <x:v>ADEQUATE</x:v>
      </x:c>
    </x:row>
    <x:row r="16">
      <x:c r="B16" s="21" t="str">
        <x:v>SR-0010</x:v>
      </x:c>
      <x:c r="C16" s="21" t="str">
        <x:v>F02</x:v>
      </x:c>
      <x:c r="D16" s="21" t="str">
        <x:v>M04</x:v>
      </x:c>
      <x:c r="E16" s="37" t="n">
        <x:f>'Family Register'!G8*Scenarios!D10</x:f>
        <x:v>9.600000000000001</x:v>
      </x:c>
      <x:c r="F16" s="37" t="n">
        <x:f>'Family Register'!I8</x:f>
        <x:v>1.6</x:v>
      </x:c>
      <x:c r="G16" s="37" t="n">
        <x:f>MIN(Scenarios!E10:L10)</x:f>
        <x:v>0.85</x:v>
      </x:c>
      <x:c r="H16" s="37" t="n">
        <x:f>'Family Register'!G8*F16*G16</x:f>
        <x:v>16.32</x:v>
      </x:c>
      <x:c r="I16" s="37" t="n">
        <x:f>MIN(E16,H16)</x:f>
        <x:v>9.600000000000001</x:v>
      </x:c>
      <x:c r="J16" s="37" t="n">
        <x:f>IF(E16&gt;0,I16/E16,0)</x:f>
        <x:v>1</x:v>
      </x:c>
      <x:c r="K16" s="23" t="str">
        <x:f>IF(J16&gt;=1,"ADEQUATE","GAP")</x:f>
        <x:v>ADEQUATE</x:v>
      </x:c>
    </x:row>
    <x:row r="17">
      <x:c r="B17" s="21" t="str">
        <x:v>SR-0011</x:v>
      </x:c>
      <x:c r="C17" s="21" t="str">
        <x:v>F02</x:v>
      </x:c>
      <x:c r="D17" s="21" t="str">
        <x:v>M05</x:v>
      </x:c>
      <x:c r="E17" s="37" t="n">
        <x:f>'Family Register'!G8*Scenarios!D11</x:f>
        <x:v>12</x:v>
      </x:c>
      <x:c r="F17" s="37" t="n">
        <x:f>'Family Register'!I8</x:f>
        <x:v>1.6</x:v>
      </x:c>
      <x:c r="G17" s="37" t="n">
        <x:f>MIN(Scenarios!E11:L11)</x:f>
        <x:v>0.65</x:v>
      </x:c>
      <x:c r="H17" s="37" t="n">
        <x:f>'Family Register'!G8*F17*G17</x:f>
        <x:v>12.480000000000002</x:v>
      </x:c>
      <x:c r="I17" s="37" t="n">
        <x:f>MIN(E17,H17)</x:f>
        <x:v>12</x:v>
      </x:c>
      <x:c r="J17" s="37" t="n">
        <x:f>IF(E17&gt;0,I17/E17,0)</x:f>
        <x:v>1</x:v>
      </x:c>
      <x:c r="K17" s="23" t="str">
        <x:f>IF(J17&gt;=1,"ADEQUATE","GAP")</x:f>
        <x:v>ADEQUATE</x:v>
      </x:c>
    </x:row>
    <x:row r="18">
      <x:c r="B18" s="21" t="str">
        <x:v>SR-0012</x:v>
      </x:c>
      <x:c r="C18" s="21" t="str">
        <x:v>F02</x:v>
      </x:c>
      <x:c r="D18" s="21" t="str">
        <x:v>M06</x:v>
      </x:c>
      <x:c r="E18" s="37" t="n">
        <x:f>'Family Register'!G8*Scenarios!D12</x:f>
        <x:v>15</x:v>
      </x:c>
      <x:c r="F18" s="37" t="n">
        <x:f>'Family Register'!I8</x:f>
        <x:v>1.6</x:v>
      </x:c>
      <x:c r="G18" s="37" t="n">
        <x:f>MIN(Scenarios!E12:L12)</x:f>
        <x:v>0.5</x:v>
      </x:c>
      <x:c r="H18" s="37" t="n">
        <x:f>'Family Register'!G8*F18*G18</x:f>
        <x:v>9.600000000000001</x:v>
      </x:c>
      <x:c r="I18" s="37" t="n">
        <x:f>MIN(E18,H18)</x:f>
        <x:v>9.600000000000001</x:v>
      </x:c>
      <x:c r="J18" s="37" t="n">
        <x:f>IF(E18&gt;0,I18/E18,0)</x:f>
        <x:v>0.6400000000000001</x:v>
      </x:c>
      <x:c r="K18" s="23" t="str">
        <x:f>IF(J18&gt;=1,"ADEQUATE","GAP")</x:f>
        <x:v>GAP</x:v>
      </x:c>
    </x:row>
    <x:row r="19">
      <x:c r="B19" s="21" t="str">
        <x:v>SR-0013</x:v>
      </x:c>
      <x:c r="C19" s="21" t="str">
        <x:v>F03</x:v>
      </x:c>
      <x:c r="D19" s="21" t="str">
        <x:v>M01</x:v>
      </x:c>
      <x:c r="E19" s="37" t="n">
        <x:f>'Family Register'!G9*Scenarios!D7</x:f>
        <x:v>1.2000000000000002</x:v>
      </x:c>
      <x:c r="F19" s="37" t="n">
        <x:f>'Family Register'!I9</x:f>
        <x:v>1.6</x:v>
      </x:c>
      <x:c r="G19" s="37" t="n">
        <x:f>MIN(Scenarios!E7:L7)</x:f>
        <x:v>1</x:v>
      </x:c>
      <x:c r="H19" s="37" t="n">
        <x:f>'Family Register'!G9*F19*G19</x:f>
        <x:v>19.200000000000003</x:v>
      </x:c>
      <x:c r="I19" s="37" t="n">
        <x:f>MIN(E19,H19)</x:f>
        <x:v>1.2000000000000002</x:v>
      </x:c>
      <x:c r="J19" s="37" t="n">
        <x:f>IF(E19&gt;0,I19/E19,0)</x:f>
        <x:v>1</x:v>
      </x:c>
      <x:c r="K19" s="23" t="str">
        <x:f>IF(J19&gt;=1,"ADEQUATE","GAP")</x:f>
        <x:v>ADEQUATE</x:v>
      </x:c>
    </x:row>
    <x:row r="20">
      <x:c r="B20" s="21" t="str">
        <x:v>SR-0014</x:v>
      </x:c>
      <x:c r="C20" s="21" t="str">
        <x:v>F03</x:v>
      </x:c>
      <x:c r="D20" s="21" t="str">
        <x:v>M02</x:v>
      </x:c>
      <x:c r="E20" s="37" t="n">
        <x:f>'Family Register'!G9*Scenarios!D8</x:f>
        <x:v>4.199999999999999</x:v>
      </x:c>
      <x:c r="F20" s="37" t="n">
        <x:f>'Family Register'!I9</x:f>
        <x:v>1.6</x:v>
      </x:c>
      <x:c r="G20" s="37" t="n">
        <x:f>MIN(Scenarios!E8:L8)</x:f>
        <x:v>0.95</x:v>
      </x:c>
      <x:c r="H20" s="37" t="n">
        <x:f>'Family Register'!G9*F20*G20</x:f>
        <x:v>18.240000000000002</x:v>
      </x:c>
      <x:c r="I20" s="37" t="n">
        <x:f>MIN(E20,H20)</x:f>
        <x:v>4.199999999999999</x:v>
      </x:c>
      <x:c r="J20" s="37" t="n">
        <x:f>IF(E20&gt;0,I20/E20,0)</x:f>
        <x:v>1</x:v>
      </x:c>
      <x:c r="K20" s="23" t="str">
        <x:f>IF(J20&gt;=1,"ADEQUATE","GAP")</x:f>
        <x:v>ADEQUATE</x:v>
      </x:c>
    </x:row>
    <x:row r="21">
      <x:c r="B21" s="21" t="str">
        <x:v>SR-0015</x:v>
      </x:c>
      <x:c r="C21" s="21" t="str">
        <x:v>F03</x:v>
      </x:c>
      <x:c r="D21" s="21" t="str">
        <x:v>M03</x:v>
      </x:c>
      <x:c r="E21" s="37" t="n">
        <x:f>'Family Register'!G9*Scenarios!D9</x:f>
        <x:v>6.6000000000000005</x:v>
      </x:c>
      <x:c r="F21" s="37" t="n">
        <x:f>'Family Register'!I9</x:f>
        <x:v>1.6</x:v>
      </x:c>
      <x:c r="G21" s="37" t="n">
        <x:f>MIN(Scenarios!E9:L9)</x:f>
        <x:v>0.9</x:v>
      </x:c>
      <x:c r="H21" s="37" t="n">
        <x:f>'Family Register'!G9*F21*G21</x:f>
        <x:v>17.280000000000005</x:v>
      </x:c>
      <x:c r="I21" s="37" t="n">
        <x:f>MIN(E21,H21)</x:f>
        <x:v>6.6000000000000005</x:v>
      </x:c>
      <x:c r="J21" s="37" t="n">
        <x:f>IF(E21&gt;0,I21/E21,0)</x:f>
        <x:v>1</x:v>
      </x:c>
      <x:c r="K21" s="23" t="str">
        <x:f>IF(J21&gt;=1,"ADEQUATE","GAP")</x:f>
        <x:v>ADEQUATE</x:v>
      </x:c>
    </x:row>
    <x:row r="22">
      <x:c r="B22" s="21" t="str">
        <x:v>SR-0016</x:v>
      </x:c>
      <x:c r="C22" s="21" t="str">
        <x:v>F03</x:v>
      </x:c>
      <x:c r="D22" s="21" t="str">
        <x:v>M04</x:v>
      </x:c>
      <x:c r="E22" s="37" t="n">
        <x:f>'Family Register'!G9*Scenarios!D10</x:f>
        <x:v>9.600000000000001</x:v>
      </x:c>
      <x:c r="F22" s="37" t="n">
        <x:f>'Family Register'!I9</x:f>
        <x:v>1.6</x:v>
      </x:c>
      <x:c r="G22" s="37" t="n">
        <x:f>MIN(Scenarios!E10:L10)</x:f>
        <x:v>0.85</x:v>
      </x:c>
      <x:c r="H22" s="37" t="n">
        <x:f>'Family Register'!G9*F22*G22</x:f>
        <x:v>16.32</x:v>
      </x:c>
      <x:c r="I22" s="37" t="n">
        <x:f>MIN(E22,H22)</x:f>
        <x:v>9.600000000000001</x:v>
      </x:c>
      <x:c r="J22" s="37" t="n">
        <x:f>IF(E22&gt;0,I22/E22,0)</x:f>
        <x:v>1</x:v>
      </x:c>
      <x:c r="K22" s="23" t="str">
        <x:f>IF(J22&gt;=1,"ADEQUATE","GAP")</x:f>
        <x:v>ADEQUATE</x:v>
      </x:c>
    </x:row>
    <x:row r="23">
      <x:c r="B23" s="21" t="str">
        <x:v>SR-0017</x:v>
      </x:c>
      <x:c r="C23" s="21" t="str">
        <x:v>F03</x:v>
      </x:c>
      <x:c r="D23" s="21" t="str">
        <x:v>M05</x:v>
      </x:c>
      <x:c r="E23" s="37" t="n">
        <x:f>'Family Register'!G9*Scenarios!D11</x:f>
        <x:v>12</x:v>
      </x:c>
      <x:c r="F23" s="37" t="n">
        <x:f>'Family Register'!I9</x:f>
        <x:v>1.6</x:v>
      </x:c>
      <x:c r="G23" s="37" t="n">
        <x:f>MIN(Scenarios!E11:L11)</x:f>
        <x:v>0.65</x:v>
      </x:c>
      <x:c r="H23" s="37" t="n">
        <x:f>'Family Register'!G9*F23*G23</x:f>
        <x:v>12.480000000000002</x:v>
      </x:c>
      <x:c r="I23" s="37" t="n">
        <x:f>MIN(E23,H23)</x:f>
        <x:v>12</x:v>
      </x:c>
      <x:c r="J23" s="37" t="n">
        <x:f>IF(E23&gt;0,I23/E23,0)</x:f>
        <x:v>1</x:v>
      </x:c>
      <x:c r="K23" s="23" t="str">
        <x:f>IF(J23&gt;=1,"ADEQUATE","GAP")</x:f>
        <x:v>ADEQUATE</x:v>
      </x:c>
    </x:row>
    <x:row r="24">
      <x:c r="B24" s="21" t="str">
        <x:v>SR-0018</x:v>
      </x:c>
      <x:c r="C24" s="21" t="str">
        <x:v>F03</x:v>
      </x:c>
      <x:c r="D24" s="21" t="str">
        <x:v>M06</x:v>
      </x:c>
      <x:c r="E24" s="37" t="n">
        <x:f>'Family Register'!G9*Scenarios!D12</x:f>
        <x:v>15</x:v>
      </x:c>
      <x:c r="F24" s="37" t="n">
        <x:f>'Family Register'!I9</x:f>
        <x:v>1.6</x:v>
      </x:c>
      <x:c r="G24" s="37" t="n">
        <x:f>MIN(Scenarios!E12:L12)</x:f>
        <x:v>0.5</x:v>
      </x:c>
      <x:c r="H24" s="37" t="n">
        <x:f>'Family Register'!G9*F24*G24</x:f>
        <x:v>9.600000000000001</x:v>
      </x:c>
      <x:c r="I24" s="37" t="n">
        <x:f>MIN(E24,H24)</x:f>
        <x:v>9.600000000000001</x:v>
      </x:c>
      <x:c r="J24" s="37" t="n">
        <x:f>IF(E24&gt;0,I24/E24,0)</x:f>
        <x:v>0.6400000000000001</x:v>
      </x:c>
      <x:c r="K24" s="23" t="str">
        <x:f>IF(J24&gt;=1,"ADEQUATE","GAP")</x:f>
        <x:v>GAP</x:v>
      </x:c>
    </x:row>
    <x:row r="25">
      <x:c r="B25" s="21" t="str">
        <x:v>SR-0019</x:v>
      </x:c>
      <x:c r="C25" s="21" t="str">
        <x:v>F04</x:v>
      </x:c>
      <x:c r="D25" s="21" t="str">
        <x:v>M01</x:v>
      </x:c>
      <x:c r="E25" s="37" t="n">
        <x:f>'Family Register'!G10*Scenarios!D7</x:f>
        <x:v>1.2000000000000002</x:v>
      </x:c>
      <x:c r="F25" s="37" t="n">
        <x:f>'Family Register'!I10</x:f>
        <x:v>1.6</x:v>
      </x:c>
      <x:c r="G25" s="37" t="n">
        <x:f>MIN(Scenarios!E7:L7)</x:f>
        <x:v>1</x:v>
      </x:c>
      <x:c r="H25" s="37" t="n">
        <x:f>'Family Register'!G10*F25*G25</x:f>
        <x:v>19.200000000000003</x:v>
      </x:c>
      <x:c r="I25" s="37" t="n">
        <x:f>MIN(E25,H25)</x:f>
        <x:v>1.2000000000000002</x:v>
      </x:c>
      <x:c r="J25" s="37" t="n">
        <x:f>IF(E25&gt;0,I25/E25,0)</x:f>
        <x:v>1</x:v>
      </x:c>
      <x:c r="K25" s="23" t="str">
        <x:f>IF(J25&gt;=1,"ADEQUATE","GAP")</x:f>
        <x:v>ADEQUATE</x:v>
      </x:c>
    </x:row>
    <x:row r="26">
      <x:c r="B26" s="21" t="str">
        <x:v>SR-0020</x:v>
      </x:c>
      <x:c r="C26" s="21" t="str">
        <x:v>F04</x:v>
      </x:c>
      <x:c r="D26" s="21" t="str">
        <x:v>M02</x:v>
      </x:c>
      <x:c r="E26" s="37" t="n">
        <x:f>'Family Register'!G10*Scenarios!D8</x:f>
        <x:v>4.199999999999999</x:v>
      </x:c>
      <x:c r="F26" s="37" t="n">
        <x:f>'Family Register'!I10</x:f>
        <x:v>1.6</x:v>
      </x:c>
      <x:c r="G26" s="37" t="n">
        <x:f>MIN(Scenarios!E8:L8)</x:f>
        <x:v>0.95</x:v>
      </x:c>
      <x:c r="H26" s="37" t="n">
        <x:f>'Family Register'!G10*F26*G26</x:f>
        <x:v>18.240000000000002</x:v>
      </x:c>
      <x:c r="I26" s="37" t="n">
        <x:f>MIN(E26,H26)</x:f>
        <x:v>4.199999999999999</x:v>
      </x:c>
      <x:c r="J26" s="37" t="n">
        <x:f>IF(E26&gt;0,I26/E26,0)</x:f>
        <x:v>1</x:v>
      </x:c>
      <x:c r="K26" s="23" t="str">
        <x:f>IF(J26&gt;=1,"ADEQUATE","GAP")</x:f>
        <x:v>ADEQUATE</x:v>
      </x:c>
    </x:row>
    <x:row r="27">
      <x:c r="B27" s="21" t="str">
        <x:v>SR-0021</x:v>
      </x:c>
      <x:c r="C27" s="21" t="str">
        <x:v>F04</x:v>
      </x:c>
      <x:c r="D27" s="21" t="str">
        <x:v>M03</x:v>
      </x:c>
      <x:c r="E27" s="37" t="n">
        <x:f>'Family Register'!G10*Scenarios!D9</x:f>
        <x:v>6.6000000000000005</x:v>
      </x:c>
      <x:c r="F27" s="37" t="n">
        <x:f>'Family Register'!I10</x:f>
        <x:v>1.6</x:v>
      </x:c>
      <x:c r="G27" s="37" t="n">
        <x:f>MIN(Scenarios!E9:L9)</x:f>
        <x:v>0.9</x:v>
      </x:c>
      <x:c r="H27" s="37" t="n">
        <x:f>'Family Register'!G10*F27*G27</x:f>
        <x:v>17.280000000000005</x:v>
      </x:c>
      <x:c r="I27" s="37" t="n">
        <x:f>MIN(E27,H27)</x:f>
        <x:v>6.6000000000000005</x:v>
      </x:c>
      <x:c r="J27" s="37" t="n">
        <x:f>IF(E27&gt;0,I27/E27,0)</x:f>
        <x:v>1</x:v>
      </x:c>
      <x:c r="K27" s="23" t="str">
        <x:f>IF(J27&gt;=1,"ADEQUATE","GAP")</x:f>
        <x:v>ADEQUATE</x:v>
      </x:c>
    </x:row>
    <x:row r="28">
      <x:c r="B28" s="21" t="str">
        <x:v>SR-0022</x:v>
      </x:c>
      <x:c r="C28" s="21" t="str">
        <x:v>F04</x:v>
      </x:c>
      <x:c r="D28" s="21" t="str">
        <x:v>M04</x:v>
      </x:c>
      <x:c r="E28" s="37" t="n">
        <x:f>'Family Register'!G10*Scenarios!D10</x:f>
        <x:v>9.600000000000001</x:v>
      </x:c>
      <x:c r="F28" s="37" t="n">
        <x:f>'Family Register'!I10</x:f>
        <x:v>1.6</x:v>
      </x:c>
      <x:c r="G28" s="37" t="n">
        <x:f>MIN(Scenarios!E10:L10)</x:f>
        <x:v>0.85</x:v>
      </x:c>
      <x:c r="H28" s="37" t="n">
        <x:f>'Family Register'!G10*F28*G28</x:f>
        <x:v>16.32</x:v>
      </x:c>
      <x:c r="I28" s="37" t="n">
        <x:f>MIN(E28,H28)</x:f>
        <x:v>9.600000000000001</x:v>
      </x:c>
      <x:c r="J28" s="37" t="n">
        <x:f>IF(E28&gt;0,I28/E28,0)</x:f>
        <x:v>1</x:v>
      </x:c>
      <x:c r="K28" s="23" t="str">
        <x:f>IF(J28&gt;=1,"ADEQUATE","GAP")</x:f>
        <x:v>ADEQUATE</x:v>
      </x:c>
    </x:row>
    <x:row r="29">
      <x:c r="B29" s="21" t="str">
        <x:v>SR-0023</x:v>
      </x:c>
      <x:c r="C29" s="21" t="str">
        <x:v>F04</x:v>
      </x:c>
      <x:c r="D29" s="21" t="str">
        <x:v>M05</x:v>
      </x:c>
      <x:c r="E29" s="37" t="n">
        <x:f>'Family Register'!G10*Scenarios!D11</x:f>
        <x:v>12</x:v>
      </x:c>
      <x:c r="F29" s="37" t="n">
        <x:f>'Family Register'!I10</x:f>
        <x:v>1.6</x:v>
      </x:c>
      <x:c r="G29" s="37" t="n">
        <x:f>MIN(Scenarios!E11:L11)</x:f>
        <x:v>0.65</x:v>
      </x:c>
      <x:c r="H29" s="37" t="n">
        <x:f>'Family Register'!G10*F29*G29</x:f>
        <x:v>12.480000000000002</x:v>
      </x:c>
      <x:c r="I29" s="37" t="n">
        <x:f>MIN(E29,H29)</x:f>
        <x:v>12</x:v>
      </x:c>
      <x:c r="J29" s="37" t="n">
        <x:f>IF(E29&gt;0,I29/E29,0)</x:f>
        <x:v>1</x:v>
      </x:c>
      <x:c r="K29" s="23" t="str">
        <x:f>IF(J29&gt;=1,"ADEQUATE","GAP")</x:f>
        <x:v>ADEQUATE</x:v>
      </x:c>
    </x:row>
    <x:row r="30">
      <x:c r="B30" s="21" t="str">
        <x:v>SR-0024</x:v>
      </x:c>
      <x:c r="C30" s="21" t="str">
        <x:v>F04</x:v>
      </x:c>
      <x:c r="D30" s="21" t="str">
        <x:v>M06</x:v>
      </x:c>
      <x:c r="E30" s="37" t="n">
        <x:f>'Family Register'!G10*Scenarios!D12</x:f>
        <x:v>15</x:v>
      </x:c>
      <x:c r="F30" s="37" t="n">
        <x:f>'Family Register'!I10</x:f>
        <x:v>1.6</x:v>
      </x:c>
      <x:c r="G30" s="37" t="n">
        <x:f>MIN(Scenarios!E12:L12)</x:f>
        <x:v>0.5</x:v>
      </x:c>
      <x:c r="H30" s="37" t="n">
        <x:f>'Family Register'!G10*F30*G30</x:f>
        <x:v>9.600000000000001</x:v>
      </x:c>
      <x:c r="I30" s="37" t="n">
        <x:f>MIN(E30,H30)</x:f>
        <x:v>9.600000000000001</x:v>
      </x:c>
      <x:c r="J30" s="37" t="n">
        <x:f>IF(E30&gt;0,I30/E30,0)</x:f>
        <x:v>0.6400000000000001</x:v>
      </x:c>
      <x:c r="K30" s="23" t="str">
        <x:f>IF(J30&gt;=1,"ADEQUATE","GAP")</x:f>
        <x:v>GAP</x:v>
      </x:c>
    </x:row>
    <x:row r="31">
      <x:c r="B31" s="21" t="str">
        <x:v>SR-0025</x:v>
      </x:c>
      <x:c r="C31" s="21" t="str">
        <x:v>F05</x:v>
      </x:c>
      <x:c r="D31" s="21" t="str">
        <x:v>M01</x:v>
      </x:c>
      <x:c r="E31" s="37" t="n">
        <x:f>'Family Register'!G11*Scenarios!D7</x:f>
        <x:v>2</x:v>
      </x:c>
      <x:c r="F31" s="37" t="n">
        <x:f>'Family Register'!I11</x:f>
        <x:v>1.45</x:v>
      </x:c>
      <x:c r="G31" s="37" t="n">
        <x:f>MIN(Scenarios!E7:L7)</x:f>
        <x:v>1</x:v>
      </x:c>
      <x:c r="H31" s="37" t="n">
        <x:f>'Family Register'!G11*F31*G31</x:f>
        <x:v>29</x:v>
      </x:c>
      <x:c r="I31" s="37" t="n">
        <x:f>MIN(E31,H31)</x:f>
        <x:v>2</x:v>
      </x:c>
      <x:c r="J31" s="37" t="n">
        <x:f>IF(E31&gt;0,I31/E31,0)</x:f>
        <x:v>1</x:v>
      </x:c>
      <x:c r="K31" s="23" t="str">
        <x:f>IF(J31&gt;=1,"ADEQUATE","GAP")</x:f>
        <x:v>ADEQUATE</x:v>
      </x:c>
    </x:row>
    <x:row r="32">
      <x:c r="B32" s="21" t="str">
        <x:v>SR-0026</x:v>
      </x:c>
      <x:c r="C32" s="21" t="str">
        <x:v>F05</x:v>
      </x:c>
      <x:c r="D32" s="21" t="str">
        <x:v>M02</x:v>
      </x:c>
      <x:c r="E32" s="37" t="n">
        <x:f>'Family Register'!G11*Scenarios!D8</x:f>
        <x:v>7</x:v>
      </x:c>
      <x:c r="F32" s="37" t="n">
        <x:f>'Family Register'!I11</x:f>
        <x:v>1.45</x:v>
      </x:c>
      <x:c r="G32" s="37" t="n">
        <x:f>MIN(Scenarios!E8:L8)</x:f>
        <x:v>0.95</x:v>
      </x:c>
      <x:c r="H32" s="37" t="n">
        <x:f>'Family Register'!G11*F32*G32</x:f>
        <x:v>27.549999999999997</x:v>
      </x:c>
      <x:c r="I32" s="37" t="n">
        <x:f>MIN(E32,H32)</x:f>
        <x:v>7</x:v>
      </x:c>
      <x:c r="J32" s="37" t="n">
        <x:f>IF(E32&gt;0,I32/E32,0)</x:f>
        <x:v>1</x:v>
      </x:c>
      <x:c r="K32" s="23" t="str">
        <x:f>IF(J32&gt;=1,"ADEQUATE","GAP")</x:f>
        <x:v>ADEQUATE</x:v>
      </x:c>
    </x:row>
    <x:row r="33">
      <x:c r="B33" s="21" t="str">
        <x:v>SR-0027</x:v>
      </x:c>
      <x:c r="C33" s="21" t="str">
        <x:v>F05</x:v>
      </x:c>
      <x:c r="D33" s="21" t="str">
        <x:v>M03</x:v>
      </x:c>
      <x:c r="E33" s="37" t="n">
        <x:f>'Family Register'!G11*Scenarios!D9</x:f>
        <x:v>11</x:v>
      </x:c>
      <x:c r="F33" s="37" t="n">
        <x:f>'Family Register'!I11</x:f>
        <x:v>1.45</x:v>
      </x:c>
      <x:c r="G33" s="37" t="n">
        <x:f>MIN(Scenarios!E9:L9)</x:f>
        <x:v>0.9</x:v>
      </x:c>
      <x:c r="H33" s="37" t="n">
        <x:f>'Family Register'!G11*F33*G33</x:f>
        <x:v>26.1</x:v>
      </x:c>
      <x:c r="I33" s="37" t="n">
        <x:f>MIN(E33,H33)</x:f>
        <x:v>11</x:v>
      </x:c>
      <x:c r="J33" s="37" t="n">
        <x:f>IF(E33&gt;0,I33/E33,0)</x:f>
        <x:v>1</x:v>
      </x:c>
      <x:c r="K33" s="23" t="str">
        <x:f>IF(J33&gt;=1,"ADEQUATE","GAP")</x:f>
        <x:v>ADEQUATE</x:v>
      </x:c>
    </x:row>
    <x:row r="34">
      <x:c r="B34" s="21" t="str">
        <x:v>SR-0028</x:v>
      </x:c>
      <x:c r="C34" s="21" t="str">
        <x:v>F05</x:v>
      </x:c>
      <x:c r="D34" s="21" t="str">
        <x:v>M04</x:v>
      </x:c>
      <x:c r="E34" s="37" t="n">
        <x:f>'Family Register'!G11*Scenarios!D10</x:f>
        <x:v>16</x:v>
      </x:c>
      <x:c r="F34" s="37" t="n">
        <x:f>'Family Register'!I11</x:f>
        <x:v>1.45</x:v>
      </x:c>
      <x:c r="G34" s="37" t="n">
        <x:f>MIN(Scenarios!E10:L10)</x:f>
        <x:v>0.85</x:v>
      </x:c>
      <x:c r="H34" s="37" t="n">
        <x:f>'Family Register'!G11*F34*G34</x:f>
        <x:v>24.65</x:v>
      </x:c>
      <x:c r="I34" s="37" t="n">
        <x:f>MIN(E34,H34)</x:f>
        <x:v>16</x:v>
      </x:c>
      <x:c r="J34" s="37" t="n">
        <x:f>IF(E34&gt;0,I34/E34,0)</x:f>
        <x:v>1</x:v>
      </x:c>
      <x:c r="K34" s="23" t="str">
        <x:f>IF(J34&gt;=1,"ADEQUATE","GAP")</x:f>
        <x:v>ADEQUATE</x:v>
      </x:c>
    </x:row>
    <x:row r="35">
      <x:c r="B35" s="21" t="str">
        <x:v>SR-0029</x:v>
      </x:c>
      <x:c r="C35" s="21" t="str">
        <x:v>F05</x:v>
      </x:c>
      <x:c r="D35" s="21" t="str">
        <x:v>M05</x:v>
      </x:c>
      <x:c r="E35" s="37" t="n">
        <x:f>'Family Register'!G11*Scenarios!D11</x:f>
        <x:v>20</x:v>
      </x:c>
      <x:c r="F35" s="37" t="n">
        <x:f>'Family Register'!I11</x:f>
        <x:v>1.45</x:v>
      </x:c>
      <x:c r="G35" s="37" t="n">
        <x:f>MIN(Scenarios!E11:L11)</x:f>
        <x:v>0.65</x:v>
      </x:c>
      <x:c r="H35" s="37" t="n">
        <x:f>'Family Register'!G11*F35*G35</x:f>
        <x:v>18.85</x:v>
      </x:c>
      <x:c r="I35" s="37" t="n">
        <x:f>MIN(E35,H35)</x:f>
        <x:v>18.85</x:v>
      </x:c>
      <x:c r="J35" s="37" t="n">
        <x:f>IF(E35&gt;0,I35/E35,0)</x:f>
        <x:v>0.9425000000000001</x:v>
      </x:c>
      <x:c r="K35" s="23" t="str">
        <x:f>IF(J35&gt;=1,"ADEQUATE","GAP")</x:f>
        <x:v>GAP</x:v>
      </x:c>
    </x:row>
    <x:row r="36">
      <x:c r="B36" s="21" t="str">
        <x:v>SR-0030</x:v>
      </x:c>
      <x:c r="C36" s="21" t="str">
        <x:v>F05</x:v>
      </x:c>
      <x:c r="D36" s="21" t="str">
        <x:v>M06</x:v>
      </x:c>
      <x:c r="E36" s="37" t="n">
        <x:f>'Family Register'!G11*Scenarios!D12</x:f>
        <x:v>25</x:v>
      </x:c>
      <x:c r="F36" s="37" t="n">
        <x:f>'Family Register'!I11</x:f>
        <x:v>1.45</x:v>
      </x:c>
      <x:c r="G36" s="37" t="n">
        <x:f>MIN(Scenarios!E12:L12)</x:f>
        <x:v>0.5</x:v>
      </x:c>
      <x:c r="H36" s="37" t="n">
        <x:f>'Family Register'!G11*F36*G36</x:f>
        <x:v>14.5</x:v>
      </x:c>
      <x:c r="I36" s="37" t="n">
        <x:f>MIN(E36,H36)</x:f>
        <x:v>14.5</x:v>
      </x:c>
      <x:c r="J36" s="37" t="n">
        <x:f>IF(E36&gt;0,I36/E36,0)</x:f>
        <x:v>0.58</x:v>
      </x:c>
      <x:c r="K36" s="23" t="str">
        <x:f>IF(J36&gt;=1,"ADEQUATE","GAP")</x:f>
        <x:v>GAP</x:v>
      </x:c>
    </x:row>
    <x:row r="37">
      <x:c r="B37" s="21" t="str">
        <x:v>SR-0031</x:v>
      </x:c>
      <x:c r="C37" s="21" t="str">
        <x:v>F06</x:v>
      </x:c>
      <x:c r="D37" s="21" t="str">
        <x:v>M01</x:v>
      </x:c>
      <x:c r="E37" s="37" t="n">
        <x:f>'Family Register'!G12*Scenarios!D7</x:f>
        <x:v>2</x:v>
      </x:c>
      <x:c r="F37" s="37" t="n">
        <x:f>'Family Register'!I12</x:f>
        <x:v>1.45</x:v>
      </x:c>
      <x:c r="G37" s="37" t="n">
        <x:f>MIN(Scenarios!E7:L7)</x:f>
        <x:v>1</x:v>
      </x:c>
      <x:c r="H37" s="37" t="n">
        <x:f>'Family Register'!G12*F37*G37</x:f>
        <x:v>29</x:v>
      </x:c>
      <x:c r="I37" s="37" t="n">
        <x:f>MIN(E37,H37)</x:f>
        <x:v>2</x:v>
      </x:c>
      <x:c r="J37" s="37" t="n">
        <x:f>IF(E37&gt;0,I37/E37,0)</x:f>
        <x:v>1</x:v>
      </x:c>
      <x:c r="K37" s="23" t="str">
        <x:f>IF(J37&gt;=1,"ADEQUATE","GAP")</x:f>
        <x:v>ADEQUATE</x:v>
      </x:c>
    </x:row>
    <x:row r="38">
      <x:c r="B38" s="21" t="str">
        <x:v>SR-0032</x:v>
      </x:c>
      <x:c r="C38" s="21" t="str">
        <x:v>F06</x:v>
      </x:c>
      <x:c r="D38" s="21" t="str">
        <x:v>M02</x:v>
      </x:c>
      <x:c r="E38" s="37" t="n">
        <x:f>'Family Register'!G12*Scenarios!D8</x:f>
        <x:v>7</x:v>
      </x:c>
      <x:c r="F38" s="37" t="n">
        <x:f>'Family Register'!I12</x:f>
        <x:v>1.45</x:v>
      </x:c>
      <x:c r="G38" s="37" t="n">
        <x:f>MIN(Scenarios!E8:L8)</x:f>
        <x:v>0.95</x:v>
      </x:c>
      <x:c r="H38" s="37" t="n">
        <x:f>'Family Register'!G12*F38*G38</x:f>
        <x:v>27.549999999999997</x:v>
      </x:c>
      <x:c r="I38" s="37" t="n">
        <x:f>MIN(E38,H38)</x:f>
        <x:v>7</x:v>
      </x:c>
      <x:c r="J38" s="37" t="n">
        <x:f>IF(E38&gt;0,I38/E38,0)</x:f>
        <x:v>1</x:v>
      </x:c>
      <x:c r="K38" s="23" t="str">
        <x:f>IF(J38&gt;=1,"ADEQUATE","GAP")</x:f>
        <x:v>ADEQUATE</x:v>
      </x:c>
    </x:row>
    <x:row r="39">
      <x:c r="B39" s="21" t="str">
        <x:v>SR-0033</x:v>
      </x:c>
      <x:c r="C39" s="21" t="str">
        <x:v>F06</x:v>
      </x:c>
      <x:c r="D39" s="21" t="str">
        <x:v>M03</x:v>
      </x:c>
      <x:c r="E39" s="37" t="n">
        <x:f>'Family Register'!G12*Scenarios!D9</x:f>
        <x:v>11</x:v>
      </x:c>
      <x:c r="F39" s="37" t="n">
        <x:f>'Family Register'!I12</x:f>
        <x:v>1.45</x:v>
      </x:c>
      <x:c r="G39" s="37" t="n">
        <x:f>MIN(Scenarios!E9:L9)</x:f>
        <x:v>0.9</x:v>
      </x:c>
      <x:c r="H39" s="37" t="n">
        <x:f>'Family Register'!G12*F39*G39</x:f>
        <x:v>26.1</x:v>
      </x:c>
      <x:c r="I39" s="37" t="n">
        <x:f>MIN(E39,H39)</x:f>
        <x:v>11</x:v>
      </x:c>
      <x:c r="J39" s="37" t="n">
        <x:f>IF(E39&gt;0,I39/E39,0)</x:f>
        <x:v>1</x:v>
      </x:c>
      <x:c r="K39" s="23" t="str">
        <x:f>IF(J39&gt;=1,"ADEQUATE","GAP")</x:f>
        <x:v>ADEQUATE</x:v>
      </x:c>
    </x:row>
    <x:row r="40">
      <x:c r="B40" s="21" t="str">
        <x:v>SR-0034</x:v>
      </x:c>
      <x:c r="C40" s="21" t="str">
        <x:v>F06</x:v>
      </x:c>
      <x:c r="D40" s="21" t="str">
        <x:v>M04</x:v>
      </x:c>
      <x:c r="E40" s="37" t="n">
        <x:f>'Family Register'!G12*Scenarios!D10</x:f>
        <x:v>16</x:v>
      </x:c>
      <x:c r="F40" s="37" t="n">
        <x:f>'Family Register'!I12</x:f>
        <x:v>1.45</x:v>
      </x:c>
      <x:c r="G40" s="37" t="n">
        <x:f>MIN(Scenarios!E10:L10)</x:f>
        <x:v>0.85</x:v>
      </x:c>
      <x:c r="H40" s="37" t="n">
        <x:f>'Family Register'!G12*F40*G40</x:f>
        <x:v>24.65</x:v>
      </x:c>
      <x:c r="I40" s="37" t="n">
        <x:f>MIN(E40,H40)</x:f>
        <x:v>16</x:v>
      </x:c>
      <x:c r="J40" s="37" t="n">
        <x:f>IF(E40&gt;0,I40/E40,0)</x:f>
        <x:v>1</x:v>
      </x:c>
      <x:c r="K40" s="23" t="str">
        <x:f>IF(J40&gt;=1,"ADEQUATE","GAP")</x:f>
        <x:v>ADEQUATE</x:v>
      </x:c>
    </x:row>
    <x:row r="41">
      <x:c r="B41" s="21" t="str">
        <x:v>SR-0035</x:v>
      </x:c>
      <x:c r="C41" s="21" t="str">
        <x:v>F06</x:v>
      </x:c>
      <x:c r="D41" s="21" t="str">
        <x:v>M05</x:v>
      </x:c>
      <x:c r="E41" s="37" t="n">
        <x:f>'Family Register'!G12*Scenarios!D11</x:f>
        <x:v>20</x:v>
      </x:c>
      <x:c r="F41" s="37" t="n">
        <x:f>'Family Register'!I12</x:f>
        <x:v>1.45</x:v>
      </x:c>
      <x:c r="G41" s="37" t="n">
        <x:f>MIN(Scenarios!E11:L11)</x:f>
        <x:v>0.65</x:v>
      </x:c>
      <x:c r="H41" s="37" t="n">
        <x:f>'Family Register'!G12*F41*G41</x:f>
        <x:v>18.85</x:v>
      </x:c>
      <x:c r="I41" s="37" t="n">
        <x:f>MIN(E41,H41)</x:f>
        <x:v>18.85</x:v>
      </x:c>
      <x:c r="J41" s="37" t="n">
        <x:f>IF(E41&gt;0,I41/E41,0)</x:f>
        <x:v>0.9425000000000001</x:v>
      </x:c>
      <x:c r="K41" s="23" t="str">
        <x:f>IF(J41&gt;=1,"ADEQUATE","GAP")</x:f>
        <x:v>GAP</x:v>
      </x:c>
    </x:row>
    <x:row r="42">
      <x:c r="B42" s="21" t="str">
        <x:v>SR-0036</x:v>
      </x:c>
      <x:c r="C42" s="21" t="str">
        <x:v>F06</x:v>
      </x:c>
      <x:c r="D42" s="21" t="str">
        <x:v>M06</x:v>
      </x:c>
      <x:c r="E42" s="37" t="n">
        <x:f>'Family Register'!G12*Scenarios!D12</x:f>
        <x:v>25</x:v>
      </x:c>
      <x:c r="F42" s="37" t="n">
        <x:f>'Family Register'!I12</x:f>
        <x:v>1.45</x:v>
      </x:c>
      <x:c r="G42" s="37" t="n">
        <x:f>MIN(Scenarios!E12:L12)</x:f>
        <x:v>0.5</x:v>
      </x:c>
      <x:c r="H42" s="37" t="n">
        <x:f>'Family Register'!G12*F42*G42</x:f>
        <x:v>14.5</x:v>
      </x:c>
      <x:c r="I42" s="37" t="n">
        <x:f>MIN(E42,H42)</x:f>
        <x:v>14.5</x:v>
      </x:c>
      <x:c r="J42" s="37" t="n">
        <x:f>IF(E42&gt;0,I42/E42,0)</x:f>
        <x:v>0.58</x:v>
      </x:c>
      <x:c r="K42" s="23" t="str">
        <x:f>IF(J42&gt;=1,"ADEQUATE","GAP")</x:f>
        <x:v>GAP</x:v>
      </x:c>
    </x:row>
    <x:row r="43">
      <x:c r="B43" s="21" t="str">
        <x:v>SR-0037</x:v>
      </x:c>
      <x:c r="C43" s="21" t="str">
        <x:v>F07</x:v>
      </x:c>
      <x:c r="D43" s="21" t="str">
        <x:v>M01</x:v>
      </x:c>
      <x:c r="E43" s="37" t="n">
        <x:f>'Family Register'!G13*Scenarios!D7</x:f>
        <x:v>0.8</x:v>
      </x:c>
      <x:c r="F43" s="37" t="n">
        <x:f>'Family Register'!I13</x:f>
        <x:v>1.3</x:v>
      </x:c>
      <x:c r="G43" s="37" t="n">
        <x:f>MIN(Scenarios!E7:L7)</x:f>
        <x:v>1</x:v>
      </x:c>
      <x:c r="H43" s="37" t="n">
        <x:f>'Family Register'!G13*F43*G43</x:f>
        <x:v>10.4</x:v>
      </x:c>
      <x:c r="I43" s="37" t="n">
        <x:f>MIN(E43,H43)</x:f>
        <x:v>0.8</x:v>
      </x:c>
      <x:c r="J43" s="37" t="n">
        <x:f>IF(E43&gt;0,I43/E43,0)</x:f>
        <x:v>1</x:v>
      </x:c>
      <x:c r="K43" s="23" t="str">
        <x:f>IF(J43&gt;=1,"ADEQUATE","GAP")</x:f>
        <x:v>ADEQUATE</x:v>
      </x:c>
    </x:row>
    <x:row r="44">
      <x:c r="B44" s="21" t="str">
        <x:v>SR-0038</x:v>
      </x:c>
      <x:c r="C44" s="21" t="str">
        <x:v>F07</x:v>
      </x:c>
      <x:c r="D44" s="21" t="str">
        <x:v>M02</x:v>
      </x:c>
      <x:c r="E44" s="37" t="n">
        <x:f>'Family Register'!G13*Scenarios!D8</x:f>
        <x:v>2.8</x:v>
      </x:c>
      <x:c r="F44" s="37" t="n">
        <x:f>'Family Register'!I13</x:f>
        <x:v>1.3</x:v>
      </x:c>
      <x:c r="G44" s="37" t="n">
        <x:f>MIN(Scenarios!E8:L8)</x:f>
        <x:v>0.95</x:v>
      </x:c>
      <x:c r="H44" s="37" t="n">
        <x:f>'Family Register'!G13*F44*G44</x:f>
        <x:v>9.879999999999999</x:v>
      </x:c>
      <x:c r="I44" s="37" t="n">
        <x:f>MIN(E44,H44)</x:f>
        <x:v>2.8</x:v>
      </x:c>
      <x:c r="J44" s="37" t="n">
        <x:f>IF(E44&gt;0,I44/E44,0)</x:f>
        <x:v>1</x:v>
      </x:c>
      <x:c r="K44" s="23" t="str">
        <x:f>IF(J44&gt;=1,"ADEQUATE","GAP")</x:f>
        <x:v>ADEQUATE</x:v>
      </x:c>
    </x:row>
    <x:row r="45">
      <x:c r="B45" s="21" t="str">
        <x:v>SR-0039</x:v>
      </x:c>
      <x:c r="C45" s="21" t="str">
        <x:v>F07</x:v>
      </x:c>
      <x:c r="D45" s="21" t="str">
        <x:v>M03</x:v>
      </x:c>
      <x:c r="E45" s="37" t="n">
        <x:f>'Family Register'!G13*Scenarios!D9</x:f>
        <x:v>4.4</x:v>
      </x:c>
      <x:c r="F45" s="37" t="n">
        <x:f>'Family Register'!I13</x:f>
        <x:v>1.3</x:v>
      </x:c>
      <x:c r="G45" s="37" t="n">
        <x:f>MIN(Scenarios!E9:L9)</x:f>
        <x:v>0.9</x:v>
      </x:c>
      <x:c r="H45" s="37" t="n">
        <x:f>'Family Register'!G13*F45*G45</x:f>
        <x:v>9.360000000000001</x:v>
      </x:c>
      <x:c r="I45" s="37" t="n">
        <x:f>MIN(E45,H45)</x:f>
        <x:v>4.4</x:v>
      </x:c>
      <x:c r="J45" s="37" t="n">
        <x:f>IF(E45&gt;0,I45/E45,0)</x:f>
        <x:v>1</x:v>
      </x:c>
      <x:c r="K45" s="23" t="str">
        <x:f>IF(J45&gt;=1,"ADEQUATE","GAP")</x:f>
        <x:v>ADEQUATE</x:v>
      </x:c>
    </x:row>
    <x:row r="46">
      <x:c r="B46" s="21" t="str">
        <x:v>SR-0040</x:v>
      </x:c>
      <x:c r="C46" s="21" t="str">
        <x:v>F07</x:v>
      </x:c>
      <x:c r="D46" s="21" t="str">
        <x:v>M04</x:v>
      </x:c>
      <x:c r="E46" s="37" t="n">
        <x:f>'Family Register'!G13*Scenarios!D10</x:f>
        <x:v>6.4</x:v>
      </x:c>
      <x:c r="F46" s="37" t="n">
        <x:f>'Family Register'!I13</x:f>
        <x:v>1.3</x:v>
      </x:c>
      <x:c r="G46" s="37" t="n">
        <x:f>MIN(Scenarios!E10:L10)</x:f>
        <x:v>0.85</x:v>
      </x:c>
      <x:c r="H46" s="37" t="n">
        <x:f>'Family Register'!G13*F46*G46</x:f>
        <x:v>8.84</x:v>
      </x:c>
      <x:c r="I46" s="37" t="n">
        <x:f>MIN(E46,H46)</x:f>
        <x:v>6.4</x:v>
      </x:c>
      <x:c r="J46" s="37" t="n">
        <x:f>IF(E46&gt;0,I46/E46,0)</x:f>
        <x:v>1</x:v>
      </x:c>
      <x:c r="K46" s="23" t="str">
        <x:f>IF(J46&gt;=1,"ADEQUATE","GAP")</x:f>
        <x:v>ADEQUATE</x:v>
      </x:c>
    </x:row>
    <x:row r="47">
      <x:c r="B47" s="21" t="str">
        <x:v>SR-0041</x:v>
      </x:c>
      <x:c r="C47" s="21" t="str">
        <x:v>F07</x:v>
      </x:c>
      <x:c r="D47" s="21" t="str">
        <x:v>M05</x:v>
      </x:c>
      <x:c r="E47" s="37" t="n">
        <x:f>'Family Register'!G13*Scenarios!D11</x:f>
        <x:v>8</x:v>
      </x:c>
      <x:c r="F47" s="37" t="n">
        <x:f>'Family Register'!I13</x:f>
        <x:v>1.3</x:v>
      </x:c>
      <x:c r="G47" s="37" t="n">
        <x:f>MIN(Scenarios!E11:L11)</x:f>
        <x:v>0.65</x:v>
      </x:c>
      <x:c r="H47" s="37" t="n">
        <x:f>'Family Register'!G13*F47*G47</x:f>
        <x:v>6.760000000000001</x:v>
      </x:c>
      <x:c r="I47" s="37" t="n">
        <x:f>MIN(E47,H47)</x:f>
        <x:v>6.760000000000001</x:v>
      </x:c>
      <x:c r="J47" s="37" t="n">
        <x:f>IF(E47&gt;0,I47/E47,0)</x:f>
        <x:v>0.8450000000000001</x:v>
      </x:c>
      <x:c r="K47" s="23" t="str">
        <x:f>IF(J47&gt;=1,"ADEQUATE","GAP")</x:f>
        <x:v>GAP</x:v>
      </x:c>
    </x:row>
    <x:row r="48">
      <x:c r="B48" s="21" t="str">
        <x:v>SR-0042</x:v>
      </x:c>
      <x:c r="C48" s="21" t="str">
        <x:v>F07</x:v>
      </x:c>
      <x:c r="D48" s="21" t="str">
        <x:v>M06</x:v>
      </x:c>
      <x:c r="E48" s="37" t="n">
        <x:f>'Family Register'!G13*Scenarios!D12</x:f>
        <x:v>10</x:v>
      </x:c>
      <x:c r="F48" s="37" t="n">
        <x:f>'Family Register'!I13</x:f>
        <x:v>1.3</x:v>
      </x:c>
      <x:c r="G48" s="37" t="n">
        <x:f>MIN(Scenarios!E12:L12)</x:f>
        <x:v>0.5</x:v>
      </x:c>
      <x:c r="H48" s="37" t="n">
        <x:f>'Family Register'!G13*F48*G48</x:f>
        <x:v>5.2</x:v>
      </x:c>
      <x:c r="I48" s="37" t="n">
        <x:f>MIN(E48,H48)</x:f>
        <x:v>5.2</x:v>
      </x:c>
      <x:c r="J48" s="37" t="n">
        <x:f>IF(E48&gt;0,I48/E48,0)</x:f>
        <x:v>0.52</x:v>
      </x:c>
      <x:c r="K48" s="23" t="str">
        <x:f>IF(J48&gt;=1,"ADEQUATE","GAP")</x:f>
        <x:v>GAP</x:v>
      </x:c>
    </x:row>
    <x:row r="49">
      <x:c r="B49" s="21" t="str">
        <x:v>SR-0043</x:v>
      </x:c>
      <x:c r="C49" s="21" t="str">
        <x:v>F08</x:v>
      </x:c>
      <x:c r="D49" s="21" t="str">
        <x:v>M01</x:v>
      </x:c>
      <x:c r="E49" s="37" t="n">
        <x:f>'Family Register'!G14*Scenarios!D7</x:f>
        <x:v>2</x:v>
      </x:c>
      <x:c r="F49" s="37" t="n">
        <x:f>'Family Register'!I14</x:f>
        <x:v>1.45</x:v>
      </x:c>
      <x:c r="G49" s="37" t="n">
        <x:f>MIN(Scenarios!E7:L7)</x:f>
        <x:v>1</x:v>
      </x:c>
      <x:c r="H49" s="37" t="n">
        <x:f>'Family Register'!G14*F49*G49</x:f>
        <x:v>29</x:v>
      </x:c>
      <x:c r="I49" s="37" t="n">
        <x:f>MIN(E49,H49)</x:f>
        <x:v>2</x:v>
      </x:c>
      <x:c r="J49" s="37" t="n">
        <x:f>IF(E49&gt;0,I49/E49,0)</x:f>
        <x:v>1</x:v>
      </x:c>
      <x:c r="K49" s="23" t="str">
        <x:f>IF(J49&gt;=1,"ADEQUATE","GAP")</x:f>
        <x:v>ADEQUATE</x:v>
      </x:c>
    </x:row>
    <x:row r="50">
      <x:c r="B50" s="21" t="str">
        <x:v>SR-0044</x:v>
      </x:c>
      <x:c r="C50" s="21" t="str">
        <x:v>F08</x:v>
      </x:c>
      <x:c r="D50" s="21" t="str">
        <x:v>M02</x:v>
      </x:c>
      <x:c r="E50" s="37" t="n">
        <x:f>'Family Register'!G14*Scenarios!D8</x:f>
        <x:v>7</x:v>
      </x:c>
      <x:c r="F50" s="37" t="n">
        <x:f>'Family Register'!I14</x:f>
        <x:v>1.45</x:v>
      </x:c>
      <x:c r="G50" s="37" t="n">
        <x:f>MIN(Scenarios!E8:L8)</x:f>
        <x:v>0.95</x:v>
      </x:c>
      <x:c r="H50" s="37" t="n">
        <x:f>'Family Register'!G14*F50*G50</x:f>
        <x:v>27.549999999999997</x:v>
      </x:c>
      <x:c r="I50" s="37" t="n">
        <x:f>MIN(E50,H50)</x:f>
        <x:v>7</x:v>
      </x:c>
      <x:c r="J50" s="37" t="n">
        <x:f>IF(E50&gt;0,I50/E50,0)</x:f>
        <x:v>1</x:v>
      </x:c>
      <x:c r="K50" s="23" t="str">
        <x:f>IF(J50&gt;=1,"ADEQUATE","GAP")</x:f>
        <x:v>ADEQUATE</x:v>
      </x:c>
    </x:row>
    <x:row r="51">
      <x:c r="B51" s="21" t="str">
        <x:v>SR-0045</x:v>
      </x:c>
      <x:c r="C51" s="21" t="str">
        <x:v>F08</x:v>
      </x:c>
      <x:c r="D51" s="21" t="str">
        <x:v>M03</x:v>
      </x:c>
      <x:c r="E51" s="37" t="n">
        <x:f>'Family Register'!G14*Scenarios!D9</x:f>
        <x:v>11</x:v>
      </x:c>
      <x:c r="F51" s="37" t="n">
        <x:f>'Family Register'!I14</x:f>
        <x:v>1.45</x:v>
      </x:c>
      <x:c r="G51" s="37" t="n">
        <x:f>MIN(Scenarios!E9:L9)</x:f>
        <x:v>0.9</x:v>
      </x:c>
      <x:c r="H51" s="37" t="n">
        <x:f>'Family Register'!G14*F51*G51</x:f>
        <x:v>26.1</x:v>
      </x:c>
      <x:c r="I51" s="37" t="n">
        <x:f>MIN(E51,H51)</x:f>
        <x:v>11</x:v>
      </x:c>
      <x:c r="J51" s="37" t="n">
        <x:f>IF(E51&gt;0,I51/E51,0)</x:f>
        <x:v>1</x:v>
      </x:c>
      <x:c r="K51" s="23" t="str">
        <x:f>IF(J51&gt;=1,"ADEQUATE","GAP")</x:f>
        <x:v>ADEQUATE</x:v>
      </x:c>
    </x:row>
    <x:row r="52">
      <x:c r="B52" s="21" t="str">
        <x:v>SR-0046</x:v>
      </x:c>
      <x:c r="C52" s="21" t="str">
        <x:v>F08</x:v>
      </x:c>
      <x:c r="D52" s="21" t="str">
        <x:v>M04</x:v>
      </x:c>
      <x:c r="E52" s="37" t="n">
        <x:f>'Family Register'!G14*Scenarios!D10</x:f>
        <x:v>16</x:v>
      </x:c>
      <x:c r="F52" s="37" t="n">
        <x:f>'Family Register'!I14</x:f>
        <x:v>1.45</x:v>
      </x:c>
      <x:c r="G52" s="37" t="n">
        <x:f>MIN(Scenarios!E10:L10)</x:f>
        <x:v>0.85</x:v>
      </x:c>
      <x:c r="H52" s="37" t="n">
        <x:f>'Family Register'!G14*F52*G52</x:f>
        <x:v>24.65</x:v>
      </x:c>
      <x:c r="I52" s="37" t="n">
        <x:f>MIN(E52,H52)</x:f>
        <x:v>16</x:v>
      </x:c>
      <x:c r="J52" s="37" t="n">
        <x:f>IF(E52&gt;0,I52/E52,0)</x:f>
        <x:v>1</x:v>
      </x:c>
      <x:c r="K52" s="23" t="str">
        <x:f>IF(J52&gt;=1,"ADEQUATE","GAP")</x:f>
        <x:v>ADEQUATE</x:v>
      </x:c>
    </x:row>
    <x:row r="53">
      <x:c r="B53" s="21" t="str">
        <x:v>SR-0047</x:v>
      </x:c>
      <x:c r="C53" s="21" t="str">
        <x:v>F08</x:v>
      </x:c>
      <x:c r="D53" s="21" t="str">
        <x:v>M05</x:v>
      </x:c>
      <x:c r="E53" s="37" t="n">
        <x:f>'Family Register'!G14*Scenarios!D11</x:f>
        <x:v>20</x:v>
      </x:c>
      <x:c r="F53" s="37" t="n">
        <x:f>'Family Register'!I14</x:f>
        <x:v>1.45</x:v>
      </x:c>
      <x:c r="G53" s="37" t="n">
        <x:f>MIN(Scenarios!E11:L11)</x:f>
        <x:v>0.65</x:v>
      </x:c>
      <x:c r="H53" s="37" t="n">
        <x:f>'Family Register'!G14*F53*G53</x:f>
        <x:v>18.85</x:v>
      </x:c>
      <x:c r="I53" s="37" t="n">
        <x:f>MIN(E53,H53)</x:f>
        <x:v>18.85</x:v>
      </x:c>
      <x:c r="J53" s="37" t="n">
        <x:f>IF(E53&gt;0,I53/E53,0)</x:f>
        <x:v>0.9425000000000001</x:v>
      </x:c>
      <x:c r="K53" s="23" t="str">
        <x:f>IF(J53&gt;=1,"ADEQUATE","GAP")</x:f>
        <x:v>GAP</x:v>
      </x:c>
    </x:row>
    <x:row r="54">
      <x:c r="B54" s="21" t="str">
        <x:v>SR-0048</x:v>
      </x:c>
      <x:c r="C54" s="21" t="str">
        <x:v>F08</x:v>
      </x:c>
      <x:c r="D54" s="21" t="str">
        <x:v>M06</x:v>
      </x:c>
      <x:c r="E54" s="37" t="n">
        <x:f>'Family Register'!G14*Scenarios!D12</x:f>
        <x:v>25</x:v>
      </x:c>
      <x:c r="F54" s="37" t="n">
        <x:f>'Family Register'!I14</x:f>
        <x:v>1.45</x:v>
      </x:c>
      <x:c r="G54" s="37" t="n">
        <x:f>MIN(Scenarios!E12:L12)</x:f>
        <x:v>0.5</x:v>
      </x:c>
      <x:c r="H54" s="37" t="n">
        <x:f>'Family Register'!G14*F54*G54</x:f>
        <x:v>14.5</x:v>
      </x:c>
      <x:c r="I54" s="37" t="n">
        <x:f>MIN(E54,H54)</x:f>
        <x:v>14.5</x:v>
      </x:c>
      <x:c r="J54" s="37" t="n">
        <x:f>IF(E54&gt;0,I54/E54,0)</x:f>
        <x:v>0.58</x:v>
      </x:c>
      <x:c r="K54" s="23" t="str">
        <x:f>IF(J54&gt;=1,"ADEQUATE","GAP")</x:f>
        <x:v>GAP</x:v>
      </x:c>
    </x:row>
    <x:row r="55">
      <x:c r="B55" s="21" t="str">
        <x:v>SR-0049</x:v>
      </x:c>
      <x:c r="C55" s="21" t="str">
        <x:v>F09</x:v>
      </x:c>
      <x:c r="D55" s="21" t="str">
        <x:v>M01</x:v>
      </x:c>
      <x:c r="E55" s="37" t="n">
        <x:f>'Family Register'!G15*Scenarios!D7</x:f>
        <x:v>1.2000000000000002</x:v>
      </x:c>
      <x:c r="F55" s="37" t="n">
        <x:f>'Family Register'!I15</x:f>
        <x:v>1.6</x:v>
      </x:c>
      <x:c r="G55" s="37" t="n">
        <x:f>MIN(Scenarios!E7:L7)</x:f>
        <x:v>1</x:v>
      </x:c>
      <x:c r="H55" s="37" t="n">
        <x:f>'Family Register'!G15*F55*G55</x:f>
        <x:v>19.200000000000003</x:v>
      </x:c>
      <x:c r="I55" s="37" t="n">
        <x:f>MIN(E55,H55)</x:f>
        <x:v>1.2000000000000002</x:v>
      </x:c>
      <x:c r="J55" s="37" t="n">
        <x:f>IF(E55&gt;0,I55/E55,0)</x:f>
        <x:v>1</x:v>
      </x:c>
      <x:c r="K55" s="23" t="str">
        <x:f>IF(J55&gt;=1,"ADEQUATE","GAP")</x:f>
        <x:v>ADEQUATE</x:v>
      </x:c>
    </x:row>
    <x:row r="56">
      <x:c r="B56" s="21" t="str">
        <x:v>SR-0050</x:v>
      </x:c>
      <x:c r="C56" s="21" t="str">
        <x:v>F09</x:v>
      </x:c>
      <x:c r="D56" s="21" t="str">
        <x:v>M02</x:v>
      </x:c>
      <x:c r="E56" s="37" t="n">
        <x:f>'Family Register'!G15*Scenarios!D8</x:f>
        <x:v>4.199999999999999</x:v>
      </x:c>
      <x:c r="F56" s="37" t="n">
        <x:f>'Family Register'!I15</x:f>
        <x:v>1.6</x:v>
      </x:c>
      <x:c r="G56" s="37" t="n">
        <x:f>MIN(Scenarios!E8:L8)</x:f>
        <x:v>0.95</x:v>
      </x:c>
      <x:c r="H56" s="37" t="n">
        <x:f>'Family Register'!G15*F56*G56</x:f>
        <x:v>18.240000000000002</x:v>
      </x:c>
      <x:c r="I56" s="37" t="n">
        <x:f>MIN(E56,H56)</x:f>
        <x:v>4.199999999999999</x:v>
      </x:c>
      <x:c r="J56" s="37" t="n">
        <x:f>IF(E56&gt;0,I56/E56,0)</x:f>
        <x:v>1</x:v>
      </x:c>
      <x:c r="K56" s="23" t="str">
        <x:f>IF(J56&gt;=1,"ADEQUATE","GAP")</x:f>
        <x:v>ADEQUATE</x:v>
      </x:c>
    </x:row>
    <x:row r="57">
      <x:c r="B57" s="21" t="str">
        <x:v>SR-0051</x:v>
      </x:c>
      <x:c r="C57" s="21" t="str">
        <x:v>F09</x:v>
      </x:c>
      <x:c r="D57" s="21" t="str">
        <x:v>M03</x:v>
      </x:c>
      <x:c r="E57" s="37" t="n">
        <x:f>'Family Register'!G15*Scenarios!D9</x:f>
        <x:v>6.6000000000000005</x:v>
      </x:c>
      <x:c r="F57" s="37" t="n">
        <x:f>'Family Register'!I15</x:f>
        <x:v>1.6</x:v>
      </x:c>
      <x:c r="G57" s="37" t="n">
        <x:f>MIN(Scenarios!E9:L9)</x:f>
        <x:v>0.9</x:v>
      </x:c>
      <x:c r="H57" s="37" t="n">
        <x:f>'Family Register'!G15*F57*G57</x:f>
        <x:v>17.280000000000005</x:v>
      </x:c>
      <x:c r="I57" s="37" t="n">
        <x:f>MIN(E57,H57)</x:f>
        <x:v>6.6000000000000005</x:v>
      </x:c>
      <x:c r="J57" s="37" t="n">
        <x:f>IF(E57&gt;0,I57/E57,0)</x:f>
        <x:v>1</x:v>
      </x:c>
      <x:c r="K57" s="23" t="str">
        <x:f>IF(J57&gt;=1,"ADEQUATE","GAP")</x:f>
        <x:v>ADEQUATE</x:v>
      </x:c>
    </x:row>
    <x:row r="58">
      <x:c r="B58" s="21" t="str">
        <x:v>SR-0052</x:v>
      </x:c>
      <x:c r="C58" s="21" t="str">
        <x:v>F09</x:v>
      </x:c>
      <x:c r="D58" s="21" t="str">
        <x:v>M04</x:v>
      </x:c>
      <x:c r="E58" s="37" t="n">
        <x:f>'Family Register'!G15*Scenarios!D10</x:f>
        <x:v>9.600000000000001</x:v>
      </x:c>
      <x:c r="F58" s="37" t="n">
        <x:f>'Family Register'!I15</x:f>
        <x:v>1.6</x:v>
      </x:c>
      <x:c r="G58" s="37" t="n">
        <x:f>MIN(Scenarios!E10:L10)</x:f>
        <x:v>0.85</x:v>
      </x:c>
      <x:c r="H58" s="37" t="n">
        <x:f>'Family Register'!G15*F58*G58</x:f>
        <x:v>16.32</x:v>
      </x:c>
      <x:c r="I58" s="37" t="n">
        <x:f>MIN(E58,H58)</x:f>
        <x:v>9.600000000000001</x:v>
      </x:c>
      <x:c r="J58" s="37" t="n">
        <x:f>IF(E58&gt;0,I58/E58,0)</x:f>
        <x:v>1</x:v>
      </x:c>
      <x:c r="K58" s="23" t="str">
        <x:f>IF(J58&gt;=1,"ADEQUATE","GAP")</x:f>
        <x:v>ADEQUATE</x:v>
      </x:c>
    </x:row>
    <x:row r="59">
      <x:c r="B59" s="21" t="str">
        <x:v>SR-0053</x:v>
      </x:c>
      <x:c r="C59" s="21" t="str">
        <x:v>F09</x:v>
      </x:c>
      <x:c r="D59" s="21" t="str">
        <x:v>M05</x:v>
      </x:c>
      <x:c r="E59" s="37" t="n">
        <x:f>'Family Register'!G15*Scenarios!D11</x:f>
        <x:v>12</x:v>
      </x:c>
      <x:c r="F59" s="37" t="n">
        <x:f>'Family Register'!I15</x:f>
        <x:v>1.6</x:v>
      </x:c>
      <x:c r="G59" s="37" t="n">
        <x:f>MIN(Scenarios!E11:L11)</x:f>
        <x:v>0.65</x:v>
      </x:c>
      <x:c r="H59" s="37" t="n">
        <x:f>'Family Register'!G15*F59*G59</x:f>
        <x:v>12.480000000000002</x:v>
      </x:c>
      <x:c r="I59" s="37" t="n">
        <x:f>MIN(E59,H59)</x:f>
        <x:v>12</x:v>
      </x:c>
      <x:c r="J59" s="37" t="n">
        <x:f>IF(E59&gt;0,I59/E59,0)</x:f>
        <x:v>1</x:v>
      </x:c>
      <x:c r="K59" s="23" t="str">
        <x:f>IF(J59&gt;=1,"ADEQUATE","GAP")</x:f>
        <x:v>ADEQUATE</x:v>
      </x:c>
    </x:row>
    <x:row r="60">
      <x:c r="B60" s="21" t="str">
        <x:v>SR-0054</x:v>
      </x:c>
      <x:c r="C60" s="21" t="str">
        <x:v>F09</x:v>
      </x:c>
      <x:c r="D60" s="21" t="str">
        <x:v>M06</x:v>
      </x:c>
      <x:c r="E60" s="37" t="n">
        <x:f>'Family Register'!G15*Scenarios!D12</x:f>
        <x:v>15</x:v>
      </x:c>
      <x:c r="F60" s="37" t="n">
        <x:f>'Family Register'!I15</x:f>
        <x:v>1.6</x:v>
      </x:c>
      <x:c r="G60" s="37" t="n">
        <x:f>MIN(Scenarios!E12:L12)</x:f>
        <x:v>0.5</x:v>
      </x:c>
      <x:c r="H60" s="37" t="n">
        <x:f>'Family Register'!G15*F60*G60</x:f>
        <x:v>9.600000000000001</x:v>
      </x:c>
      <x:c r="I60" s="37" t="n">
        <x:f>MIN(E60,H60)</x:f>
        <x:v>9.600000000000001</x:v>
      </x:c>
      <x:c r="J60" s="37" t="n">
        <x:f>IF(E60&gt;0,I60/E60,0)</x:f>
        <x:v>0.6400000000000001</x:v>
      </x:c>
      <x:c r="K60" s="23" t="str">
        <x:f>IF(J60&gt;=1,"ADEQUATE","GAP")</x:f>
        <x:v>GAP</x:v>
      </x:c>
    </x:row>
    <x:row r="61">
      <x:c r="B61" s="21" t="str">
        <x:v>SR-0055</x:v>
      </x:c>
      <x:c r="C61" s="21" t="str">
        <x:v>F10</x:v>
      </x:c>
      <x:c r="D61" s="21" t="str">
        <x:v>M01</x:v>
      </x:c>
      <x:c r="E61" s="37" t="n">
        <x:f>'Family Register'!G16*Scenarios!D7</x:f>
        <x:v>0.6000000000000001</x:v>
      </x:c>
      <x:c r="F61" s="37" t="n">
        <x:f>'Family Register'!I16</x:f>
        <x:v>1.6</x:v>
      </x:c>
      <x:c r="G61" s="37" t="n">
        <x:f>MIN(Scenarios!E7:L7)</x:f>
        <x:v>1</x:v>
      </x:c>
      <x:c r="H61" s="37" t="n">
        <x:f>'Family Register'!G16*F61*G61</x:f>
        <x:v>9.600000000000001</x:v>
      </x:c>
      <x:c r="I61" s="37" t="n">
        <x:f>MIN(E61,H61)</x:f>
        <x:v>0.6000000000000001</x:v>
      </x:c>
      <x:c r="J61" s="37" t="n">
        <x:f>IF(E61&gt;0,I61/E61,0)</x:f>
        <x:v>1</x:v>
      </x:c>
      <x:c r="K61" s="23" t="str">
        <x:f>IF(J61&gt;=1,"ADEQUATE","GAP")</x:f>
        <x:v>ADEQUATE</x:v>
      </x:c>
    </x:row>
    <x:row r="62">
      <x:c r="B62" s="21" t="str">
        <x:v>SR-0056</x:v>
      </x:c>
      <x:c r="C62" s="21" t="str">
        <x:v>F10</x:v>
      </x:c>
      <x:c r="D62" s="21" t="str">
        <x:v>M02</x:v>
      </x:c>
      <x:c r="E62" s="37" t="n">
        <x:f>'Family Register'!G16*Scenarios!D8</x:f>
        <x:v>2.0999999999999996</x:v>
      </x:c>
      <x:c r="F62" s="37" t="n">
        <x:f>'Family Register'!I16</x:f>
        <x:v>1.6</x:v>
      </x:c>
      <x:c r="G62" s="37" t="n">
        <x:f>MIN(Scenarios!E8:L8)</x:f>
        <x:v>0.95</x:v>
      </x:c>
      <x:c r="H62" s="37" t="n">
        <x:f>'Family Register'!G16*F62*G62</x:f>
        <x:v>9.120000000000001</x:v>
      </x:c>
      <x:c r="I62" s="37" t="n">
        <x:f>MIN(E62,H62)</x:f>
        <x:v>2.0999999999999996</x:v>
      </x:c>
      <x:c r="J62" s="37" t="n">
        <x:f>IF(E62&gt;0,I62/E62,0)</x:f>
        <x:v>1</x:v>
      </x:c>
      <x:c r="K62" s="23" t="str">
        <x:f>IF(J62&gt;=1,"ADEQUATE","GAP")</x:f>
        <x:v>ADEQUATE</x:v>
      </x:c>
    </x:row>
    <x:row r="63">
      <x:c r="B63" s="21" t="str">
        <x:v>SR-0057</x:v>
      </x:c>
      <x:c r="C63" s="21" t="str">
        <x:v>F10</x:v>
      </x:c>
      <x:c r="D63" s="21" t="str">
        <x:v>M03</x:v>
      </x:c>
      <x:c r="E63" s="37" t="n">
        <x:f>'Family Register'!G16*Scenarios!D9</x:f>
        <x:v>3.3000000000000003</x:v>
      </x:c>
      <x:c r="F63" s="37" t="n">
        <x:f>'Family Register'!I16</x:f>
        <x:v>1.6</x:v>
      </x:c>
      <x:c r="G63" s="37" t="n">
        <x:f>MIN(Scenarios!E9:L9)</x:f>
        <x:v>0.9</x:v>
      </x:c>
      <x:c r="H63" s="37" t="n">
        <x:f>'Family Register'!G16*F63*G63</x:f>
        <x:v>8.640000000000002</x:v>
      </x:c>
      <x:c r="I63" s="37" t="n">
        <x:f>MIN(E63,H63)</x:f>
        <x:v>3.3000000000000003</x:v>
      </x:c>
      <x:c r="J63" s="37" t="n">
        <x:f>IF(E63&gt;0,I63/E63,0)</x:f>
        <x:v>1</x:v>
      </x:c>
      <x:c r="K63" s="23" t="str">
        <x:f>IF(J63&gt;=1,"ADEQUATE","GAP")</x:f>
        <x:v>ADEQUATE</x:v>
      </x:c>
    </x:row>
    <x:row r="64">
      <x:c r="B64" s="21" t="str">
        <x:v>SR-0058</x:v>
      </x:c>
      <x:c r="C64" s="21" t="str">
        <x:v>F10</x:v>
      </x:c>
      <x:c r="D64" s="21" t="str">
        <x:v>M04</x:v>
      </x:c>
      <x:c r="E64" s="37" t="n">
        <x:f>'Family Register'!G16*Scenarios!D10</x:f>
        <x:v>4.800000000000001</x:v>
      </x:c>
      <x:c r="F64" s="37" t="n">
        <x:f>'Family Register'!I16</x:f>
        <x:v>1.6</x:v>
      </x:c>
      <x:c r="G64" s="37" t="n">
        <x:f>MIN(Scenarios!E10:L10)</x:f>
        <x:v>0.85</x:v>
      </x:c>
      <x:c r="H64" s="37" t="n">
        <x:f>'Family Register'!G16*F64*G64</x:f>
        <x:v>8.16</x:v>
      </x:c>
      <x:c r="I64" s="37" t="n">
        <x:f>MIN(E64,H64)</x:f>
        <x:v>4.800000000000001</x:v>
      </x:c>
      <x:c r="J64" s="37" t="n">
        <x:f>IF(E64&gt;0,I64/E64,0)</x:f>
        <x:v>1</x:v>
      </x:c>
      <x:c r="K64" s="23" t="str">
        <x:f>IF(J64&gt;=1,"ADEQUATE","GAP")</x:f>
        <x:v>ADEQUATE</x:v>
      </x:c>
    </x:row>
    <x:row r="65">
      <x:c r="B65" s="21" t="str">
        <x:v>SR-0059</x:v>
      </x:c>
      <x:c r="C65" s="21" t="str">
        <x:v>F10</x:v>
      </x:c>
      <x:c r="D65" s="21" t="str">
        <x:v>M05</x:v>
      </x:c>
      <x:c r="E65" s="37" t="n">
        <x:f>'Family Register'!G16*Scenarios!D11</x:f>
        <x:v>6</x:v>
      </x:c>
      <x:c r="F65" s="37" t="n">
        <x:f>'Family Register'!I16</x:f>
        <x:v>1.6</x:v>
      </x:c>
      <x:c r="G65" s="37" t="n">
        <x:f>MIN(Scenarios!E11:L11)</x:f>
        <x:v>0.65</x:v>
      </x:c>
      <x:c r="H65" s="37" t="n">
        <x:f>'Family Register'!G16*F65*G65</x:f>
        <x:v>6.240000000000001</x:v>
      </x:c>
      <x:c r="I65" s="37" t="n">
        <x:f>MIN(E65,H65)</x:f>
        <x:v>6</x:v>
      </x:c>
      <x:c r="J65" s="37" t="n">
        <x:f>IF(E65&gt;0,I65/E65,0)</x:f>
        <x:v>1</x:v>
      </x:c>
      <x:c r="K65" s="23" t="str">
        <x:f>IF(J65&gt;=1,"ADEQUATE","GAP")</x:f>
        <x:v>ADEQUATE</x:v>
      </x:c>
    </x:row>
    <x:row r="66">
      <x:c r="B66" s="21" t="str">
        <x:v>SR-0060</x:v>
      </x:c>
      <x:c r="C66" s="21" t="str">
        <x:v>F10</x:v>
      </x:c>
      <x:c r="D66" s="21" t="str">
        <x:v>M06</x:v>
      </x:c>
      <x:c r="E66" s="37" t="n">
        <x:f>'Family Register'!G16*Scenarios!D12</x:f>
        <x:v>7.5</x:v>
      </x:c>
      <x:c r="F66" s="37" t="n">
        <x:f>'Family Register'!I16</x:f>
        <x:v>1.6</x:v>
      </x:c>
      <x:c r="G66" s="37" t="n">
        <x:f>MIN(Scenarios!E12:L12)</x:f>
        <x:v>0.5</x:v>
      </x:c>
      <x:c r="H66" s="37" t="n">
        <x:f>'Family Register'!G16*F66*G66</x:f>
        <x:v>4.800000000000001</x:v>
      </x:c>
      <x:c r="I66" s="37" t="n">
        <x:f>MIN(E66,H66)</x:f>
        <x:v>4.800000000000001</x:v>
      </x:c>
      <x:c r="J66" s="37" t="n">
        <x:f>IF(E66&gt;0,I66/E66,0)</x:f>
        <x:v>0.6400000000000001</x:v>
      </x:c>
      <x:c r="K66" s="23" t="str">
        <x:f>IF(J66&gt;=1,"ADEQUATE","GAP")</x:f>
        <x:v>GAP</x:v>
      </x:c>
    </x:row>
    <x:row r="67">
      <x:c r="B67" s="21" t="str">
        <x:v>SR-0061</x:v>
      </x:c>
      <x:c r="C67" s="21" t="str">
        <x:v>F11</x:v>
      </x:c>
      <x:c r="D67" s="21" t="str">
        <x:v>M01</x:v>
      </x:c>
      <x:c r="E67" s="37" t="n">
        <x:f>'Family Register'!G17*Scenarios!D7</x:f>
        <x:v>0.6000000000000001</x:v>
      </x:c>
      <x:c r="F67" s="37" t="n">
        <x:f>'Family Register'!I17</x:f>
        <x:v>1.6</x:v>
      </x:c>
      <x:c r="G67" s="37" t="n">
        <x:f>MIN(Scenarios!E7:L7)</x:f>
        <x:v>1</x:v>
      </x:c>
      <x:c r="H67" s="37" t="n">
        <x:f>'Family Register'!G17*F67*G67</x:f>
        <x:v>9.600000000000001</x:v>
      </x:c>
      <x:c r="I67" s="37" t="n">
        <x:f>MIN(E67,H67)</x:f>
        <x:v>0.6000000000000001</x:v>
      </x:c>
      <x:c r="J67" s="37" t="n">
        <x:f>IF(E67&gt;0,I67/E67,0)</x:f>
        <x:v>1</x:v>
      </x:c>
      <x:c r="K67" s="23" t="str">
        <x:f>IF(J67&gt;=1,"ADEQUATE","GAP")</x:f>
        <x:v>ADEQUATE</x:v>
      </x:c>
    </x:row>
    <x:row r="68">
      <x:c r="B68" s="21" t="str">
        <x:v>SR-0062</x:v>
      </x:c>
      <x:c r="C68" s="21" t="str">
        <x:v>F11</x:v>
      </x:c>
      <x:c r="D68" s="21" t="str">
        <x:v>M02</x:v>
      </x:c>
      <x:c r="E68" s="37" t="n">
        <x:f>'Family Register'!G17*Scenarios!D8</x:f>
        <x:v>2.0999999999999996</x:v>
      </x:c>
      <x:c r="F68" s="37" t="n">
        <x:f>'Family Register'!I17</x:f>
        <x:v>1.6</x:v>
      </x:c>
      <x:c r="G68" s="37" t="n">
        <x:f>MIN(Scenarios!E8:L8)</x:f>
        <x:v>0.95</x:v>
      </x:c>
      <x:c r="H68" s="37" t="n">
        <x:f>'Family Register'!G17*F68*G68</x:f>
        <x:v>9.120000000000001</x:v>
      </x:c>
      <x:c r="I68" s="37" t="n">
        <x:f>MIN(E68,H68)</x:f>
        <x:v>2.0999999999999996</x:v>
      </x:c>
      <x:c r="J68" s="37" t="n">
        <x:f>IF(E68&gt;0,I68/E68,0)</x:f>
        <x:v>1</x:v>
      </x:c>
      <x:c r="K68" s="23" t="str">
        <x:f>IF(J68&gt;=1,"ADEQUATE","GAP")</x:f>
        <x:v>ADEQUATE</x:v>
      </x:c>
    </x:row>
    <x:row r="69">
      <x:c r="B69" s="21" t="str">
        <x:v>SR-0063</x:v>
      </x:c>
      <x:c r="C69" s="21" t="str">
        <x:v>F11</x:v>
      </x:c>
      <x:c r="D69" s="21" t="str">
        <x:v>M03</x:v>
      </x:c>
      <x:c r="E69" s="37" t="n">
        <x:f>'Family Register'!G17*Scenarios!D9</x:f>
        <x:v>3.3000000000000003</x:v>
      </x:c>
      <x:c r="F69" s="37" t="n">
        <x:f>'Family Register'!I17</x:f>
        <x:v>1.6</x:v>
      </x:c>
      <x:c r="G69" s="37" t="n">
        <x:f>MIN(Scenarios!E9:L9)</x:f>
        <x:v>0.9</x:v>
      </x:c>
      <x:c r="H69" s="37" t="n">
        <x:f>'Family Register'!G17*F69*G69</x:f>
        <x:v>8.640000000000002</x:v>
      </x:c>
      <x:c r="I69" s="37" t="n">
        <x:f>MIN(E69,H69)</x:f>
        <x:v>3.3000000000000003</x:v>
      </x:c>
      <x:c r="J69" s="37" t="n">
        <x:f>IF(E69&gt;0,I69/E69,0)</x:f>
        <x:v>1</x:v>
      </x:c>
      <x:c r="K69" s="23" t="str">
        <x:f>IF(J69&gt;=1,"ADEQUATE","GAP")</x:f>
        <x:v>ADEQUATE</x:v>
      </x:c>
    </x:row>
    <x:row r="70">
      <x:c r="B70" s="21" t="str">
        <x:v>SR-0064</x:v>
      </x:c>
      <x:c r="C70" s="21" t="str">
        <x:v>F11</x:v>
      </x:c>
      <x:c r="D70" s="21" t="str">
        <x:v>M04</x:v>
      </x:c>
      <x:c r="E70" s="37" t="n">
        <x:f>'Family Register'!G17*Scenarios!D10</x:f>
        <x:v>4.800000000000001</x:v>
      </x:c>
      <x:c r="F70" s="37" t="n">
        <x:f>'Family Register'!I17</x:f>
        <x:v>1.6</x:v>
      </x:c>
      <x:c r="G70" s="37" t="n">
        <x:f>MIN(Scenarios!E10:L10)</x:f>
        <x:v>0.85</x:v>
      </x:c>
      <x:c r="H70" s="37" t="n">
        <x:f>'Family Register'!G17*F70*G70</x:f>
        <x:v>8.16</x:v>
      </x:c>
      <x:c r="I70" s="37" t="n">
        <x:f>MIN(E70,H70)</x:f>
        <x:v>4.800000000000001</x:v>
      </x:c>
      <x:c r="J70" s="37" t="n">
        <x:f>IF(E70&gt;0,I70/E70,0)</x:f>
        <x:v>1</x:v>
      </x:c>
      <x:c r="K70" s="23" t="str">
        <x:f>IF(J70&gt;=1,"ADEQUATE","GAP")</x:f>
        <x:v>ADEQUATE</x:v>
      </x:c>
    </x:row>
    <x:row r="71">
      <x:c r="B71" s="21" t="str">
        <x:v>SR-0065</x:v>
      </x:c>
      <x:c r="C71" s="21" t="str">
        <x:v>F11</x:v>
      </x:c>
      <x:c r="D71" s="21" t="str">
        <x:v>M05</x:v>
      </x:c>
      <x:c r="E71" s="37" t="n">
        <x:f>'Family Register'!G17*Scenarios!D11</x:f>
        <x:v>6</x:v>
      </x:c>
      <x:c r="F71" s="37" t="n">
        <x:f>'Family Register'!I17</x:f>
        <x:v>1.6</x:v>
      </x:c>
      <x:c r="G71" s="37" t="n">
        <x:f>MIN(Scenarios!E11:L11)</x:f>
        <x:v>0.65</x:v>
      </x:c>
      <x:c r="H71" s="37" t="n">
        <x:f>'Family Register'!G17*F71*G71</x:f>
        <x:v>6.240000000000001</x:v>
      </x:c>
      <x:c r="I71" s="37" t="n">
        <x:f>MIN(E71,H71)</x:f>
        <x:v>6</x:v>
      </x:c>
      <x:c r="J71" s="37" t="n">
        <x:f>IF(E71&gt;0,I71/E71,0)</x:f>
        <x:v>1</x:v>
      </x:c>
      <x:c r="K71" s="23" t="str">
        <x:f>IF(J71&gt;=1,"ADEQUATE","GAP")</x:f>
        <x:v>ADEQUATE</x:v>
      </x:c>
    </x:row>
    <x:row r="72">
      <x:c r="B72" s="21" t="str">
        <x:v>SR-0066</x:v>
      </x:c>
      <x:c r="C72" s="21" t="str">
        <x:v>F11</x:v>
      </x:c>
      <x:c r="D72" s="21" t="str">
        <x:v>M06</x:v>
      </x:c>
      <x:c r="E72" s="37" t="n">
        <x:f>'Family Register'!G17*Scenarios!D12</x:f>
        <x:v>7.5</x:v>
      </x:c>
      <x:c r="F72" s="37" t="n">
        <x:f>'Family Register'!I17</x:f>
        <x:v>1.6</x:v>
      </x:c>
      <x:c r="G72" s="37" t="n">
        <x:f>MIN(Scenarios!E12:L12)</x:f>
        <x:v>0.5</x:v>
      </x:c>
      <x:c r="H72" s="37" t="n">
        <x:f>'Family Register'!G17*F72*G72</x:f>
        <x:v>4.800000000000001</x:v>
      </x:c>
      <x:c r="I72" s="37" t="n">
        <x:f>MIN(E72,H72)</x:f>
        <x:v>4.800000000000001</x:v>
      </x:c>
      <x:c r="J72" s="37" t="n">
        <x:f>IF(E72&gt;0,I72/E72,0)</x:f>
        <x:v>0.6400000000000001</x:v>
      </x:c>
      <x:c r="K72" s="23" t="str">
        <x:f>IF(J72&gt;=1,"ADEQUATE","GAP")</x:f>
        <x:v>GAP</x:v>
      </x:c>
    </x:row>
    <x:row r="73">
      <x:c r="B73" s="21" t="str">
        <x:v>SR-0067</x:v>
      </x:c>
      <x:c r="C73" s="21" t="str">
        <x:v>F12</x:v>
      </x:c>
      <x:c r="D73" s="21" t="str">
        <x:v>M01</x:v>
      </x:c>
      <x:c r="E73" s="37" t="n">
        <x:f>'Family Register'!G18*Scenarios!D7</x:f>
        <x:v>0.6000000000000001</x:v>
      </x:c>
      <x:c r="F73" s="37" t="n">
        <x:f>'Family Register'!I18</x:f>
        <x:v>1.6</x:v>
      </x:c>
      <x:c r="G73" s="37" t="n">
        <x:f>MIN(Scenarios!E7:L7)</x:f>
        <x:v>1</x:v>
      </x:c>
      <x:c r="H73" s="37" t="n">
        <x:f>'Family Register'!G18*F73*G73</x:f>
        <x:v>9.600000000000001</x:v>
      </x:c>
      <x:c r="I73" s="37" t="n">
        <x:f>MIN(E73,H73)</x:f>
        <x:v>0.6000000000000001</x:v>
      </x:c>
      <x:c r="J73" s="37" t="n">
        <x:f>IF(E73&gt;0,I73/E73,0)</x:f>
        <x:v>1</x:v>
      </x:c>
      <x:c r="K73" s="23" t="str">
        <x:f>IF(J73&gt;=1,"ADEQUATE","GAP")</x:f>
        <x:v>ADEQUATE</x:v>
      </x:c>
    </x:row>
    <x:row r="74">
      <x:c r="B74" s="21" t="str">
        <x:v>SR-0068</x:v>
      </x:c>
      <x:c r="C74" s="21" t="str">
        <x:v>F12</x:v>
      </x:c>
      <x:c r="D74" s="21" t="str">
        <x:v>M02</x:v>
      </x:c>
      <x:c r="E74" s="37" t="n">
        <x:f>'Family Register'!G18*Scenarios!D8</x:f>
        <x:v>2.0999999999999996</x:v>
      </x:c>
      <x:c r="F74" s="37" t="n">
        <x:f>'Family Register'!I18</x:f>
        <x:v>1.6</x:v>
      </x:c>
      <x:c r="G74" s="37" t="n">
        <x:f>MIN(Scenarios!E8:L8)</x:f>
        <x:v>0.95</x:v>
      </x:c>
      <x:c r="H74" s="37" t="n">
        <x:f>'Family Register'!G18*F74*G74</x:f>
        <x:v>9.120000000000001</x:v>
      </x:c>
      <x:c r="I74" s="37" t="n">
        <x:f>MIN(E74,H74)</x:f>
        <x:v>2.0999999999999996</x:v>
      </x:c>
      <x:c r="J74" s="37" t="n">
        <x:f>IF(E74&gt;0,I74/E74,0)</x:f>
        <x:v>1</x:v>
      </x:c>
      <x:c r="K74" s="23" t="str">
        <x:f>IF(J74&gt;=1,"ADEQUATE","GAP")</x:f>
        <x:v>ADEQUATE</x:v>
      </x:c>
    </x:row>
    <x:row r="75">
      <x:c r="B75" s="21" t="str">
        <x:v>SR-0069</x:v>
      </x:c>
      <x:c r="C75" s="21" t="str">
        <x:v>F12</x:v>
      </x:c>
      <x:c r="D75" s="21" t="str">
        <x:v>M03</x:v>
      </x:c>
      <x:c r="E75" s="37" t="n">
        <x:f>'Family Register'!G18*Scenarios!D9</x:f>
        <x:v>3.3000000000000003</x:v>
      </x:c>
      <x:c r="F75" s="37" t="n">
        <x:f>'Family Register'!I18</x:f>
        <x:v>1.6</x:v>
      </x:c>
      <x:c r="G75" s="37" t="n">
        <x:f>MIN(Scenarios!E9:L9)</x:f>
        <x:v>0.9</x:v>
      </x:c>
      <x:c r="H75" s="37" t="n">
        <x:f>'Family Register'!G18*F75*G75</x:f>
        <x:v>8.640000000000002</x:v>
      </x:c>
      <x:c r="I75" s="37" t="n">
        <x:f>MIN(E75,H75)</x:f>
        <x:v>3.3000000000000003</x:v>
      </x:c>
      <x:c r="J75" s="37" t="n">
        <x:f>IF(E75&gt;0,I75/E75,0)</x:f>
        <x:v>1</x:v>
      </x:c>
      <x:c r="K75" s="23" t="str">
        <x:f>IF(J75&gt;=1,"ADEQUATE","GAP")</x:f>
        <x:v>ADEQUATE</x:v>
      </x:c>
    </x:row>
    <x:row r="76">
      <x:c r="B76" s="21" t="str">
        <x:v>SR-0070</x:v>
      </x:c>
      <x:c r="C76" s="21" t="str">
        <x:v>F12</x:v>
      </x:c>
      <x:c r="D76" s="21" t="str">
        <x:v>M04</x:v>
      </x:c>
      <x:c r="E76" s="37" t="n">
        <x:f>'Family Register'!G18*Scenarios!D10</x:f>
        <x:v>4.800000000000001</x:v>
      </x:c>
      <x:c r="F76" s="37" t="n">
        <x:f>'Family Register'!I18</x:f>
        <x:v>1.6</x:v>
      </x:c>
      <x:c r="G76" s="37" t="n">
        <x:f>MIN(Scenarios!E10:L10)</x:f>
        <x:v>0.85</x:v>
      </x:c>
      <x:c r="H76" s="37" t="n">
        <x:f>'Family Register'!G18*F76*G76</x:f>
        <x:v>8.16</x:v>
      </x:c>
      <x:c r="I76" s="37" t="n">
        <x:f>MIN(E76,H76)</x:f>
        <x:v>4.800000000000001</x:v>
      </x:c>
      <x:c r="J76" s="37" t="n">
        <x:f>IF(E76&gt;0,I76/E76,0)</x:f>
        <x:v>1</x:v>
      </x:c>
      <x:c r="K76" s="23" t="str">
        <x:f>IF(J76&gt;=1,"ADEQUATE","GAP")</x:f>
        <x:v>ADEQUATE</x:v>
      </x:c>
    </x:row>
    <x:row r="77">
      <x:c r="B77" s="21" t="str">
        <x:v>SR-0071</x:v>
      </x:c>
      <x:c r="C77" s="21" t="str">
        <x:v>F12</x:v>
      </x:c>
      <x:c r="D77" s="21" t="str">
        <x:v>M05</x:v>
      </x:c>
      <x:c r="E77" s="37" t="n">
        <x:f>'Family Register'!G18*Scenarios!D11</x:f>
        <x:v>6</x:v>
      </x:c>
      <x:c r="F77" s="37" t="n">
        <x:f>'Family Register'!I18</x:f>
        <x:v>1.6</x:v>
      </x:c>
      <x:c r="G77" s="37" t="n">
        <x:f>MIN(Scenarios!E11:L11)</x:f>
        <x:v>0.65</x:v>
      </x:c>
      <x:c r="H77" s="37" t="n">
        <x:f>'Family Register'!G18*F77*G77</x:f>
        <x:v>6.240000000000001</x:v>
      </x:c>
      <x:c r="I77" s="37" t="n">
        <x:f>MIN(E77,H77)</x:f>
        <x:v>6</x:v>
      </x:c>
      <x:c r="J77" s="37" t="n">
        <x:f>IF(E77&gt;0,I77/E77,0)</x:f>
        <x:v>1</x:v>
      </x:c>
      <x:c r="K77" s="23" t="str">
        <x:f>IF(J77&gt;=1,"ADEQUATE","GAP")</x:f>
        <x:v>ADEQUATE</x:v>
      </x:c>
    </x:row>
    <x:row r="78">
      <x:c r="B78" s="21" t="str">
        <x:v>SR-0072</x:v>
      </x:c>
      <x:c r="C78" s="21" t="str">
        <x:v>F12</x:v>
      </x:c>
      <x:c r="D78" s="21" t="str">
        <x:v>M06</x:v>
      </x:c>
      <x:c r="E78" s="37" t="n">
        <x:f>'Family Register'!G18*Scenarios!D12</x:f>
        <x:v>7.5</x:v>
      </x:c>
      <x:c r="F78" s="37" t="n">
        <x:f>'Family Register'!I18</x:f>
        <x:v>1.6</x:v>
      </x:c>
      <x:c r="G78" s="37" t="n">
        <x:f>MIN(Scenarios!E12:L12)</x:f>
        <x:v>0.5</x:v>
      </x:c>
      <x:c r="H78" s="37" t="n">
        <x:f>'Family Register'!G18*F78*G78</x:f>
        <x:v>4.800000000000001</x:v>
      </x:c>
      <x:c r="I78" s="37" t="n">
        <x:f>MIN(E78,H78)</x:f>
        <x:v>4.800000000000001</x:v>
      </x:c>
      <x:c r="J78" s="37" t="n">
        <x:f>IF(E78&gt;0,I78/E78,0)</x:f>
        <x:v>0.6400000000000001</x:v>
      </x:c>
      <x:c r="K78" s="23" t="str">
        <x:f>IF(J78&gt;=1,"ADEQUATE","GAP")</x:f>
        <x:v>GAP</x:v>
      </x:c>
    </x:row>
    <x:row r="79">
      <x:c r="B79" s="21" t="str">
        <x:v>SR-0073</x:v>
      </x:c>
      <x:c r="C79" s="21" t="str">
        <x:v>F13</x:v>
      </x:c>
      <x:c r="D79" s="21" t="str">
        <x:v>M01</x:v>
      </x:c>
      <x:c r="E79" s="37" t="n">
        <x:f>'Family Register'!G19*Scenarios!D7</x:f>
        <x:v>2</x:v>
      </x:c>
      <x:c r="F79" s="37" t="n">
        <x:f>'Family Register'!I19</x:f>
        <x:v>1.45</x:v>
      </x:c>
      <x:c r="G79" s="37" t="n">
        <x:f>MIN(Scenarios!E7:L7)</x:f>
        <x:v>1</x:v>
      </x:c>
      <x:c r="H79" s="37" t="n">
        <x:f>'Family Register'!G19*F79*G79</x:f>
        <x:v>29</x:v>
      </x:c>
      <x:c r="I79" s="37" t="n">
        <x:f>MIN(E79,H79)</x:f>
        <x:v>2</x:v>
      </x:c>
      <x:c r="J79" s="37" t="n">
        <x:f>IF(E79&gt;0,I79/E79,0)</x:f>
        <x:v>1</x:v>
      </x:c>
      <x:c r="K79" s="23" t="str">
        <x:f>IF(J79&gt;=1,"ADEQUATE","GAP")</x:f>
        <x:v>ADEQUATE</x:v>
      </x:c>
    </x:row>
    <x:row r="80">
      <x:c r="B80" s="21" t="str">
        <x:v>SR-0074</x:v>
      </x:c>
      <x:c r="C80" s="21" t="str">
        <x:v>F13</x:v>
      </x:c>
      <x:c r="D80" s="21" t="str">
        <x:v>M02</x:v>
      </x:c>
      <x:c r="E80" s="37" t="n">
        <x:f>'Family Register'!G19*Scenarios!D8</x:f>
        <x:v>7</x:v>
      </x:c>
      <x:c r="F80" s="37" t="n">
        <x:f>'Family Register'!I19</x:f>
        <x:v>1.45</x:v>
      </x:c>
      <x:c r="G80" s="37" t="n">
        <x:f>MIN(Scenarios!E8:L8)</x:f>
        <x:v>0.95</x:v>
      </x:c>
      <x:c r="H80" s="37" t="n">
        <x:f>'Family Register'!G19*F80*G80</x:f>
        <x:v>27.549999999999997</x:v>
      </x:c>
      <x:c r="I80" s="37" t="n">
        <x:f>MIN(E80,H80)</x:f>
        <x:v>7</x:v>
      </x:c>
      <x:c r="J80" s="37" t="n">
        <x:f>IF(E80&gt;0,I80/E80,0)</x:f>
        <x:v>1</x:v>
      </x:c>
      <x:c r="K80" s="23" t="str">
        <x:f>IF(J80&gt;=1,"ADEQUATE","GAP")</x:f>
        <x:v>ADEQUATE</x:v>
      </x:c>
    </x:row>
    <x:row r="81">
      <x:c r="B81" s="21" t="str">
        <x:v>SR-0075</x:v>
      </x:c>
      <x:c r="C81" s="21" t="str">
        <x:v>F13</x:v>
      </x:c>
      <x:c r="D81" s="21" t="str">
        <x:v>M03</x:v>
      </x:c>
      <x:c r="E81" s="37" t="n">
        <x:f>'Family Register'!G19*Scenarios!D9</x:f>
        <x:v>11</x:v>
      </x:c>
      <x:c r="F81" s="37" t="n">
        <x:f>'Family Register'!I19</x:f>
        <x:v>1.45</x:v>
      </x:c>
      <x:c r="G81" s="37" t="n">
        <x:f>MIN(Scenarios!E9:L9)</x:f>
        <x:v>0.9</x:v>
      </x:c>
      <x:c r="H81" s="37" t="n">
        <x:f>'Family Register'!G19*F81*G81</x:f>
        <x:v>26.1</x:v>
      </x:c>
      <x:c r="I81" s="37" t="n">
        <x:f>MIN(E81,H81)</x:f>
        <x:v>11</x:v>
      </x:c>
      <x:c r="J81" s="37" t="n">
        <x:f>IF(E81&gt;0,I81/E81,0)</x:f>
        <x:v>1</x:v>
      </x:c>
      <x:c r="K81" s="23" t="str">
        <x:f>IF(J81&gt;=1,"ADEQUATE","GAP")</x:f>
        <x:v>ADEQUATE</x:v>
      </x:c>
    </x:row>
    <x:row r="82">
      <x:c r="B82" s="21" t="str">
        <x:v>SR-0076</x:v>
      </x:c>
      <x:c r="C82" s="21" t="str">
        <x:v>F13</x:v>
      </x:c>
      <x:c r="D82" s="21" t="str">
        <x:v>M04</x:v>
      </x:c>
      <x:c r="E82" s="37" t="n">
        <x:f>'Family Register'!G19*Scenarios!D10</x:f>
        <x:v>16</x:v>
      </x:c>
      <x:c r="F82" s="37" t="n">
        <x:f>'Family Register'!I19</x:f>
        <x:v>1.45</x:v>
      </x:c>
      <x:c r="G82" s="37" t="n">
        <x:f>MIN(Scenarios!E10:L10)</x:f>
        <x:v>0.85</x:v>
      </x:c>
      <x:c r="H82" s="37" t="n">
        <x:f>'Family Register'!G19*F82*G82</x:f>
        <x:v>24.65</x:v>
      </x:c>
      <x:c r="I82" s="37" t="n">
        <x:f>MIN(E82,H82)</x:f>
        <x:v>16</x:v>
      </x:c>
      <x:c r="J82" s="37" t="n">
        <x:f>IF(E82&gt;0,I82/E82,0)</x:f>
        <x:v>1</x:v>
      </x:c>
      <x:c r="K82" s="23" t="str">
        <x:f>IF(J82&gt;=1,"ADEQUATE","GAP")</x:f>
        <x:v>ADEQUATE</x:v>
      </x:c>
    </x:row>
    <x:row r="83">
      <x:c r="B83" s="21" t="str">
        <x:v>SR-0077</x:v>
      </x:c>
      <x:c r="C83" s="21" t="str">
        <x:v>F13</x:v>
      </x:c>
      <x:c r="D83" s="21" t="str">
        <x:v>M05</x:v>
      </x:c>
      <x:c r="E83" s="37" t="n">
        <x:f>'Family Register'!G19*Scenarios!D11</x:f>
        <x:v>20</x:v>
      </x:c>
      <x:c r="F83" s="37" t="n">
        <x:f>'Family Register'!I19</x:f>
        <x:v>1.45</x:v>
      </x:c>
      <x:c r="G83" s="37" t="n">
        <x:f>MIN(Scenarios!E11:L11)</x:f>
        <x:v>0.65</x:v>
      </x:c>
      <x:c r="H83" s="37" t="n">
        <x:f>'Family Register'!G19*F83*G83</x:f>
        <x:v>18.85</x:v>
      </x:c>
      <x:c r="I83" s="37" t="n">
        <x:f>MIN(E83,H83)</x:f>
        <x:v>18.85</x:v>
      </x:c>
      <x:c r="J83" s="37" t="n">
        <x:f>IF(E83&gt;0,I83/E83,0)</x:f>
        <x:v>0.9425000000000001</x:v>
      </x:c>
      <x:c r="K83" s="23" t="str">
        <x:f>IF(J83&gt;=1,"ADEQUATE","GAP")</x:f>
        <x:v>GAP</x:v>
      </x:c>
    </x:row>
    <x:row r="84">
      <x:c r="B84" s="21" t="str">
        <x:v>SR-0078</x:v>
      </x:c>
      <x:c r="C84" s="21" t="str">
        <x:v>F13</x:v>
      </x:c>
      <x:c r="D84" s="21" t="str">
        <x:v>M06</x:v>
      </x:c>
      <x:c r="E84" s="37" t="n">
        <x:f>'Family Register'!G19*Scenarios!D12</x:f>
        <x:v>25</x:v>
      </x:c>
      <x:c r="F84" s="37" t="n">
        <x:f>'Family Register'!I19</x:f>
        <x:v>1.45</x:v>
      </x:c>
      <x:c r="G84" s="37" t="n">
        <x:f>MIN(Scenarios!E12:L12)</x:f>
        <x:v>0.5</x:v>
      </x:c>
      <x:c r="H84" s="37" t="n">
        <x:f>'Family Register'!G19*F84*G84</x:f>
        <x:v>14.5</x:v>
      </x:c>
      <x:c r="I84" s="37" t="n">
        <x:f>MIN(E84,H84)</x:f>
        <x:v>14.5</x:v>
      </x:c>
      <x:c r="J84" s="37" t="n">
        <x:f>IF(E84&gt;0,I84/E84,0)</x:f>
        <x:v>0.58</x:v>
      </x:c>
      <x:c r="K84" s="23" t="str">
        <x:f>IF(J84&gt;=1,"ADEQUATE","GAP")</x:f>
        <x:v>GAP</x:v>
      </x:c>
    </x:row>
    <x:row r="85">
      <x:c r="B85" s="21" t="str">
        <x:v>SR-0079</x:v>
      </x:c>
      <x:c r="C85" s="21" t="str">
        <x:v>F14</x:v>
      </x:c>
      <x:c r="D85" s="21" t="str">
        <x:v>M01</x:v>
      </x:c>
      <x:c r="E85" s="37" t="n">
        <x:f>'Family Register'!G20*Scenarios!D7</x:f>
        <x:v>0.6000000000000001</x:v>
      </x:c>
      <x:c r="F85" s="37" t="n">
        <x:f>'Family Register'!I20</x:f>
        <x:v>1.6</x:v>
      </x:c>
      <x:c r="G85" s="37" t="n">
        <x:f>MIN(Scenarios!E7:L7)</x:f>
        <x:v>1</x:v>
      </x:c>
      <x:c r="H85" s="37" t="n">
        <x:f>'Family Register'!G20*F85*G85</x:f>
        <x:v>9.600000000000001</x:v>
      </x:c>
      <x:c r="I85" s="37" t="n">
        <x:f>MIN(E85,H85)</x:f>
        <x:v>0.6000000000000001</x:v>
      </x:c>
      <x:c r="J85" s="37" t="n">
        <x:f>IF(E85&gt;0,I85/E85,0)</x:f>
        <x:v>1</x:v>
      </x:c>
      <x:c r="K85" s="23" t="str">
        <x:f>IF(J85&gt;=1,"ADEQUATE","GAP")</x:f>
        <x:v>ADEQUATE</x:v>
      </x:c>
    </x:row>
    <x:row r="86">
      <x:c r="B86" s="21" t="str">
        <x:v>SR-0080</x:v>
      </x:c>
      <x:c r="C86" s="21" t="str">
        <x:v>F14</x:v>
      </x:c>
      <x:c r="D86" s="21" t="str">
        <x:v>M02</x:v>
      </x:c>
      <x:c r="E86" s="37" t="n">
        <x:f>'Family Register'!G20*Scenarios!D8</x:f>
        <x:v>2.0999999999999996</x:v>
      </x:c>
      <x:c r="F86" s="37" t="n">
        <x:f>'Family Register'!I20</x:f>
        <x:v>1.6</x:v>
      </x:c>
      <x:c r="G86" s="37" t="n">
        <x:f>MIN(Scenarios!E8:L8)</x:f>
        <x:v>0.95</x:v>
      </x:c>
      <x:c r="H86" s="37" t="n">
        <x:f>'Family Register'!G20*F86*G86</x:f>
        <x:v>9.120000000000001</x:v>
      </x:c>
      <x:c r="I86" s="37" t="n">
        <x:f>MIN(E86,H86)</x:f>
        <x:v>2.0999999999999996</x:v>
      </x:c>
      <x:c r="J86" s="37" t="n">
        <x:f>IF(E86&gt;0,I86/E86,0)</x:f>
        <x:v>1</x:v>
      </x:c>
      <x:c r="K86" s="23" t="str">
        <x:f>IF(J86&gt;=1,"ADEQUATE","GAP")</x:f>
        <x:v>ADEQUATE</x:v>
      </x:c>
    </x:row>
    <x:row r="87">
      <x:c r="B87" s="21" t="str">
        <x:v>SR-0081</x:v>
      </x:c>
      <x:c r="C87" s="21" t="str">
        <x:v>F14</x:v>
      </x:c>
      <x:c r="D87" s="21" t="str">
        <x:v>M03</x:v>
      </x:c>
      <x:c r="E87" s="37" t="n">
        <x:f>'Family Register'!G20*Scenarios!D9</x:f>
        <x:v>3.3000000000000003</x:v>
      </x:c>
      <x:c r="F87" s="37" t="n">
        <x:f>'Family Register'!I20</x:f>
        <x:v>1.6</x:v>
      </x:c>
      <x:c r="G87" s="37" t="n">
        <x:f>MIN(Scenarios!E9:L9)</x:f>
        <x:v>0.9</x:v>
      </x:c>
      <x:c r="H87" s="37" t="n">
        <x:f>'Family Register'!G20*F87*G87</x:f>
        <x:v>8.640000000000002</x:v>
      </x:c>
      <x:c r="I87" s="37" t="n">
        <x:f>MIN(E87,H87)</x:f>
        <x:v>3.3000000000000003</x:v>
      </x:c>
      <x:c r="J87" s="37" t="n">
        <x:f>IF(E87&gt;0,I87/E87,0)</x:f>
        <x:v>1</x:v>
      </x:c>
      <x:c r="K87" s="23" t="str">
        <x:f>IF(J87&gt;=1,"ADEQUATE","GAP")</x:f>
        <x:v>ADEQUATE</x:v>
      </x:c>
    </x:row>
    <x:row r="88">
      <x:c r="B88" s="21" t="str">
        <x:v>SR-0082</x:v>
      </x:c>
      <x:c r="C88" s="21" t="str">
        <x:v>F14</x:v>
      </x:c>
      <x:c r="D88" s="21" t="str">
        <x:v>M04</x:v>
      </x:c>
      <x:c r="E88" s="37" t="n">
        <x:f>'Family Register'!G20*Scenarios!D10</x:f>
        <x:v>4.800000000000001</x:v>
      </x:c>
      <x:c r="F88" s="37" t="n">
        <x:f>'Family Register'!I20</x:f>
        <x:v>1.6</x:v>
      </x:c>
      <x:c r="G88" s="37" t="n">
        <x:f>MIN(Scenarios!E10:L10)</x:f>
        <x:v>0.85</x:v>
      </x:c>
      <x:c r="H88" s="37" t="n">
        <x:f>'Family Register'!G20*F88*G88</x:f>
        <x:v>8.16</x:v>
      </x:c>
      <x:c r="I88" s="37" t="n">
        <x:f>MIN(E88,H88)</x:f>
        <x:v>4.800000000000001</x:v>
      </x:c>
      <x:c r="J88" s="37" t="n">
        <x:f>IF(E88&gt;0,I88/E88,0)</x:f>
        <x:v>1</x:v>
      </x:c>
      <x:c r="K88" s="23" t="str">
        <x:f>IF(J88&gt;=1,"ADEQUATE","GAP")</x:f>
        <x:v>ADEQUATE</x:v>
      </x:c>
    </x:row>
    <x:row r="89">
      <x:c r="B89" s="21" t="str">
        <x:v>SR-0083</x:v>
      </x:c>
      <x:c r="C89" s="21" t="str">
        <x:v>F14</x:v>
      </x:c>
      <x:c r="D89" s="21" t="str">
        <x:v>M05</x:v>
      </x:c>
      <x:c r="E89" s="37" t="n">
        <x:f>'Family Register'!G20*Scenarios!D11</x:f>
        <x:v>6</x:v>
      </x:c>
      <x:c r="F89" s="37" t="n">
        <x:f>'Family Register'!I20</x:f>
        <x:v>1.6</x:v>
      </x:c>
      <x:c r="G89" s="37" t="n">
        <x:f>MIN(Scenarios!E11:L11)</x:f>
        <x:v>0.65</x:v>
      </x:c>
      <x:c r="H89" s="37" t="n">
        <x:f>'Family Register'!G20*F89*G89</x:f>
        <x:v>6.240000000000001</x:v>
      </x:c>
      <x:c r="I89" s="37" t="n">
        <x:f>MIN(E89,H89)</x:f>
        <x:v>6</x:v>
      </x:c>
      <x:c r="J89" s="37" t="n">
        <x:f>IF(E89&gt;0,I89/E89,0)</x:f>
        <x:v>1</x:v>
      </x:c>
      <x:c r="K89" s="23" t="str">
        <x:f>IF(J89&gt;=1,"ADEQUATE","GAP")</x:f>
        <x:v>ADEQUATE</x:v>
      </x:c>
    </x:row>
    <x:row r="90">
      <x:c r="B90" s="21" t="str">
        <x:v>SR-0084</x:v>
      </x:c>
      <x:c r="C90" s="21" t="str">
        <x:v>F14</x:v>
      </x:c>
      <x:c r="D90" s="21" t="str">
        <x:v>M06</x:v>
      </x:c>
      <x:c r="E90" s="37" t="n">
        <x:f>'Family Register'!G20*Scenarios!D12</x:f>
        <x:v>7.5</x:v>
      </x:c>
      <x:c r="F90" s="37" t="n">
        <x:f>'Family Register'!I20</x:f>
        <x:v>1.6</x:v>
      </x:c>
      <x:c r="G90" s="37" t="n">
        <x:f>MIN(Scenarios!E12:L12)</x:f>
        <x:v>0.5</x:v>
      </x:c>
      <x:c r="H90" s="37" t="n">
        <x:f>'Family Register'!G20*F90*G90</x:f>
        <x:v>4.800000000000001</x:v>
      </x:c>
      <x:c r="I90" s="37" t="n">
        <x:f>MIN(E90,H90)</x:f>
        <x:v>4.800000000000001</x:v>
      </x:c>
      <x:c r="J90" s="37" t="n">
        <x:f>IF(E90&gt;0,I90/E90,0)</x:f>
        <x:v>0.6400000000000001</x:v>
      </x:c>
      <x:c r="K90" s="23" t="str">
        <x:f>IF(J90&gt;=1,"ADEQUATE","GAP")</x:f>
        <x:v>GAP</x:v>
      </x:c>
    </x:row>
    <x:row r="91">
      <x:c r="B91" s="21" t="str">
        <x:v>SR-0085</x:v>
      </x:c>
      <x:c r="C91" s="21" t="str">
        <x:v>F15</x:v>
      </x:c>
      <x:c r="D91" s="21" t="str">
        <x:v>M01</x:v>
      </x:c>
      <x:c r="E91" s="37" t="n">
        <x:f>'Family Register'!G21*Scenarios!D7</x:f>
        <x:v>0.6000000000000001</x:v>
      </x:c>
      <x:c r="F91" s="37" t="n">
        <x:f>'Family Register'!I21</x:f>
        <x:v>1.6</x:v>
      </x:c>
      <x:c r="G91" s="37" t="n">
        <x:f>MIN(Scenarios!E7:L7)</x:f>
        <x:v>1</x:v>
      </x:c>
      <x:c r="H91" s="37" t="n">
        <x:f>'Family Register'!G21*F91*G91</x:f>
        <x:v>9.600000000000001</x:v>
      </x:c>
      <x:c r="I91" s="37" t="n">
        <x:f>MIN(E91,H91)</x:f>
        <x:v>0.6000000000000001</x:v>
      </x:c>
      <x:c r="J91" s="37" t="n">
        <x:f>IF(E91&gt;0,I91/E91,0)</x:f>
        <x:v>1</x:v>
      </x:c>
      <x:c r="K91" s="23" t="str">
        <x:f>IF(J91&gt;=1,"ADEQUATE","GAP")</x:f>
        <x:v>ADEQUATE</x:v>
      </x:c>
    </x:row>
    <x:row r="92">
      <x:c r="B92" s="21" t="str">
        <x:v>SR-0086</x:v>
      </x:c>
      <x:c r="C92" s="21" t="str">
        <x:v>F15</x:v>
      </x:c>
      <x:c r="D92" s="21" t="str">
        <x:v>M02</x:v>
      </x:c>
      <x:c r="E92" s="37" t="n">
        <x:f>'Family Register'!G21*Scenarios!D8</x:f>
        <x:v>2.0999999999999996</x:v>
      </x:c>
      <x:c r="F92" s="37" t="n">
        <x:f>'Family Register'!I21</x:f>
        <x:v>1.6</x:v>
      </x:c>
      <x:c r="G92" s="37" t="n">
        <x:f>MIN(Scenarios!E8:L8)</x:f>
        <x:v>0.95</x:v>
      </x:c>
      <x:c r="H92" s="37" t="n">
        <x:f>'Family Register'!G21*F92*G92</x:f>
        <x:v>9.120000000000001</x:v>
      </x:c>
      <x:c r="I92" s="37" t="n">
        <x:f>MIN(E92,H92)</x:f>
        <x:v>2.0999999999999996</x:v>
      </x:c>
      <x:c r="J92" s="37" t="n">
        <x:f>IF(E92&gt;0,I92/E92,0)</x:f>
        <x:v>1</x:v>
      </x:c>
      <x:c r="K92" s="23" t="str">
        <x:f>IF(J92&gt;=1,"ADEQUATE","GAP")</x:f>
        <x:v>ADEQUATE</x:v>
      </x:c>
    </x:row>
    <x:row r="93">
      <x:c r="B93" s="21" t="str">
        <x:v>SR-0087</x:v>
      </x:c>
      <x:c r="C93" s="21" t="str">
        <x:v>F15</x:v>
      </x:c>
      <x:c r="D93" s="21" t="str">
        <x:v>M03</x:v>
      </x:c>
      <x:c r="E93" s="37" t="n">
        <x:f>'Family Register'!G21*Scenarios!D9</x:f>
        <x:v>3.3000000000000003</x:v>
      </x:c>
      <x:c r="F93" s="37" t="n">
        <x:f>'Family Register'!I21</x:f>
        <x:v>1.6</x:v>
      </x:c>
      <x:c r="G93" s="37" t="n">
        <x:f>MIN(Scenarios!E9:L9)</x:f>
        <x:v>0.9</x:v>
      </x:c>
      <x:c r="H93" s="37" t="n">
        <x:f>'Family Register'!G21*F93*G93</x:f>
        <x:v>8.640000000000002</x:v>
      </x:c>
      <x:c r="I93" s="37" t="n">
        <x:f>MIN(E93,H93)</x:f>
        <x:v>3.3000000000000003</x:v>
      </x:c>
      <x:c r="J93" s="37" t="n">
        <x:f>IF(E93&gt;0,I93/E93,0)</x:f>
        <x:v>1</x:v>
      </x:c>
      <x:c r="K93" s="23" t="str">
        <x:f>IF(J93&gt;=1,"ADEQUATE","GAP")</x:f>
        <x:v>ADEQUATE</x:v>
      </x:c>
    </x:row>
    <x:row r="94">
      <x:c r="B94" s="21" t="str">
        <x:v>SR-0088</x:v>
      </x:c>
      <x:c r="C94" s="21" t="str">
        <x:v>F15</x:v>
      </x:c>
      <x:c r="D94" s="21" t="str">
        <x:v>M04</x:v>
      </x:c>
      <x:c r="E94" s="37" t="n">
        <x:f>'Family Register'!G21*Scenarios!D10</x:f>
        <x:v>4.800000000000001</x:v>
      </x:c>
      <x:c r="F94" s="37" t="n">
        <x:f>'Family Register'!I21</x:f>
        <x:v>1.6</x:v>
      </x:c>
      <x:c r="G94" s="37" t="n">
        <x:f>MIN(Scenarios!E10:L10)</x:f>
        <x:v>0.85</x:v>
      </x:c>
      <x:c r="H94" s="37" t="n">
        <x:f>'Family Register'!G21*F94*G94</x:f>
        <x:v>8.16</x:v>
      </x:c>
      <x:c r="I94" s="37" t="n">
        <x:f>MIN(E94,H94)</x:f>
        <x:v>4.800000000000001</x:v>
      </x:c>
      <x:c r="J94" s="37" t="n">
        <x:f>IF(E94&gt;0,I94/E94,0)</x:f>
        <x:v>1</x:v>
      </x:c>
      <x:c r="K94" s="23" t="str">
        <x:f>IF(J94&gt;=1,"ADEQUATE","GAP")</x:f>
        <x:v>ADEQUATE</x:v>
      </x:c>
    </x:row>
    <x:row r="95">
      <x:c r="B95" s="21" t="str">
        <x:v>SR-0089</x:v>
      </x:c>
      <x:c r="C95" s="21" t="str">
        <x:v>F15</x:v>
      </x:c>
      <x:c r="D95" s="21" t="str">
        <x:v>M05</x:v>
      </x:c>
      <x:c r="E95" s="37" t="n">
        <x:f>'Family Register'!G21*Scenarios!D11</x:f>
        <x:v>6</x:v>
      </x:c>
      <x:c r="F95" s="37" t="n">
        <x:f>'Family Register'!I21</x:f>
        <x:v>1.6</x:v>
      </x:c>
      <x:c r="G95" s="37" t="n">
        <x:f>MIN(Scenarios!E11:L11)</x:f>
        <x:v>0.65</x:v>
      </x:c>
      <x:c r="H95" s="37" t="n">
        <x:f>'Family Register'!G21*F95*G95</x:f>
        <x:v>6.240000000000001</x:v>
      </x:c>
      <x:c r="I95" s="37" t="n">
        <x:f>MIN(E95,H95)</x:f>
        <x:v>6</x:v>
      </x:c>
      <x:c r="J95" s="37" t="n">
        <x:f>IF(E95&gt;0,I95/E95,0)</x:f>
        <x:v>1</x:v>
      </x:c>
      <x:c r="K95" s="23" t="str">
        <x:f>IF(J95&gt;=1,"ADEQUATE","GAP")</x:f>
        <x:v>ADEQUATE</x:v>
      </x:c>
    </x:row>
    <x:row r="96">
      <x:c r="B96" s="21" t="str">
        <x:v>SR-0090</x:v>
      </x:c>
      <x:c r="C96" s="21" t="str">
        <x:v>F15</x:v>
      </x:c>
      <x:c r="D96" s="21" t="str">
        <x:v>M06</x:v>
      </x:c>
      <x:c r="E96" s="37" t="n">
        <x:f>'Family Register'!G21*Scenarios!D12</x:f>
        <x:v>7.5</x:v>
      </x:c>
      <x:c r="F96" s="37" t="n">
        <x:f>'Family Register'!I21</x:f>
        <x:v>1.6</x:v>
      </x:c>
      <x:c r="G96" s="37" t="n">
        <x:f>MIN(Scenarios!E12:L12)</x:f>
        <x:v>0.5</x:v>
      </x:c>
      <x:c r="H96" s="37" t="n">
        <x:f>'Family Register'!G21*F96*G96</x:f>
        <x:v>4.800000000000001</x:v>
      </x:c>
      <x:c r="I96" s="37" t="n">
        <x:f>MIN(E96,H96)</x:f>
        <x:v>4.800000000000001</x:v>
      </x:c>
      <x:c r="J96" s="37" t="n">
        <x:f>IF(E96&gt;0,I96/E96,0)</x:f>
        <x:v>0.6400000000000001</x:v>
      </x:c>
      <x:c r="K96" s="23" t="str">
        <x:f>IF(J96&gt;=1,"ADEQUATE","GAP")</x:f>
        <x:v>GAP</x:v>
      </x:c>
    </x:row>
    <x:row r="97">
      <x:c r="B97" s="21" t="str">
        <x:v>SR-0091</x:v>
      </x:c>
      <x:c r="C97" s="21" t="str">
        <x:v>F16</x:v>
      </x:c>
      <x:c r="D97" s="21" t="str">
        <x:v>M01</x:v>
      </x:c>
      <x:c r="E97" s="37" t="n">
        <x:f>'Family Register'!G22*Scenarios!D7</x:f>
        <x:v>0.4</x:v>
      </x:c>
      <x:c r="F97" s="37" t="n">
        <x:f>'Family Register'!I22</x:f>
        <x:v>1.6</x:v>
      </x:c>
      <x:c r="G97" s="37" t="n">
        <x:f>MIN(Scenarios!E7:L7)</x:f>
        <x:v>1</x:v>
      </x:c>
      <x:c r="H97" s="37" t="n">
        <x:f>'Family Register'!G22*F97*G97</x:f>
        <x:v>6.4</x:v>
      </x:c>
      <x:c r="I97" s="37" t="n">
        <x:f>MIN(E97,H97)</x:f>
        <x:v>0.4</x:v>
      </x:c>
      <x:c r="J97" s="37" t="n">
        <x:f>IF(E97&gt;0,I97/E97,0)</x:f>
        <x:v>1</x:v>
      </x:c>
      <x:c r="K97" s="23" t="str">
        <x:f>IF(J97&gt;=1,"ADEQUATE","GAP")</x:f>
        <x:v>ADEQUATE</x:v>
      </x:c>
    </x:row>
    <x:row r="98">
      <x:c r="B98" s="21" t="str">
        <x:v>SR-0092</x:v>
      </x:c>
      <x:c r="C98" s="21" t="str">
        <x:v>F16</x:v>
      </x:c>
      <x:c r="D98" s="21" t="str">
        <x:v>M02</x:v>
      </x:c>
      <x:c r="E98" s="37" t="n">
        <x:f>'Family Register'!G22*Scenarios!D8</x:f>
        <x:v>1.4</x:v>
      </x:c>
      <x:c r="F98" s="37" t="n">
        <x:f>'Family Register'!I22</x:f>
        <x:v>1.6</x:v>
      </x:c>
      <x:c r="G98" s="37" t="n">
        <x:f>MIN(Scenarios!E8:L8)</x:f>
        <x:v>0.95</x:v>
      </x:c>
      <x:c r="H98" s="37" t="n">
        <x:f>'Family Register'!G22*F98*G98</x:f>
        <x:v>6.08</x:v>
      </x:c>
      <x:c r="I98" s="37" t="n">
        <x:f>MIN(E98,H98)</x:f>
        <x:v>1.4</x:v>
      </x:c>
      <x:c r="J98" s="37" t="n">
        <x:f>IF(E98&gt;0,I98/E98,0)</x:f>
        <x:v>1</x:v>
      </x:c>
      <x:c r="K98" s="23" t="str">
        <x:f>IF(J98&gt;=1,"ADEQUATE","GAP")</x:f>
        <x:v>ADEQUATE</x:v>
      </x:c>
    </x:row>
    <x:row r="99">
      <x:c r="B99" s="21" t="str">
        <x:v>SR-0093</x:v>
      </x:c>
      <x:c r="C99" s="21" t="str">
        <x:v>F16</x:v>
      </x:c>
      <x:c r="D99" s="21" t="str">
        <x:v>M03</x:v>
      </x:c>
      <x:c r="E99" s="37" t="n">
        <x:f>'Family Register'!G22*Scenarios!D9</x:f>
        <x:v>2.2</x:v>
      </x:c>
      <x:c r="F99" s="37" t="n">
        <x:f>'Family Register'!I22</x:f>
        <x:v>1.6</x:v>
      </x:c>
      <x:c r="G99" s="37" t="n">
        <x:f>MIN(Scenarios!E9:L9)</x:f>
        <x:v>0.9</x:v>
      </x:c>
      <x:c r="H99" s="37" t="n">
        <x:f>'Family Register'!G22*F99*G99</x:f>
        <x:v>5.760000000000001</x:v>
      </x:c>
      <x:c r="I99" s="37" t="n">
        <x:f>MIN(E99,H99)</x:f>
        <x:v>2.2</x:v>
      </x:c>
      <x:c r="J99" s="37" t="n">
        <x:f>IF(E99&gt;0,I99/E99,0)</x:f>
        <x:v>1</x:v>
      </x:c>
      <x:c r="K99" s="23" t="str">
        <x:f>IF(J99&gt;=1,"ADEQUATE","GAP")</x:f>
        <x:v>ADEQUATE</x:v>
      </x:c>
    </x:row>
    <x:row r="100">
      <x:c r="B100" s="21" t="str">
        <x:v>SR-0094</x:v>
      </x:c>
      <x:c r="C100" s="21" t="str">
        <x:v>F16</x:v>
      </x:c>
      <x:c r="D100" s="21" t="str">
        <x:v>M04</x:v>
      </x:c>
      <x:c r="E100" s="37" t="n">
        <x:f>'Family Register'!G22*Scenarios!D10</x:f>
        <x:v>3.2</x:v>
      </x:c>
      <x:c r="F100" s="37" t="n">
        <x:f>'Family Register'!I22</x:f>
        <x:v>1.6</x:v>
      </x:c>
      <x:c r="G100" s="37" t="n">
        <x:f>MIN(Scenarios!E10:L10)</x:f>
        <x:v>0.85</x:v>
      </x:c>
      <x:c r="H100" s="37" t="n">
        <x:f>'Family Register'!G22*F100*G100</x:f>
        <x:v>5.44</x:v>
      </x:c>
      <x:c r="I100" s="37" t="n">
        <x:f>MIN(E100,H100)</x:f>
        <x:v>3.2</x:v>
      </x:c>
      <x:c r="J100" s="37" t="n">
        <x:f>IF(E100&gt;0,I100/E100,0)</x:f>
        <x:v>1</x:v>
      </x:c>
      <x:c r="K100" s="23" t="str">
        <x:f>IF(J100&gt;=1,"ADEQUATE","GAP")</x:f>
        <x:v>ADEQUATE</x:v>
      </x:c>
    </x:row>
    <x:row r="101">
      <x:c r="B101" s="21" t="str">
        <x:v>SR-0095</x:v>
      </x:c>
      <x:c r="C101" s="21" t="str">
        <x:v>F16</x:v>
      </x:c>
      <x:c r="D101" s="21" t="str">
        <x:v>M05</x:v>
      </x:c>
      <x:c r="E101" s="37" t="n">
        <x:f>'Family Register'!G22*Scenarios!D11</x:f>
        <x:v>4</x:v>
      </x:c>
      <x:c r="F101" s="37" t="n">
        <x:f>'Family Register'!I22</x:f>
        <x:v>1.6</x:v>
      </x:c>
      <x:c r="G101" s="37" t="n">
        <x:f>MIN(Scenarios!E11:L11)</x:f>
        <x:v>0.65</x:v>
      </x:c>
      <x:c r="H101" s="37" t="n">
        <x:f>'Family Register'!G22*F101*G101</x:f>
        <x:v>4.16</x:v>
      </x:c>
      <x:c r="I101" s="37" t="n">
        <x:f>MIN(E101,H101)</x:f>
        <x:v>4</x:v>
      </x:c>
      <x:c r="J101" s="37" t="n">
        <x:f>IF(E101&gt;0,I101/E101,0)</x:f>
        <x:v>1</x:v>
      </x:c>
      <x:c r="K101" s="23" t="str">
        <x:f>IF(J101&gt;=1,"ADEQUATE","GAP")</x:f>
        <x:v>ADEQUATE</x:v>
      </x:c>
    </x:row>
    <x:row r="102">
      <x:c r="B102" s="21" t="str">
        <x:v>SR-0096</x:v>
      </x:c>
      <x:c r="C102" s="21" t="str">
        <x:v>F16</x:v>
      </x:c>
      <x:c r="D102" s="21" t="str">
        <x:v>M06</x:v>
      </x:c>
      <x:c r="E102" s="37" t="n">
        <x:f>'Family Register'!G22*Scenarios!D12</x:f>
        <x:v>5</x:v>
      </x:c>
      <x:c r="F102" s="37" t="n">
        <x:f>'Family Register'!I22</x:f>
        <x:v>1.6</x:v>
      </x:c>
      <x:c r="G102" s="37" t="n">
        <x:f>MIN(Scenarios!E12:L12)</x:f>
        <x:v>0.5</x:v>
      </x:c>
      <x:c r="H102" s="37" t="n">
        <x:f>'Family Register'!G22*F102*G102</x:f>
        <x:v>3.2</x:v>
      </x:c>
      <x:c r="I102" s="37" t="n">
        <x:f>MIN(E102,H102)</x:f>
        <x:v>3.2</x:v>
      </x:c>
      <x:c r="J102" s="37" t="n">
        <x:f>IF(E102&gt;0,I102/E102,0)</x:f>
        <x:v>0.64</x:v>
      </x:c>
      <x:c r="K102" s="23" t="str">
        <x:f>IF(J102&gt;=1,"ADEQUATE","GAP")</x:f>
        <x:v>GAP</x:v>
      </x:c>
    </x:row>
    <x:row r="103">
      <x:c r="B103" s="21" t="str">
        <x:v>SR-0097</x:v>
      </x:c>
      <x:c r="C103" s="21" t="str">
        <x:v>F17</x:v>
      </x:c>
      <x:c r="D103" s="21" t="str">
        <x:v>M01</x:v>
      </x:c>
      <x:c r="E103" s="37" t="n">
        <x:f>'Family Register'!G23*Scenarios!D7</x:f>
        <x:v>0.4</x:v>
      </x:c>
      <x:c r="F103" s="37" t="n">
        <x:f>'Family Register'!I23</x:f>
        <x:v>1.45</x:v>
      </x:c>
      <x:c r="G103" s="37" t="n">
        <x:f>MIN(Scenarios!E7:L7)</x:f>
        <x:v>1</x:v>
      </x:c>
      <x:c r="H103" s="37" t="n">
        <x:f>'Family Register'!G23*F103*G103</x:f>
        <x:v>5.8</x:v>
      </x:c>
      <x:c r="I103" s="37" t="n">
        <x:f>MIN(E103,H103)</x:f>
        <x:v>0.4</x:v>
      </x:c>
      <x:c r="J103" s="37" t="n">
        <x:f>IF(E103&gt;0,I103/E103,0)</x:f>
        <x:v>1</x:v>
      </x:c>
      <x:c r="K103" s="23" t="str">
        <x:f>IF(J103&gt;=1,"ADEQUATE","GAP")</x:f>
        <x:v>ADEQUATE</x:v>
      </x:c>
    </x:row>
    <x:row r="104">
      <x:c r="B104" s="21" t="str">
        <x:v>SR-0098</x:v>
      </x:c>
      <x:c r="C104" s="21" t="str">
        <x:v>F17</x:v>
      </x:c>
      <x:c r="D104" s="21" t="str">
        <x:v>M02</x:v>
      </x:c>
      <x:c r="E104" s="37" t="n">
        <x:f>'Family Register'!G23*Scenarios!D8</x:f>
        <x:v>1.4</x:v>
      </x:c>
      <x:c r="F104" s="37" t="n">
        <x:f>'Family Register'!I23</x:f>
        <x:v>1.45</x:v>
      </x:c>
      <x:c r="G104" s="37" t="n">
        <x:f>MIN(Scenarios!E8:L8)</x:f>
        <x:v>0.95</x:v>
      </x:c>
      <x:c r="H104" s="37" t="n">
        <x:f>'Family Register'!G23*F104*G104</x:f>
        <x:v>5.51</x:v>
      </x:c>
      <x:c r="I104" s="37" t="n">
        <x:f>MIN(E104,H104)</x:f>
        <x:v>1.4</x:v>
      </x:c>
      <x:c r="J104" s="37" t="n">
        <x:f>IF(E104&gt;0,I104/E104,0)</x:f>
        <x:v>1</x:v>
      </x:c>
      <x:c r="K104" s="23" t="str">
        <x:f>IF(J104&gt;=1,"ADEQUATE","GAP")</x:f>
        <x:v>ADEQUATE</x:v>
      </x:c>
    </x:row>
    <x:row r="105">
      <x:c r="B105" s="21" t="str">
        <x:v>SR-0099</x:v>
      </x:c>
      <x:c r="C105" s="21" t="str">
        <x:v>F17</x:v>
      </x:c>
      <x:c r="D105" s="21" t="str">
        <x:v>M03</x:v>
      </x:c>
      <x:c r="E105" s="37" t="n">
        <x:f>'Family Register'!G23*Scenarios!D9</x:f>
        <x:v>2.2</x:v>
      </x:c>
      <x:c r="F105" s="37" t="n">
        <x:f>'Family Register'!I23</x:f>
        <x:v>1.45</x:v>
      </x:c>
      <x:c r="G105" s="37" t="n">
        <x:f>MIN(Scenarios!E9:L9)</x:f>
        <x:v>0.9</x:v>
      </x:c>
      <x:c r="H105" s="37" t="n">
        <x:f>'Family Register'!G23*F105*G105</x:f>
        <x:v>5.22</x:v>
      </x:c>
      <x:c r="I105" s="37" t="n">
        <x:f>MIN(E105,H105)</x:f>
        <x:v>2.2</x:v>
      </x:c>
      <x:c r="J105" s="37" t="n">
        <x:f>IF(E105&gt;0,I105/E105,0)</x:f>
        <x:v>1</x:v>
      </x:c>
      <x:c r="K105" s="23" t="str">
        <x:f>IF(J105&gt;=1,"ADEQUATE","GAP")</x:f>
        <x:v>ADEQUATE</x:v>
      </x:c>
    </x:row>
    <x:row r="106">
      <x:c r="B106" s="21" t="str">
        <x:v>SR-0100</x:v>
      </x:c>
      <x:c r="C106" s="21" t="str">
        <x:v>F17</x:v>
      </x:c>
      <x:c r="D106" s="21" t="str">
        <x:v>M04</x:v>
      </x:c>
      <x:c r="E106" s="37" t="n">
        <x:f>'Family Register'!G23*Scenarios!D10</x:f>
        <x:v>3.2</x:v>
      </x:c>
      <x:c r="F106" s="37" t="n">
        <x:f>'Family Register'!I23</x:f>
        <x:v>1.45</x:v>
      </x:c>
      <x:c r="G106" s="37" t="n">
        <x:f>MIN(Scenarios!E10:L10)</x:f>
        <x:v>0.85</x:v>
      </x:c>
      <x:c r="H106" s="37" t="n">
        <x:f>'Family Register'!G23*F106*G106</x:f>
        <x:v>4.93</x:v>
      </x:c>
      <x:c r="I106" s="37" t="n">
        <x:f>MIN(E106,H106)</x:f>
        <x:v>3.2</x:v>
      </x:c>
      <x:c r="J106" s="37" t="n">
        <x:f>IF(E106&gt;0,I106/E106,0)</x:f>
        <x:v>1</x:v>
      </x:c>
      <x:c r="K106" s="23" t="str">
        <x:f>IF(J106&gt;=1,"ADEQUATE","GAP")</x:f>
        <x:v>ADEQUATE</x:v>
      </x:c>
    </x:row>
    <x:row r="107">
      <x:c r="B107" s="21" t="str">
        <x:v>SR-0101</x:v>
      </x:c>
      <x:c r="C107" s="21" t="str">
        <x:v>F17</x:v>
      </x:c>
      <x:c r="D107" s="21" t="str">
        <x:v>M05</x:v>
      </x:c>
      <x:c r="E107" s="37" t="n">
        <x:f>'Family Register'!G23*Scenarios!D11</x:f>
        <x:v>4</x:v>
      </x:c>
      <x:c r="F107" s="37" t="n">
        <x:f>'Family Register'!I23</x:f>
        <x:v>1.45</x:v>
      </x:c>
      <x:c r="G107" s="37" t="n">
        <x:f>MIN(Scenarios!E11:L11)</x:f>
        <x:v>0.65</x:v>
      </x:c>
      <x:c r="H107" s="37" t="n">
        <x:f>'Family Register'!G23*F107*G107</x:f>
        <x:v>3.77</x:v>
      </x:c>
      <x:c r="I107" s="37" t="n">
        <x:f>MIN(E107,H107)</x:f>
        <x:v>3.77</x:v>
      </x:c>
      <x:c r="J107" s="37" t="n">
        <x:f>IF(E107&gt;0,I107/E107,0)</x:f>
        <x:v>0.9425</x:v>
      </x:c>
      <x:c r="K107" s="23" t="str">
        <x:f>IF(J107&gt;=1,"ADEQUATE","GAP")</x:f>
        <x:v>GAP</x:v>
      </x:c>
    </x:row>
    <x:row r="108">
      <x:c r="B108" s="21" t="str">
        <x:v>SR-0102</x:v>
      </x:c>
      <x:c r="C108" s="21" t="str">
        <x:v>F17</x:v>
      </x:c>
      <x:c r="D108" s="21" t="str">
        <x:v>M06</x:v>
      </x:c>
      <x:c r="E108" s="37" t="n">
        <x:f>'Family Register'!G23*Scenarios!D12</x:f>
        <x:v>5</x:v>
      </x:c>
      <x:c r="F108" s="37" t="n">
        <x:f>'Family Register'!I23</x:f>
        <x:v>1.45</x:v>
      </x:c>
      <x:c r="G108" s="37" t="n">
        <x:f>MIN(Scenarios!E12:L12)</x:f>
        <x:v>0.5</x:v>
      </x:c>
      <x:c r="H108" s="37" t="n">
        <x:f>'Family Register'!G23*F108*G108</x:f>
        <x:v>2.9</x:v>
      </x:c>
      <x:c r="I108" s="37" t="n">
        <x:f>MIN(E108,H108)</x:f>
        <x:v>2.9</x:v>
      </x:c>
      <x:c r="J108" s="37" t="n">
        <x:f>IF(E108&gt;0,I108/E108,0)</x:f>
        <x:v>0.58</x:v>
      </x:c>
      <x:c r="K108" s="23" t="str">
        <x:f>IF(J108&gt;=1,"ADEQUATE","GAP")</x:f>
        <x:v>GAP</x:v>
      </x:c>
    </x:row>
    <x:row r="109">
      <x:c r="B109" s="21" t="str">
        <x:v>SR-0103</x:v>
      </x:c>
      <x:c r="C109" s="21" t="str">
        <x:v>F18</x:v>
      </x:c>
      <x:c r="D109" s="21" t="str">
        <x:v>M01</x:v>
      </x:c>
      <x:c r="E109" s="37" t="n">
        <x:f>'Family Register'!G24*Scenarios!D7</x:f>
        <x:v>0.4</x:v>
      </x:c>
      <x:c r="F109" s="37" t="n">
        <x:f>'Family Register'!I24</x:f>
        <x:v>1.45</x:v>
      </x:c>
      <x:c r="G109" s="37" t="n">
        <x:f>MIN(Scenarios!E7:L7)</x:f>
        <x:v>1</x:v>
      </x:c>
      <x:c r="H109" s="37" t="n">
        <x:f>'Family Register'!G24*F109*G109</x:f>
        <x:v>5.8</x:v>
      </x:c>
      <x:c r="I109" s="37" t="n">
        <x:f>MIN(E109,H109)</x:f>
        <x:v>0.4</x:v>
      </x:c>
      <x:c r="J109" s="37" t="n">
        <x:f>IF(E109&gt;0,I109/E109,0)</x:f>
        <x:v>1</x:v>
      </x:c>
      <x:c r="K109" s="23" t="str">
        <x:f>IF(J109&gt;=1,"ADEQUATE","GAP")</x:f>
        <x:v>ADEQUATE</x:v>
      </x:c>
    </x:row>
    <x:row r="110">
      <x:c r="B110" s="21" t="str">
        <x:v>SR-0104</x:v>
      </x:c>
      <x:c r="C110" s="21" t="str">
        <x:v>F18</x:v>
      </x:c>
      <x:c r="D110" s="21" t="str">
        <x:v>M02</x:v>
      </x:c>
      <x:c r="E110" s="37" t="n">
        <x:f>'Family Register'!G24*Scenarios!D8</x:f>
        <x:v>1.4</x:v>
      </x:c>
      <x:c r="F110" s="37" t="n">
        <x:f>'Family Register'!I24</x:f>
        <x:v>1.45</x:v>
      </x:c>
      <x:c r="G110" s="37" t="n">
        <x:f>MIN(Scenarios!E8:L8)</x:f>
        <x:v>0.95</x:v>
      </x:c>
      <x:c r="H110" s="37" t="n">
        <x:f>'Family Register'!G24*F110*G110</x:f>
        <x:v>5.51</x:v>
      </x:c>
      <x:c r="I110" s="37" t="n">
        <x:f>MIN(E110,H110)</x:f>
        <x:v>1.4</x:v>
      </x:c>
      <x:c r="J110" s="37" t="n">
        <x:f>IF(E110&gt;0,I110/E110,0)</x:f>
        <x:v>1</x:v>
      </x:c>
      <x:c r="K110" s="23" t="str">
        <x:f>IF(J110&gt;=1,"ADEQUATE","GAP")</x:f>
        <x:v>ADEQUATE</x:v>
      </x:c>
    </x:row>
    <x:row r="111">
      <x:c r="B111" s="21" t="str">
        <x:v>SR-0105</x:v>
      </x:c>
      <x:c r="C111" s="21" t="str">
        <x:v>F18</x:v>
      </x:c>
      <x:c r="D111" s="21" t="str">
        <x:v>M03</x:v>
      </x:c>
      <x:c r="E111" s="37" t="n">
        <x:f>'Family Register'!G24*Scenarios!D9</x:f>
        <x:v>2.2</x:v>
      </x:c>
      <x:c r="F111" s="37" t="n">
        <x:f>'Family Register'!I24</x:f>
        <x:v>1.45</x:v>
      </x:c>
      <x:c r="G111" s="37" t="n">
        <x:f>MIN(Scenarios!E9:L9)</x:f>
        <x:v>0.9</x:v>
      </x:c>
      <x:c r="H111" s="37" t="n">
        <x:f>'Family Register'!G24*F111*G111</x:f>
        <x:v>5.22</x:v>
      </x:c>
      <x:c r="I111" s="37" t="n">
        <x:f>MIN(E111,H111)</x:f>
        <x:v>2.2</x:v>
      </x:c>
      <x:c r="J111" s="37" t="n">
        <x:f>IF(E111&gt;0,I111/E111,0)</x:f>
        <x:v>1</x:v>
      </x:c>
      <x:c r="K111" s="23" t="str">
        <x:f>IF(J111&gt;=1,"ADEQUATE","GAP")</x:f>
        <x:v>ADEQUATE</x:v>
      </x:c>
    </x:row>
    <x:row r="112">
      <x:c r="B112" s="21" t="str">
        <x:v>SR-0106</x:v>
      </x:c>
      <x:c r="C112" s="21" t="str">
        <x:v>F18</x:v>
      </x:c>
      <x:c r="D112" s="21" t="str">
        <x:v>M04</x:v>
      </x:c>
      <x:c r="E112" s="37" t="n">
        <x:f>'Family Register'!G24*Scenarios!D10</x:f>
        <x:v>3.2</x:v>
      </x:c>
      <x:c r="F112" s="37" t="n">
        <x:f>'Family Register'!I24</x:f>
        <x:v>1.45</x:v>
      </x:c>
      <x:c r="G112" s="37" t="n">
        <x:f>MIN(Scenarios!E10:L10)</x:f>
        <x:v>0.85</x:v>
      </x:c>
      <x:c r="H112" s="37" t="n">
        <x:f>'Family Register'!G24*F112*G112</x:f>
        <x:v>4.93</x:v>
      </x:c>
      <x:c r="I112" s="37" t="n">
        <x:f>MIN(E112,H112)</x:f>
        <x:v>3.2</x:v>
      </x:c>
      <x:c r="J112" s="37" t="n">
        <x:f>IF(E112&gt;0,I112/E112,0)</x:f>
        <x:v>1</x:v>
      </x:c>
      <x:c r="K112" s="23" t="str">
        <x:f>IF(J112&gt;=1,"ADEQUATE","GAP")</x:f>
        <x:v>ADEQUATE</x:v>
      </x:c>
    </x:row>
    <x:row r="113">
      <x:c r="B113" s="21" t="str">
        <x:v>SR-0107</x:v>
      </x:c>
      <x:c r="C113" s="21" t="str">
        <x:v>F18</x:v>
      </x:c>
      <x:c r="D113" s="21" t="str">
        <x:v>M05</x:v>
      </x:c>
      <x:c r="E113" s="37" t="n">
        <x:f>'Family Register'!G24*Scenarios!D11</x:f>
        <x:v>4</x:v>
      </x:c>
      <x:c r="F113" s="37" t="n">
        <x:f>'Family Register'!I24</x:f>
        <x:v>1.45</x:v>
      </x:c>
      <x:c r="G113" s="37" t="n">
        <x:f>MIN(Scenarios!E11:L11)</x:f>
        <x:v>0.65</x:v>
      </x:c>
      <x:c r="H113" s="37" t="n">
        <x:f>'Family Register'!G24*F113*G113</x:f>
        <x:v>3.77</x:v>
      </x:c>
      <x:c r="I113" s="37" t="n">
        <x:f>MIN(E113,H113)</x:f>
        <x:v>3.77</x:v>
      </x:c>
      <x:c r="J113" s="37" t="n">
        <x:f>IF(E113&gt;0,I113/E113,0)</x:f>
        <x:v>0.9425</x:v>
      </x:c>
      <x:c r="K113" s="23" t="str">
        <x:f>IF(J113&gt;=1,"ADEQUATE","GAP")</x:f>
        <x:v>GAP</x:v>
      </x:c>
    </x:row>
    <x:row r="114">
      <x:c r="B114" s="21" t="str">
        <x:v>SR-0108</x:v>
      </x:c>
      <x:c r="C114" s="21" t="str">
        <x:v>F18</x:v>
      </x:c>
      <x:c r="D114" s="21" t="str">
        <x:v>M06</x:v>
      </x:c>
      <x:c r="E114" s="37" t="n">
        <x:f>'Family Register'!G24*Scenarios!D12</x:f>
        <x:v>5</x:v>
      </x:c>
      <x:c r="F114" s="37" t="n">
        <x:f>'Family Register'!I24</x:f>
        <x:v>1.45</x:v>
      </x:c>
      <x:c r="G114" s="37" t="n">
        <x:f>MIN(Scenarios!E12:L12)</x:f>
        <x:v>0.5</x:v>
      </x:c>
      <x:c r="H114" s="37" t="n">
        <x:f>'Family Register'!G24*F114*G114</x:f>
        <x:v>2.9</x:v>
      </x:c>
      <x:c r="I114" s="37" t="n">
        <x:f>MIN(E114,H114)</x:f>
        <x:v>2.9</x:v>
      </x:c>
      <x:c r="J114" s="37" t="n">
        <x:f>IF(E114&gt;0,I114/E114,0)</x:f>
        <x:v>0.58</x:v>
      </x:c>
      <x:c r="K114" s="23" t="str">
        <x:f>IF(J114&gt;=1,"ADEQUATE","GAP")</x:f>
        <x:v>GAP</x:v>
      </x:c>
    </x:row>
    <x:row r="115">
      <x:c r="B115" s="21" t="str">
        <x:v>SR-0109</x:v>
      </x:c>
      <x:c r="C115" s="21" t="str">
        <x:v>F19</x:v>
      </x:c>
      <x:c r="D115" s="21" t="str">
        <x:v>M01</x:v>
      </x:c>
      <x:c r="E115" s="37" t="n">
        <x:f>'Family Register'!G25*Scenarios!D7</x:f>
        <x:v>0.4</x:v>
      </x:c>
      <x:c r="F115" s="37" t="n">
        <x:f>'Family Register'!I25</x:f>
        <x:v>1.6</x:v>
      </x:c>
      <x:c r="G115" s="37" t="n">
        <x:f>MIN(Scenarios!E7:L7)</x:f>
        <x:v>1</x:v>
      </x:c>
      <x:c r="H115" s="37" t="n">
        <x:f>'Family Register'!G25*F115*G115</x:f>
        <x:v>6.4</x:v>
      </x:c>
      <x:c r="I115" s="37" t="n">
        <x:f>MIN(E115,H115)</x:f>
        <x:v>0.4</x:v>
      </x:c>
      <x:c r="J115" s="37" t="n">
        <x:f>IF(E115&gt;0,I115/E115,0)</x:f>
        <x:v>1</x:v>
      </x:c>
      <x:c r="K115" s="23" t="str">
        <x:f>IF(J115&gt;=1,"ADEQUATE","GAP")</x:f>
        <x:v>ADEQUATE</x:v>
      </x:c>
    </x:row>
    <x:row r="116">
      <x:c r="B116" s="21" t="str">
        <x:v>SR-0110</x:v>
      </x:c>
      <x:c r="C116" s="21" t="str">
        <x:v>F19</x:v>
      </x:c>
      <x:c r="D116" s="21" t="str">
        <x:v>M02</x:v>
      </x:c>
      <x:c r="E116" s="37" t="n">
        <x:f>'Family Register'!G25*Scenarios!D8</x:f>
        <x:v>1.4</x:v>
      </x:c>
      <x:c r="F116" s="37" t="n">
        <x:f>'Family Register'!I25</x:f>
        <x:v>1.6</x:v>
      </x:c>
      <x:c r="G116" s="37" t="n">
        <x:f>MIN(Scenarios!E8:L8)</x:f>
        <x:v>0.95</x:v>
      </x:c>
      <x:c r="H116" s="37" t="n">
        <x:f>'Family Register'!G25*F116*G116</x:f>
        <x:v>6.08</x:v>
      </x:c>
      <x:c r="I116" s="37" t="n">
        <x:f>MIN(E116,H116)</x:f>
        <x:v>1.4</x:v>
      </x:c>
      <x:c r="J116" s="37" t="n">
        <x:f>IF(E116&gt;0,I116/E116,0)</x:f>
        <x:v>1</x:v>
      </x:c>
      <x:c r="K116" s="23" t="str">
        <x:f>IF(J116&gt;=1,"ADEQUATE","GAP")</x:f>
        <x:v>ADEQUATE</x:v>
      </x:c>
    </x:row>
    <x:row r="117">
      <x:c r="B117" s="21" t="str">
        <x:v>SR-0111</x:v>
      </x:c>
      <x:c r="C117" s="21" t="str">
        <x:v>F19</x:v>
      </x:c>
      <x:c r="D117" s="21" t="str">
        <x:v>M03</x:v>
      </x:c>
      <x:c r="E117" s="37" t="n">
        <x:f>'Family Register'!G25*Scenarios!D9</x:f>
        <x:v>2.2</x:v>
      </x:c>
      <x:c r="F117" s="37" t="n">
        <x:f>'Family Register'!I25</x:f>
        <x:v>1.6</x:v>
      </x:c>
      <x:c r="G117" s="37" t="n">
        <x:f>MIN(Scenarios!E9:L9)</x:f>
        <x:v>0.9</x:v>
      </x:c>
      <x:c r="H117" s="37" t="n">
        <x:f>'Family Register'!G25*F117*G117</x:f>
        <x:v>5.760000000000001</x:v>
      </x:c>
      <x:c r="I117" s="37" t="n">
        <x:f>MIN(E117,H117)</x:f>
        <x:v>2.2</x:v>
      </x:c>
      <x:c r="J117" s="37" t="n">
        <x:f>IF(E117&gt;0,I117/E117,0)</x:f>
        <x:v>1</x:v>
      </x:c>
      <x:c r="K117" s="23" t="str">
        <x:f>IF(J117&gt;=1,"ADEQUATE","GAP")</x:f>
        <x:v>ADEQUATE</x:v>
      </x:c>
    </x:row>
    <x:row r="118">
      <x:c r="B118" s="21" t="str">
        <x:v>SR-0112</x:v>
      </x:c>
      <x:c r="C118" s="21" t="str">
        <x:v>F19</x:v>
      </x:c>
      <x:c r="D118" s="21" t="str">
        <x:v>M04</x:v>
      </x:c>
      <x:c r="E118" s="37" t="n">
        <x:f>'Family Register'!G25*Scenarios!D10</x:f>
        <x:v>3.2</x:v>
      </x:c>
      <x:c r="F118" s="37" t="n">
        <x:f>'Family Register'!I25</x:f>
        <x:v>1.6</x:v>
      </x:c>
      <x:c r="G118" s="37" t="n">
        <x:f>MIN(Scenarios!E10:L10)</x:f>
        <x:v>0.85</x:v>
      </x:c>
      <x:c r="H118" s="37" t="n">
        <x:f>'Family Register'!G25*F118*G118</x:f>
        <x:v>5.44</x:v>
      </x:c>
      <x:c r="I118" s="37" t="n">
        <x:f>MIN(E118,H118)</x:f>
        <x:v>3.2</x:v>
      </x:c>
      <x:c r="J118" s="37" t="n">
        <x:f>IF(E118&gt;0,I118/E118,0)</x:f>
        <x:v>1</x:v>
      </x:c>
      <x:c r="K118" s="23" t="str">
        <x:f>IF(J118&gt;=1,"ADEQUATE","GAP")</x:f>
        <x:v>ADEQUATE</x:v>
      </x:c>
    </x:row>
    <x:row r="119">
      <x:c r="B119" s="21" t="str">
        <x:v>SR-0113</x:v>
      </x:c>
      <x:c r="C119" s="21" t="str">
        <x:v>F19</x:v>
      </x:c>
      <x:c r="D119" s="21" t="str">
        <x:v>M05</x:v>
      </x:c>
      <x:c r="E119" s="37" t="n">
        <x:f>'Family Register'!G25*Scenarios!D11</x:f>
        <x:v>4</x:v>
      </x:c>
      <x:c r="F119" s="37" t="n">
        <x:f>'Family Register'!I25</x:f>
        <x:v>1.6</x:v>
      </x:c>
      <x:c r="G119" s="37" t="n">
        <x:f>MIN(Scenarios!E11:L11)</x:f>
        <x:v>0.65</x:v>
      </x:c>
      <x:c r="H119" s="37" t="n">
        <x:f>'Family Register'!G25*F119*G119</x:f>
        <x:v>4.16</x:v>
      </x:c>
      <x:c r="I119" s="37" t="n">
        <x:f>MIN(E119,H119)</x:f>
        <x:v>4</x:v>
      </x:c>
      <x:c r="J119" s="37" t="n">
        <x:f>IF(E119&gt;0,I119/E119,0)</x:f>
        <x:v>1</x:v>
      </x:c>
      <x:c r="K119" s="23" t="str">
        <x:f>IF(J119&gt;=1,"ADEQUATE","GAP")</x:f>
        <x:v>ADEQUATE</x:v>
      </x:c>
    </x:row>
    <x:row r="120">
      <x:c r="B120" s="21" t="str">
        <x:v>SR-0114</x:v>
      </x:c>
      <x:c r="C120" s="21" t="str">
        <x:v>F19</x:v>
      </x:c>
      <x:c r="D120" s="21" t="str">
        <x:v>M06</x:v>
      </x:c>
      <x:c r="E120" s="37" t="n">
        <x:f>'Family Register'!G25*Scenarios!D12</x:f>
        <x:v>5</x:v>
      </x:c>
      <x:c r="F120" s="37" t="n">
        <x:f>'Family Register'!I25</x:f>
        <x:v>1.6</x:v>
      </x:c>
      <x:c r="G120" s="37" t="n">
        <x:f>MIN(Scenarios!E12:L12)</x:f>
        <x:v>0.5</x:v>
      </x:c>
      <x:c r="H120" s="37" t="n">
        <x:f>'Family Register'!G25*F120*G120</x:f>
        <x:v>3.2</x:v>
      </x:c>
      <x:c r="I120" s="37" t="n">
        <x:f>MIN(E120,H120)</x:f>
        <x:v>3.2</x:v>
      </x:c>
      <x:c r="J120" s="37" t="n">
        <x:f>IF(E120&gt;0,I120/E120,0)</x:f>
        <x:v>0.64</x:v>
      </x:c>
      <x:c r="K120" s="23" t="str">
        <x:f>IF(J120&gt;=1,"ADEQUATE","GAP")</x:f>
        <x:v>GAP</x:v>
      </x:c>
    </x:row>
    <x:row r="121">
      <x:c r="B121" s="21" t="str">
        <x:v>SR-0115</x:v>
      </x:c>
      <x:c r="C121" s="21" t="str">
        <x:v>F20</x:v>
      </x:c>
      <x:c r="D121" s="21" t="str">
        <x:v>M01</x:v>
      </x:c>
      <x:c r="E121" s="37" t="n">
        <x:f>'Family Register'!G26*Scenarios!D7</x:f>
        <x:v>0.8</x:v>
      </x:c>
      <x:c r="F121" s="37" t="n">
        <x:f>'Family Register'!I26</x:f>
        <x:v>1.3</x:v>
      </x:c>
      <x:c r="G121" s="37" t="n">
        <x:f>MIN(Scenarios!E7:L7)</x:f>
        <x:v>1</x:v>
      </x:c>
      <x:c r="H121" s="37" t="n">
        <x:f>'Family Register'!G26*F121*G121</x:f>
        <x:v>10.4</x:v>
      </x:c>
      <x:c r="I121" s="37" t="n">
        <x:f>MIN(E121,H121)</x:f>
        <x:v>0.8</x:v>
      </x:c>
      <x:c r="J121" s="37" t="n">
        <x:f>IF(E121&gt;0,I121/E121,0)</x:f>
        <x:v>1</x:v>
      </x:c>
      <x:c r="K121" s="23" t="str">
        <x:f>IF(J121&gt;=1,"ADEQUATE","GAP")</x:f>
        <x:v>ADEQUATE</x:v>
      </x:c>
    </x:row>
    <x:row r="122">
      <x:c r="B122" s="21" t="str">
        <x:v>SR-0116</x:v>
      </x:c>
      <x:c r="C122" s="21" t="str">
        <x:v>F20</x:v>
      </x:c>
      <x:c r="D122" s="21" t="str">
        <x:v>M02</x:v>
      </x:c>
      <x:c r="E122" s="37" t="n">
        <x:f>'Family Register'!G26*Scenarios!D8</x:f>
        <x:v>2.8</x:v>
      </x:c>
      <x:c r="F122" s="37" t="n">
        <x:f>'Family Register'!I26</x:f>
        <x:v>1.3</x:v>
      </x:c>
      <x:c r="G122" s="37" t="n">
        <x:f>MIN(Scenarios!E8:L8)</x:f>
        <x:v>0.95</x:v>
      </x:c>
      <x:c r="H122" s="37" t="n">
        <x:f>'Family Register'!G26*F122*G122</x:f>
        <x:v>9.879999999999999</x:v>
      </x:c>
      <x:c r="I122" s="37" t="n">
        <x:f>MIN(E122,H122)</x:f>
        <x:v>2.8</x:v>
      </x:c>
      <x:c r="J122" s="37" t="n">
        <x:f>IF(E122&gt;0,I122/E122,0)</x:f>
        <x:v>1</x:v>
      </x:c>
      <x:c r="K122" s="23" t="str">
        <x:f>IF(J122&gt;=1,"ADEQUATE","GAP")</x:f>
        <x:v>ADEQUATE</x:v>
      </x:c>
    </x:row>
    <x:row r="123">
      <x:c r="B123" s="21" t="str">
        <x:v>SR-0117</x:v>
      </x:c>
      <x:c r="C123" s="21" t="str">
        <x:v>F20</x:v>
      </x:c>
      <x:c r="D123" s="21" t="str">
        <x:v>M03</x:v>
      </x:c>
      <x:c r="E123" s="37" t="n">
        <x:f>'Family Register'!G26*Scenarios!D9</x:f>
        <x:v>4.4</x:v>
      </x:c>
      <x:c r="F123" s="37" t="n">
        <x:f>'Family Register'!I26</x:f>
        <x:v>1.3</x:v>
      </x:c>
      <x:c r="G123" s="37" t="n">
        <x:f>MIN(Scenarios!E9:L9)</x:f>
        <x:v>0.9</x:v>
      </x:c>
      <x:c r="H123" s="37" t="n">
        <x:f>'Family Register'!G26*F123*G123</x:f>
        <x:v>9.360000000000001</x:v>
      </x:c>
      <x:c r="I123" s="37" t="n">
        <x:f>MIN(E123,H123)</x:f>
        <x:v>4.4</x:v>
      </x:c>
      <x:c r="J123" s="37" t="n">
        <x:f>IF(E123&gt;0,I123/E123,0)</x:f>
        <x:v>1</x:v>
      </x:c>
      <x:c r="K123" s="23" t="str">
        <x:f>IF(J123&gt;=1,"ADEQUATE","GAP")</x:f>
        <x:v>ADEQUATE</x:v>
      </x:c>
    </x:row>
    <x:row r="124">
      <x:c r="B124" s="21" t="str">
        <x:v>SR-0118</x:v>
      </x:c>
      <x:c r="C124" s="21" t="str">
        <x:v>F20</x:v>
      </x:c>
      <x:c r="D124" s="21" t="str">
        <x:v>M04</x:v>
      </x:c>
      <x:c r="E124" s="37" t="n">
        <x:f>'Family Register'!G26*Scenarios!D10</x:f>
        <x:v>6.4</x:v>
      </x:c>
      <x:c r="F124" s="37" t="n">
        <x:f>'Family Register'!I26</x:f>
        <x:v>1.3</x:v>
      </x:c>
      <x:c r="G124" s="37" t="n">
        <x:f>MIN(Scenarios!E10:L10)</x:f>
        <x:v>0.85</x:v>
      </x:c>
      <x:c r="H124" s="37" t="n">
        <x:f>'Family Register'!G26*F124*G124</x:f>
        <x:v>8.84</x:v>
      </x:c>
      <x:c r="I124" s="37" t="n">
        <x:f>MIN(E124,H124)</x:f>
        <x:v>6.4</x:v>
      </x:c>
      <x:c r="J124" s="37" t="n">
        <x:f>IF(E124&gt;0,I124/E124,0)</x:f>
        <x:v>1</x:v>
      </x:c>
      <x:c r="K124" s="23" t="str">
        <x:f>IF(J124&gt;=1,"ADEQUATE","GAP")</x:f>
        <x:v>ADEQUATE</x:v>
      </x:c>
    </x:row>
    <x:row r="125">
      <x:c r="B125" s="21" t="str">
        <x:v>SR-0119</x:v>
      </x:c>
      <x:c r="C125" s="21" t="str">
        <x:v>F20</x:v>
      </x:c>
      <x:c r="D125" s="21" t="str">
        <x:v>M05</x:v>
      </x:c>
      <x:c r="E125" s="37" t="n">
        <x:f>'Family Register'!G26*Scenarios!D11</x:f>
        <x:v>8</x:v>
      </x:c>
      <x:c r="F125" s="37" t="n">
        <x:f>'Family Register'!I26</x:f>
        <x:v>1.3</x:v>
      </x:c>
      <x:c r="G125" s="37" t="n">
        <x:f>MIN(Scenarios!E11:L11)</x:f>
        <x:v>0.65</x:v>
      </x:c>
      <x:c r="H125" s="37" t="n">
        <x:f>'Family Register'!G26*F125*G125</x:f>
        <x:v>6.760000000000001</x:v>
      </x:c>
      <x:c r="I125" s="37" t="n">
        <x:f>MIN(E125,H125)</x:f>
        <x:v>6.760000000000001</x:v>
      </x:c>
      <x:c r="J125" s="37" t="n">
        <x:f>IF(E125&gt;0,I125/E125,0)</x:f>
        <x:v>0.8450000000000001</x:v>
      </x:c>
      <x:c r="K125" s="23" t="str">
        <x:f>IF(J125&gt;=1,"ADEQUATE","GAP")</x:f>
        <x:v>GAP</x:v>
      </x:c>
    </x:row>
    <x:row r="126">
      <x:c r="B126" s="21" t="str">
        <x:v>SR-0120</x:v>
      </x:c>
      <x:c r="C126" s="21" t="str">
        <x:v>F20</x:v>
      </x:c>
      <x:c r="D126" s="21" t="str">
        <x:v>M06</x:v>
      </x:c>
      <x:c r="E126" s="37" t="n">
        <x:f>'Family Register'!G26*Scenarios!D12</x:f>
        <x:v>10</x:v>
      </x:c>
      <x:c r="F126" s="37" t="n">
        <x:f>'Family Register'!I26</x:f>
        <x:v>1.3</x:v>
      </x:c>
      <x:c r="G126" s="37" t="n">
        <x:f>MIN(Scenarios!E12:L12)</x:f>
        <x:v>0.5</x:v>
      </x:c>
      <x:c r="H126" s="37" t="n">
        <x:f>'Family Register'!G26*F126*G126</x:f>
        <x:v>5.2</x:v>
      </x:c>
      <x:c r="I126" s="37" t="n">
        <x:f>MIN(E126,H126)</x:f>
        <x:v>5.2</x:v>
      </x:c>
      <x:c r="J126" s="37" t="n">
        <x:f>IF(E126&gt;0,I126/E126,0)</x:f>
        <x:v>0.52</x:v>
      </x:c>
      <x:c r="K126" s="23" t="str">
        <x:f>IF(J126&gt;=1,"ADEQUATE","GAP")</x:f>
        <x:v>GAP</x:v>
      </x:c>
    </x:row>
    <x:row r="127">
      <x:c r="B127" s="21" t="str">
        <x:v>SR-0121</x:v>
      </x:c>
      <x:c r="C127" s="21" t="str">
        <x:v>F21</x:v>
      </x:c>
      <x:c r="D127" s="21" t="str">
        <x:v>M01</x:v>
      </x:c>
      <x:c r="E127" s="37" t="n">
        <x:f>'Family Register'!G27*Scenarios!D7</x:f>
        <x:v>0.8</x:v>
      </x:c>
      <x:c r="F127" s="37" t="n">
        <x:f>'Family Register'!I27</x:f>
        <x:v>1.45</x:v>
      </x:c>
      <x:c r="G127" s="37" t="n">
        <x:f>MIN(Scenarios!E7:L7)</x:f>
        <x:v>1</x:v>
      </x:c>
      <x:c r="H127" s="37" t="n">
        <x:f>'Family Register'!G27*F127*G127</x:f>
        <x:v>11.6</x:v>
      </x:c>
      <x:c r="I127" s="37" t="n">
        <x:f>MIN(E127,H127)</x:f>
        <x:v>0.8</x:v>
      </x:c>
      <x:c r="J127" s="37" t="n">
        <x:f>IF(E127&gt;0,I127/E127,0)</x:f>
        <x:v>1</x:v>
      </x:c>
      <x:c r="K127" s="23" t="str">
        <x:f>IF(J127&gt;=1,"ADEQUATE","GAP")</x:f>
        <x:v>ADEQUATE</x:v>
      </x:c>
    </x:row>
    <x:row r="128">
      <x:c r="B128" s="21" t="str">
        <x:v>SR-0122</x:v>
      </x:c>
      <x:c r="C128" s="21" t="str">
        <x:v>F21</x:v>
      </x:c>
      <x:c r="D128" s="21" t="str">
        <x:v>M02</x:v>
      </x:c>
      <x:c r="E128" s="37" t="n">
        <x:f>'Family Register'!G27*Scenarios!D8</x:f>
        <x:v>2.8</x:v>
      </x:c>
      <x:c r="F128" s="37" t="n">
        <x:f>'Family Register'!I27</x:f>
        <x:v>1.45</x:v>
      </x:c>
      <x:c r="G128" s="37" t="n">
        <x:f>MIN(Scenarios!E8:L8)</x:f>
        <x:v>0.95</x:v>
      </x:c>
      <x:c r="H128" s="37" t="n">
        <x:f>'Family Register'!G27*F128*G128</x:f>
        <x:v>11.02</x:v>
      </x:c>
      <x:c r="I128" s="37" t="n">
        <x:f>MIN(E128,H128)</x:f>
        <x:v>2.8</x:v>
      </x:c>
      <x:c r="J128" s="37" t="n">
        <x:f>IF(E128&gt;0,I128/E128,0)</x:f>
        <x:v>1</x:v>
      </x:c>
      <x:c r="K128" s="23" t="str">
        <x:f>IF(J128&gt;=1,"ADEQUATE","GAP")</x:f>
        <x:v>ADEQUATE</x:v>
      </x:c>
    </x:row>
    <x:row r="129">
      <x:c r="B129" s="21" t="str">
        <x:v>SR-0123</x:v>
      </x:c>
      <x:c r="C129" s="21" t="str">
        <x:v>F21</x:v>
      </x:c>
      <x:c r="D129" s="21" t="str">
        <x:v>M03</x:v>
      </x:c>
      <x:c r="E129" s="37" t="n">
        <x:f>'Family Register'!G27*Scenarios!D9</x:f>
        <x:v>4.4</x:v>
      </x:c>
      <x:c r="F129" s="37" t="n">
        <x:f>'Family Register'!I27</x:f>
        <x:v>1.45</x:v>
      </x:c>
      <x:c r="G129" s="37" t="n">
        <x:f>MIN(Scenarios!E9:L9)</x:f>
        <x:v>0.9</x:v>
      </x:c>
      <x:c r="H129" s="37" t="n">
        <x:f>'Family Register'!G27*F129*G129</x:f>
        <x:v>10.44</x:v>
      </x:c>
      <x:c r="I129" s="37" t="n">
        <x:f>MIN(E129,H129)</x:f>
        <x:v>4.4</x:v>
      </x:c>
      <x:c r="J129" s="37" t="n">
        <x:f>IF(E129&gt;0,I129/E129,0)</x:f>
        <x:v>1</x:v>
      </x:c>
      <x:c r="K129" s="23" t="str">
        <x:f>IF(J129&gt;=1,"ADEQUATE","GAP")</x:f>
        <x:v>ADEQUATE</x:v>
      </x:c>
    </x:row>
    <x:row r="130">
      <x:c r="B130" s="21" t="str">
        <x:v>SR-0124</x:v>
      </x:c>
      <x:c r="C130" s="21" t="str">
        <x:v>F21</x:v>
      </x:c>
      <x:c r="D130" s="21" t="str">
        <x:v>M04</x:v>
      </x:c>
      <x:c r="E130" s="37" t="n">
        <x:f>'Family Register'!G27*Scenarios!D10</x:f>
        <x:v>6.4</x:v>
      </x:c>
      <x:c r="F130" s="37" t="n">
        <x:f>'Family Register'!I27</x:f>
        <x:v>1.45</x:v>
      </x:c>
      <x:c r="G130" s="37" t="n">
        <x:f>MIN(Scenarios!E10:L10)</x:f>
        <x:v>0.85</x:v>
      </x:c>
      <x:c r="H130" s="37" t="n">
        <x:f>'Family Register'!G27*F130*G130</x:f>
        <x:v>9.86</x:v>
      </x:c>
      <x:c r="I130" s="37" t="n">
        <x:f>MIN(E130,H130)</x:f>
        <x:v>6.4</x:v>
      </x:c>
      <x:c r="J130" s="37" t="n">
        <x:f>IF(E130&gt;0,I130/E130,0)</x:f>
        <x:v>1</x:v>
      </x:c>
      <x:c r="K130" s="23" t="str">
        <x:f>IF(J130&gt;=1,"ADEQUATE","GAP")</x:f>
        <x:v>ADEQUATE</x:v>
      </x:c>
    </x:row>
    <x:row r="131">
      <x:c r="B131" s="21" t="str">
        <x:v>SR-0125</x:v>
      </x:c>
      <x:c r="C131" s="21" t="str">
        <x:v>F21</x:v>
      </x:c>
      <x:c r="D131" s="21" t="str">
        <x:v>M05</x:v>
      </x:c>
      <x:c r="E131" s="37" t="n">
        <x:f>'Family Register'!G27*Scenarios!D11</x:f>
        <x:v>8</x:v>
      </x:c>
      <x:c r="F131" s="37" t="n">
        <x:f>'Family Register'!I27</x:f>
        <x:v>1.45</x:v>
      </x:c>
      <x:c r="G131" s="37" t="n">
        <x:f>MIN(Scenarios!E11:L11)</x:f>
        <x:v>0.65</x:v>
      </x:c>
      <x:c r="H131" s="37" t="n">
        <x:f>'Family Register'!G27*F131*G131</x:f>
        <x:v>7.54</x:v>
      </x:c>
      <x:c r="I131" s="37" t="n">
        <x:f>MIN(E131,H131)</x:f>
        <x:v>7.54</x:v>
      </x:c>
      <x:c r="J131" s="37" t="n">
        <x:f>IF(E131&gt;0,I131/E131,0)</x:f>
        <x:v>0.9425</x:v>
      </x:c>
      <x:c r="K131" s="23" t="str">
        <x:f>IF(J131&gt;=1,"ADEQUATE","GAP")</x:f>
        <x:v>GAP</x:v>
      </x:c>
    </x:row>
    <x:row r="132">
      <x:c r="B132" s="21" t="str">
        <x:v>SR-0126</x:v>
      </x:c>
      <x:c r="C132" s="21" t="str">
        <x:v>F21</x:v>
      </x:c>
      <x:c r="D132" s="21" t="str">
        <x:v>M06</x:v>
      </x:c>
      <x:c r="E132" s="37" t="n">
        <x:f>'Family Register'!G27*Scenarios!D12</x:f>
        <x:v>10</x:v>
      </x:c>
      <x:c r="F132" s="37" t="n">
        <x:f>'Family Register'!I27</x:f>
        <x:v>1.45</x:v>
      </x:c>
      <x:c r="G132" s="37" t="n">
        <x:f>MIN(Scenarios!E12:L12)</x:f>
        <x:v>0.5</x:v>
      </x:c>
      <x:c r="H132" s="37" t="n">
        <x:f>'Family Register'!G27*F132*G132</x:f>
        <x:v>5.8</x:v>
      </x:c>
      <x:c r="I132" s="37" t="n">
        <x:f>MIN(E132,H132)</x:f>
        <x:v>5.8</x:v>
      </x:c>
      <x:c r="J132" s="37" t="n">
        <x:f>IF(E132&gt;0,I132/E132,0)</x:f>
        <x:v>0.58</x:v>
      </x:c>
      <x:c r="K132" s="23" t="str">
        <x:f>IF(J132&gt;=1,"ADEQUATE","GAP")</x:f>
        <x:v>GAP</x:v>
      </x:c>
    </x:row>
    <x:row r="133">
      <x:c r="B133" s="21" t="str">
        <x:v>SR-0127</x:v>
      </x:c>
      <x:c r="C133" s="21" t="str">
        <x:v>F22</x:v>
      </x:c>
      <x:c r="D133" s="21" t="str">
        <x:v>M01</x:v>
      </x:c>
      <x:c r="E133" s="37" t="n">
        <x:f>'Family Register'!G28*Scenarios!D7</x:f>
        <x:v>1.2000000000000002</x:v>
      </x:c>
      <x:c r="F133" s="37" t="n">
        <x:f>'Family Register'!I28</x:f>
        <x:v>1.6</x:v>
      </x:c>
      <x:c r="G133" s="37" t="n">
        <x:f>MIN(Scenarios!E7:L7)</x:f>
        <x:v>1</x:v>
      </x:c>
      <x:c r="H133" s="37" t="n">
        <x:f>'Family Register'!G28*F133*G133</x:f>
        <x:v>19.200000000000003</x:v>
      </x:c>
      <x:c r="I133" s="37" t="n">
        <x:f>MIN(E133,H133)</x:f>
        <x:v>1.2000000000000002</x:v>
      </x:c>
      <x:c r="J133" s="37" t="n">
        <x:f>IF(E133&gt;0,I133/E133,0)</x:f>
        <x:v>1</x:v>
      </x:c>
      <x:c r="K133" s="23" t="str">
        <x:f>IF(J133&gt;=1,"ADEQUATE","GAP")</x:f>
        <x:v>ADEQUATE</x:v>
      </x:c>
    </x:row>
    <x:row r="134">
      <x:c r="B134" s="21" t="str">
        <x:v>SR-0128</x:v>
      </x:c>
      <x:c r="C134" s="21" t="str">
        <x:v>F22</x:v>
      </x:c>
      <x:c r="D134" s="21" t="str">
        <x:v>M02</x:v>
      </x:c>
      <x:c r="E134" s="37" t="n">
        <x:f>'Family Register'!G28*Scenarios!D8</x:f>
        <x:v>4.199999999999999</x:v>
      </x:c>
      <x:c r="F134" s="37" t="n">
        <x:f>'Family Register'!I28</x:f>
        <x:v>1.6</x:v>
      </x:c>
      <x:c r="G134" s="37" t="n">
        <x:f>MIN(Scenarios!E8:L8)</x:f>
        <x:v>0.95</x:v>
      </x:c>
      <x:c r="H134" s="37" t="n">
        <x:f>'Family Register'!G28*F134*G134</x:f>
        <x:v>18.240000000000002</x:v>
      </x:c>
      <x:c r="I134" s="37" t="n">
        <x:f>MIN(E134,H134)</x:f>
        <x:v>4.199999999999999</x:v>
      </x:c>
      <x:c r="J134" s="37" t="n">
        <x:f>IF(E134&gt;0,I134/E134,0)</x:f>
        <x:v>1</x:v>
      </x:c>
      <x:c r="K134" s="23" t="str">
        <x:f>IF(J134&gt;=1,"ADEQUATE","GAP")</x:f>
        <x:v>ADEQUATE</x:v>
      </x:c>
    </x:row>
    <x:row r="135">
      <x:c r="B135" s="21" t="str">
        <x:v>SR-0129</x:v>
      </x:c>
      <x:c r="C135" s="21" t="str">
        <x:v>F22</x:v>
      </x:c>
      <x:c r="D135" s="21" t="str">
        <x:v>M03</x:v>
      </x:c>
      <x:c r="E135" s="37" t="n">
        <x:f>'Family Register'!G28*Scenarios!D9</x:f>
        <x:v>6.6000000000000005</x:v>
      </x:c>
      <x:c r="F135" s="37" t="n">
        <x:f>'Family Register'!I28</x:f>
        <x:v>1.6</x:v>
      </x:c>
      <x:c r="G135" s="37" t="n">
        <x:f>MIN(Scenarios!E9:L9)</x:f>
        <x:v>0.9</x:v>
      </x:c>
      <x:c r="H135" s="37" t="n">
        <x:f>'Family Register'!G28*F135*G135</x:f>
        <x:v>17.280000000000005</x:v>
      </x:c>
      <x:c r="I135" s="37" t="n">
        <x:f>MIN(E135,H135)</x:f>
        <x:v>6.6000000000000005</x:v>
      </x:c>
      <x:c r="J135" s="37" t="n">
        <x:f>IF(E135&gt;0,I135/E135,0)</x:f>
        <x:v>1</x:v>
      </x:c>
      <x:c r="K135" s="23" t="str">
        <x:f>IF(J135&gt;=1,"ADEQUATE","GAP")</x:f>
        <x:v>ADEQUATE</x:v>
      </x:c>
    </x:row>
    <x:row r="136">
      <x:c r="B136" s="21" t="str">
        <x:v>SR-0130</x:v>
      </x:c>
      <x:c r="C136" s="21" t="str">
        <x:v>F22</x:v>
      </x:c>
      <x:c r="D136" s="21" t="str">
        <x:v>M04</x:v>
      </x:c>
      <x:c r="E136" s="37" t="n">
        <x:f>'Family Register'!G28*Scenarios!D10</x:f>
        <x:v>9.600000000000001</x:v>
      </x:c>
      <x:c r="F136" s="37" t="n">
        <x:f>'Family Register'!I28</x:f>
        <x:v>1.6</x:v>
      </x:c>
      <x:c r="G136" s="37" t="n">
        <x:f>MIN(Scenarios!E10:L10)</x:f>
        <x:v>0.85</x:v>
      </x:c>
      <x:c r="H136" s="37" t="n">
        <x:f>'Family Register'!G28*F136*G136</x:f>
        <x:v>16.32</x:v>
      </x:c>
      <x:c r="I136" s="37" t="n">
        <x:f>MIN(E136,H136)</x:f>
        <x:v>9.600000000000001</x:v>
      </x:c>
      <x:c r="J136" s="37" t="n">
        <x:f>IF(E136&gt;0,I136/E136,0)</x:f>
        <x:v>1</x:v>
      </x:c>
      <x:c r="K136" s="23" t="str">
        <x:f>IF(J136&gt;=1,"ADEQUATE","GAP")</x:f>
        <x:v>ADEQUATE</x:v>
      </x:c>
    </x:row>
    <x:row r="137">
      <x:c r="B137" s="21" t="str">
        <x:v>SR-0131</x:v>
      </x:c>
      <x:c r="C137" s="21" t="str">
        <x:v>F22</x:v>
      </x:c>
      <x:c r="D137" s="21" t="str">
        <x:v>M05</x:v>
      </x:c>
      <x:c r="E137" s="37" t="n">
        <x:f>'Family Register'!G28*Scenarios!D11</x:f>
        <x:v>12</x:v>
      </x:c>
      <x:c r="F137" s="37" t="n">
        <x:f>'Family Register'!I28</x:f>
        <x:v>1.6</x:v>
      </x:c>
      <x:c r="G137" s="37" t="n">
        <x:f>MIN(Scenarios!E11:L11)</x:f>
        <x:v>0.65</x:v>
      </x:c>
      <x:c r="H137" s="37" t="n">
        <x:f>'Family Register'!G28*F137*G137</x:f>
        <x:v>12.480000000000002</x:v>
      </x:c>
      <x:c r="I137" s="37" t="n">
        <x:f>MIN(E137,H137)</x:f>
        <x:v>12</x:v>
      </x:c>
      <x:c r="J137" s="37" t="n">
        <x:f>IF(E137&gt;0,I137/E137,0)</x:f>
        <x:v>1</x:v>
      </x:c>
      <x:c r="K137" s="23" t="str">
        <x:f>IF(J137&gt;=1,"ADEQUATE","GAP")</x:f>
        <x:v>ADEQUATE</x:v>
      </x:c>
    </x:row>
    <x:row r="138">
      <x:c r="B138" s="21" t="str">
        <x:v>SR-0132</x:v>
      </x:c>
      <x:c r="C138" s="21" t="str">
        <x:v>F22</x:v>
      </x:c>
      <x:c r="D138" s="21" t="str">
        <x:v>M06</x:v>
      </x:c>
      <x:c r="E138" s="37" t="n">
        <x:f>'Family Register'!G28*Scenarios!D12</x:f>
        <x:v>15</x:v>
      </x:c>
      <x:c r="F138" s="37" t="n">
        <x:f>'Family Register'!I28</x:f>
        <x:v>1.6</x:v>
      </x:c>
      <x:c r="G138" s="37" t="n">
        <x:f>MIN(Scenarios!E12:L12)</x:f>
        <x:v>0.5</x:v>
      </x:c>
      <x:c r="H138" s="37" t="n">
        <x:f>'Family Register'!G28*F138*G138</x:f>
        <x:v>9.600000000000001</x:v>
      </x:c>
      <x:c r="I138" s="37" t="n">
        <x:f>MIN(E138,H138)</x:f>
        <x:v>9.600000000000001</x:v>
      </x:c>
      <x:c r="J138" s="37" t="n">
        <x:f>IF(E138&gt;0,I138/E138,0)</x:f>
        <x:v>0.6400000000000001</x:v>
      </x:c>
      <x:c r="K138" s="23" t="str">
        <x:f>IF(J138&gt;=1,"ADEQUATE","GAP")</x:f>
        <x:v>GAP</x:v>
      </x:c>
    </x:row>
    <x:row r="139">
      <x:c r="B139" s="21" t="str">
        <x:v>SR-0133</x:v>
      </x:c>
      <x:c r="C139" s="21" t="str">
        <x:v>F23</x:v>
      </x:c>
      <x:c r="D139" s="21" t="str">
        <x:v>M01</x:v>
      </x:c>
      <x:c r="E139" s="37" t="n">
        <x:f>'Family Register'!G29*Scenarios!D7</x:f>
        <x:v>1.2000000000000002</x:v>
      </x:c>
      <x:c r="F139" s="37" t="n">
        <x:f>'Family Register'!I29</x:f>
        <x:v>1.6</x:v>
      </x:c>
      <x:c r="G139" s="37" t="n">
        <x:f>MIN(Scenarios!E7:L7)</x:f>
        <x:v>1</x:v>
      </x:c>
      <x:c r="H139" s="37" t="n">
        <x:f>'Family Register'!G29*F139*G139</x:f>
        <x:v>19.200000000000003</x:v>
      </x:c>
      <x:c r="I139" s="37" t="n">
        <x:f>MIN(E139,H139)</x:f>
        <x:v>1.2000000000000002</x:v>
      </x:c>
      <x:c r="J139" s="37" t="n">
        <x:f>IF(E139&gt;0,I139/E139,0)</x:f>
        <x:v>1</x:v>
      </x:c>
      <x:c r="K139" s="23" t="str">
        <x:f>IF(J139&gt;=1,"ADEQUATE","GAP")</x:f>
        <x:v>ADEQUATE</x:v>
      </x:c>
    </x:row>
    <x:row r="140">
      <x:c r="B140" s="21" t="str">
        <x:v>SR-0134</x:v>
      </x:c>
      <x:c r="C140" s="21" t="str">
        <x:v>F23</x:v>
      </x:c>
      <x:c r="D140" s="21" t="str">
        <x:v>M02</x:v>
      </x:c>
      <x:c r="E140" s="37" t="n">
        <x:f>'Family Register'!G29*Scenarios!D8</x:f>
        <x:v>4.199999999999999</x:v>
      </x:c>
      <x:c r="F140" s="37" t="n">
        <x:f>'Family Register'!I29</x:f>
        <x:v>1.6</x:v>
      </x:c>
      <x:c r="G140" s="37" t="n">
        <x:f>MIN(Scenarios!E8:L8)</x:f>
        <x:v>0.95</x:v>
      </x:c>
      <x:c r="H140" s="37" t="n">
        <x:f>'Family Register'!G29*F140*G140</x:f>
        <x:v>18.240000000000002</x:v>
      </x:c>
      <x:c r="I140" s="37" t="n">
        <x:f>MIN(E140,H140)</x:f>
        <x:v>4.199999999999999</x:v>
      </x:c>
      <x:c r="J140" s="37" t="n">
        <x:f>IF(E140&gt;0,I140/E140,0)</x:f>
        <x:v>1</x:v>
      </x:c>
      <x:c r="K140" s="23" t="str">
        <x:f>IF(J140&gt;=1,"ADEQUATE","GAP")</x:f>
        <x:v>ADEQUATE</x:v>
      </x:c>
    </x:row>
    <x:row r="141">
      <x:c r="B141" s="21" t="str">
        <x:v>SR-0135</x:v>
      </x:c>
      <x:c r="C141" s="21" t="str">
        <x:v>F23</x:v>
      </x:c>
      <x:c r="D141" s="21" t="str">
        <x:v>M03</x:v>
      </x:c>
      <x:c r="E141" s="37" t="n">
        <x:f>'Family Register'!G29*Scenarios!D9</x:f>
        <x:v>6.6000000000000005</x:v>
      </x:c>
      <x:c r="F141" s="37" t="n">
        <x:f>'Family Register'!I29</x:f>
        <x:v>1.6</x:v>
      </x:c>
      <x:c r="G141" s="37" t="n">
        <x:f>MIN(Scenarios!E9:L9)</x:f>
        <x:v>0.9</x:v>
      </x:c>
      <x:c r="H141" s="37" t="n">
        <x:f>'Family Register'!G29*F141*G141</x:f>
        <x:v>17.280000000000005</x:v>
      </x:c>
      <x:c r="I141" s="37" t="n">
        <x:f>MIN(E141,H141)</x:f>
        <x:v>6.6000000000000005</x:v>
      </x:c>
      <x:c r="J141" s="37" t="n">
        <x:f>IF(E141&gt;0,I141/E141,0)</x:f>
        <x:v>1</x:v>
      </x:c>
      <x:c r="K141" s="23" t="str">
        <x:f>IF(J141&gt;=1,"ADEQUATE","GAP")</x:f>
        <x:v>ADEQUATE</x:v>
      </x:c>
    </x:row>
    <x:row r="142">
      <x:c r="B142" s="21" t="str">
        <x:v>SR-0136</x:v>
      </x:c>
      <x:c r="C142" s="21" t="str">
        <x:v>F23</x:v>
      </x:c>
      <x:c r="D142" s="21" t="str">
        <x:v>M04</x:v>
      </x:c>
      <x:c r="E142" s="37" t="n">
        <x:f>'Family Register'!G29*Scenarios!D10</x:f>
        <x:v>9.600000000000001</x:v>
      </x:c>
      <x:c r="F142" s="37" t="n">
        <x:f>'Family Register'!I29</x:f>
        <x:v>1.6</x:v>
      </x:c>
      <x:c r="G142" s="37" t="n">
        <x:f>MIN(Scenarios!E10:L10)</x:f>
        <x:v>0.85</x:v>
      </x:c>
      <x:c r="H142" s="37" t="n">
        <x:f>'Family Register'!G29*F142*G142</x:f>
        <x:v>16.32</x:v>
      </x:c>
      <x:c r="I142" s="37" t="n">
        <x:f>MIN(E142,H142)</x:f>
        <x:v>9.600000000000001</x:v>
      </x:c>
      <x:c r="J142" s="37" t="n">
        <x:f>IF(E142&gt;0,I142/E142,0)</x:f>
        <x:v>1</x:v>
      </x:c>
      <x:c r="K142" s="23" t="str">
        <x:f>IF(J142&gt;=1,"ADEQUATE","GAP")</x:f>
        <x:v>ADEQUATE</x:v>
      </x:c>
    </x:row>
    <x:row r="143">
      <x:c r="B143" s="21" t="str">
        <x:v>SR-0137</x:v>
      </x:c>
      <x:c r="C143" s="21" t="str">
        <x:v>F23</x:v>
      </x:c>
      <x:c r="D143" s="21" t="str">
        <x:v>M05</x:v>
      </x:c>
      <x:c r="E143" s="37" t="n">
        <x:f>'Family Register'!G29*Scenarios!D11</x:f>
        <x:v>12</x:v>
      </x:c>
      <x:c r="F143" s="37" t="n">
        <x:f>'Family Register'!I29</x:f>
        <x:v>1.6</x:v>
      </x:c>
      <x:c r="G143" s="37" t="n">
        <x:f>MIN(Scenarios!E11:L11)</x:f>
        <x:v>0.65</x:v>
      </x:c>
      <x:c r="H143" s="37" t="n">
        <x:f>'Family Register'!G29*F143*G143</x:f>
        <x:v>12.480000000000002</x:v>
      </x:c>
      <x:c r="I143" s="37" t="n">
        <x:f>MIN(E143,H143)</x:f>
        <x:v>12</x:v>
      </x:c>
      <x:c r="J143" s="37" t="n">
        <x:f>IF(E143&gt;0,I143/E143,0)</x:f>
        <x:v>1</x:v>
      </x:c>
      <x:c r="K143" s="23" t="str">
        <x:f>IF(J143&gt;=1,"ADEQUATE","GAP")</x:f>
        <x:v>ADEQUATE</x:v>
      </x:c>
    </x:row>
    <x:row r="144">
      <x:c r="B144" s="21" t="str">
        <x:v>SR-0138</x:v>
      </x:c>
      <x:c r="C144" s="21" t="str">
        <x:v>F23</x:v>
      </x:c>
      <x:c r="D144" s="21" t="str">
        <x:v>M06</x:v>
      </x:c>
      <x:c r="E144" s="37" t="n">
        <x:f>'Family Register'!G29*Scenarios!D12</x:f>
        <x:v>15</x:v>
      </x:c>
      <x:c r="F144" s="37" t="n">
        <x:f>'Family Register'!I29</x:f>
        <x:v>1.6</x:v>
      </x:c>
      <x:c r="G144" s="37" t="n">
        <x:f>MIN(Scenarios!E12:L12)</x:f>
        <x:v>0.5</x:v>
      </x:c>
      <x:c r="H144" s="37" t="n">
        <x:f>'Family Register'!G29*F144*G144</x:f>
        <x:v>9.600000000000001</x:v>
      </x:c>
      <x:c r="I144" s="37" t="n">
        <x:f>MIN(E144,H144)</x:f>
        <x:v>9.600000000000001</x:v>
      </x:c>
      <x:c r="J144" s="37" t="n">
        <x:f>IF(E144&gt;0,I144/E144,0)</x:f>
        <x:v>0.6400000000000001</x:v>
      </x:c>
      <x:c r="K144" s="23" t="str">
        <x:f>IF(J144&gt;=1,"ADEQUATE","GAP")</x:f>
        <x:v>GAP</x:v>
      </x:c>
    </x:row>
    <x:row r="145">
      <x:c r="B145" s="21" t="str">
        <x:v>SR-0139</x:v>
      </x:c>
      <x:c r="C145" s="21" t="str">
        <x:v>F24</x:v>
      </x:c>
      <x:c r="D145" s="21" t="str">
        <x:v>M01</x:v>
      </x:c>
      <x:c r="E145" s="37" t="n">
        <x:f>'Family Register'!G30*Scenarios!D7</x:f>
        <x:v>1.2000000000000002</x:v>
      </x:c>
      <x:c r="F145" s="37" t="n">
        <x:f>'Family Register'!I30</x:f>
        <x:v>1.6</x:v>
      </x:c>
      <x:c r="G145" s="37" t="n">
        <x:f>MIN(Scenarios!E7:L7)</x:f>
        <x:v>1</x:v>
      </x:c>
      <x:c r="H145" s="37" t="n">
        <x:f>'Family Register'!G30*F145*G145</x:f>
        <x:v>19.200000000000003</x:v>
      </x:c>
      <x:c r="I145" s="37" t="n">
        <x:f>MIN(E145,H145)</x:f>
        <x:v>1.2000000000000002</x:v>
      </x:c>
      <x:c r="J145" s="37" t="n">
        <x:f>IF(E145&gt;0,I145/E145,0)</x:f>
        <x:v>1</x:v>
      </x:c>
      <x:c r="K145" s="23" t="str">
        <x:f>IF(J145&gt;=1,"ADEQUATE","GAP")</x:f>
        <x:v>ADEQUATE</x:v>
      </x:c>
    </x:row>
    <x:row r="146">
      <x:c r="B146" s="21" t="str">
        <x:v>SR-0140</x:v>
      </x:c>
      <x:c r="C146" s="21" t="str">
        <x:v>F24</x:v>
      </x:c>
      <x:c r="D146" s="21" t="str">
        <x:v>M02</x:v>
      </x:c>
      <x:c r="E146" s="37" t="n">
        <x:f>'Family Register'!G30*Scenarios!D8</x:f>
        <x:v>4.199999999999999</x:v>
      </x:c>
      <x:c r="F146" s="37" t="n">
        <x:f>'Family Register'!I30</x:f>
        <x:v>1.6</x:v>
      </x:c>
      <x:c r="G146" s="37" t="n">
        <x:f>MIN(Scenarios!E8:L8)</x:f>
        <x:v>0.95</x:v>
      </x:c>
      <x:c r="H146" s="37" t="n">
        <x:f>'Family Register'!G30*F146*G146</x:f>
        <x:v>18.240000000000002</x:v>
      </x:c>
      <x:c r="I146" s="37" t="n">
        <x:f>MIN(E146,H146)</x:f>
        <x:v>4.199999999999999</x:v>
      </x:c>
      <x:c r="J146" s="37" t="n">
        <x:f>IF(E146&gt;0,I146/E146,0)</x:f>
        <x:v>1</x:v>
      </x:c>
      <x:c r="K146" s="23" t="str">
        <x:f>IF(J146&gt;=1,"ADEQUATE","GAP")</x:f>
        <x:v>ADEQUATE</x:v>
      </x:c>
    </x:row>
    <x:row r="147">
      <x:c r="B147" s="21" t="str">
        <x:v>SR-0141</x:v>
      </x:c>
      <x:c r="C147" s="21" t="str">
        <x:v>F24</x:v>
      </x:c>
      <x:c r="D147" s="21" t="str">
        <x:v>M03</x:v>
      </x:c>
      <x:c r="E147" s="37" t="n">
        <x:f>'Family Register'!G30*Scenarios!D9</x:f>
        <x:v>6.6000000000000005</x:v>
      </x:c>
      <x:c r="F147" s="37" t="n">
        <x:f>'Family Register'!I30</x:f>
        <x:v>1.6</x:v>
      </x:c>
      <x:c r="G147" s="37" t="n">
        <x:f>MIN(Scenarios!E9:L9)</x:f>
        <x:v>0.9</x:v>
      </x:c>
      <x:c r="H147" s="37" t="n">
        <x:f>'Family Register'!G30*F147*G147</x:f>
        <x:v>17.280000000000005</x:v>
      </x:c>
      <x:c r="I147" s="37" t="n">
        <x:f>MIN(E147,H147)</x:f>
        <x:v>6.6000000000000005</x:v>
      </x:c>
      <x:c r="J147" s="37" t="n">
        <x:f>IF(E147&gt;0,I147/E147,0)</x:f>
        <x:v>1</x:v>
      </x:c>
      <x:c r="K147" s="23" t="str">
        <x:f>IF(J147&gt;=1,"ADEQUATE","GAP")</x:f>
        <x:v>ADEQUATE</x:v>
      </x:c>
    </x:row>
    <x:row r="148">
      <x:c r="B148" s="21" t="str">
        <x:v>SR-0142</x:v>
      </x:c>
      <x:c r="C148" s="21" t="str">
        <x:v>F24</x:v>
      </x:c>
      <x:c r="D148" s="21" t="str">
        <x:v>M04</x:v>
      </x:c>
      <x:c r="E148" s="37" t="n">
        <x:f>'Family Register'!G30*Scenarios!D10</x:f>
        <x:v>9.600000000000001</x:v>
      </x:c>
      <x:c r="F148" s="37" t="n">
        <x:f>'Family Register'!I30</x:f>
        <x:v>1.6</x:v>
      </x:c>
      <x:c r="G148" s="37" t="n">
        <x:f>MIN(Scenarios!E10:L10)</x:f>
        <x:v>0.85</x:v>
      </x:c>
      <x:c r="H148" s="37" t="n">
        <x:f>'Family Register'!G30*F148*G148</x:f>
        <x:v>16.32</x:v>
      </x:c>
      <x:c r="I148" s="37" t="n">
        <x:f>MIN(E148,H148)</x:f>
        <x:v>9.600000000000001</x:v>
      </x:c>
      <x:c r="J148" s="37" t="n">
        <x:f>IF(E148&gt;0,I148/E148,0)</x:f>
        <x:v>1</x:v>
      </x:c>
      <x:c r="K148" s="23" t="str">
        <x:f>IF(J148&gt;=1,"ADEQUATE","GAP")</x:f>
        <x:v>ADEQUATE</x:v>
      </x:c>
    </x:row>
    <x:row r="149">
      <x:c r="B149" s="21" t="str">
        <x:v>SR-0143</x:v>
      </x:c>
      <x:c r="C149" s="21" t="str">
        <x:v>F24</x:v>
      </x:c>
      <x:c r="D149" s="21" t="str">
        <x:v>M05</x:v>
      </x:c>
      <x:c r="E149" s="37" t="n">
        <x:f>'Family Register'!G30*Scenarios!D11</x:f>
        <x:v>12</x:v>
      </x:c>
      <x:c r="F149" s="37" t="n">
        <x:f>'Family Register'!I30</x:f>
        <x:v>1.6</x:v>
      </x:c>
      <x:c r="G149" s="37" t="n">
        <x:f>MIN(Scenarios!E11:L11)</x:f>
        <x:v>0.65</x:v>
      </x:c>
      <x:c r="H149" s="37" t="n">
        <x:f>'Family Register'!G30*F149*G149</x:f>
        <x:v>12.480000000000002</x:v>
      </x:c>
      <x:c r="I149" s="37" t="n">
        <x:f>MIN(E149,H149)</x:f>
        <x:v>12</x:v>
      </x:c>
      <x:c r="J149" s="37" t="n">
        <x:f>IF(E149&gt;0,I149/E149,0)</x:f>
        <x:v>1</x:v>
      </x:c>
      <x:c r="K149" s="23" t="str">
        <x:f>IF(J149&gt;=1,"ADEQUATE","GAP")</x:f>
        <x:v>ADEQUATE</x:v>
      </x:c>
    </x:row>
    <x:row r="150">
      <x:c r="B150" s="21" t="str">
        <x:v>SR-0144</x:v>
      </x:c>
      <x:c r="C150" s="21" t="str">
        <x:v>F24</x:v>
      </x:c>
      <x:c r="D150" s="21" t="str">
        <x:v>M06</x:v>
      </x:c>
      <x:c r="E150" s="37" t="n">
        <x:f>'Family Register'!G30*Scenarios!D12</x:f>
        <x:v>15</x:v>
      </x:c>
      <x:c r="F150" s="37" t="n">
        <x:f>'Family Register'!I30</x:f>
        <x:v>1.6</x:v>
      </x:c>
      <x:c r="G150" s="37" t="n">
        <x:f>MIN(Scenarios!E12:L12)</x:f>
        <x:v>0.5</x:v>
      </x:c>
      <x:c r="H150" s="37" t="n">
        <x:f>'Family Register'!G30*F150*G150</x:f>
        <x:v>9.600000000000001</x:v>
      </x:c>
      <x:c r="I150" s="37" t="n">
        <x:f>MIN(E150,H150)</x:f>
        <x:v>9.600000000000001</x:v>
      </x:c>
      <x:c r="J150" s="37" t="n">
        <x:f>IF(E150&gt;0,I150/E150,0)</x:f>
        <x:v>0.6400000000000001</x:v>
      </x:c>
      <x:c r="K150" s="23" t="str">
        <x:f>IF(J150&gt;=1,"ADEQUATE","GAP")</x:f>
        <x:v>GAP</x:v>
      </x:c>
    </x:row>
    <x:row r="151">
      <x:c r="B151" s="21" t="str">
        <x:v>SR-0145</x:v>
      </x:c>
      <x:c r="C151" s="21" t="str">
        <x:v>F25</x:v>
      </x:c>
      <x:c r="D151" s="21" t="str">
        <x:v>M01</x:v>
      </x:c>
      <x:c r="E151" s="37" t="n">
        <x:f>'Family Register'!G31*Scenarios!D7</x:f>
        <x:v>1.2000000000000002</x:v>
      </x:c>
      <x:c r="F151" s="37" t="n">
        <x:f>'Family Register'!I31</x:f>
        <x:v>1.6</x:v>
      </x:c>
      <x:c r="G151" s="37" t="n">
        <x:f>MIN(Scenarios!E7:L7)</x:f>
        <x:v>1</x:v>
      </x:c>
      <x:c r="H151" s="37" t="n">
        <x:f>'Family Register'!G31*F151*G151</x:f>
        <x:v>19.200000000000003</x:v>
      </x:c>
      <x:c r="I151" s="37" t="n">
        <x:f>MIN(E151,H151)</x:f>
        <x:v>1.2000000000000002</x:v>
      </x:c>
      <x:c r="J151" s="37" t="n">
        <x:f>IF(E151&gt;0,I151/E151,0)</x:f>
        <x:v>1</x:v>
      </x:c>
      <x:c r="K151" s="23" t="str">
        <x:f>IF(J151&gt;=1,"ADEQUATE","GAP")</x:f>
        <x:v>ADEQUATE</x:v>
      </x:c>
    </x:row>
    <x:row r="152">
      <x:c r="B152" s="21" t="str">
        <x:v>SR-0146</x:v>
      </x:c>
      <x:c r="C152" s="21" t="str">
        <x:v>F25</x:v>
      </x:c>
      <x:c r="D152" s="21" t="str">
        <x:v>M02</x:v>
      </x:c>
      <x:c r="E152" s="37" t="n">
        <x:f>'Family Register'!G31*Scenarios!D8</x:f>
        <x:v>4.199999999999999</x:v>
      </x:c>
      <x:c r="F152" s="37" t="n">
        <x:f>'Family Register'!I31</x:f>
        <x:v>1.6</x:v>
      </x:c>
      <x:c r="G152" s="37" t="n">
        <x:f>MIN(Scenarios!E8:L8)</x:f>
        <x:v>0.95</x:v>
      </x:c>
      <x:c r="H152" s="37" t="n">
        <x:f>'Family Register'!G31*F152*G152</x:f>
        <x:v>18.240000000000002</x:v>
      </x:c>
      <x:c r="I152" s="37" t="n">
        <x:f>MIN(E152,H152)</x:f>
        <x:v>4.199999999999999</x:v>
      </x:c>
      <x:c r="J152" s="37" t="n">
        <x:f>IF(E152&gt;0,I152/E152,0)</x:f>
        <x:v>1</x:v>
      </x:c>
      <x:c r="K152" s="23" t="str">
        <x:f>IF(J152&gt;=1,"ADEQUATE","GAP")</x:f>
        <x:v>ADEQUATE</x:v>
      </x:c>
    </x:row>
    <x:row r="153">
      <x:c r="B153" s="21" t="str">
        <x:v>SR-0147</x:v>
      </x:c>
      <x:c r="C153" s="21" t="str">
        <x:v>F25</x:v>
      </x:c>
      <x:c r="D153" s="21" t="str">
        <x:v>M03</x:v>
      </x:c>
      <x:c r="E153" s="37" t="n">
        <x:f>'Family Register'!G31*Scenarios!D9</x:f>
        <x:v>6.6000000000000005</x:v>
      </x:c>
      <x:c r="F153" s="37" t="n">
        <x:f>'Family Register'!I31</x:f>
        <x:v>1.6</x:v>
      </x:c>
      <x:c r="G153" s="37" t="n">
        <x:f>MIN(Scenarios!E9:L9)</x:f>
        <x:v>0.9</x:v>
      </x:c>
      <x:c r="H153" s="37" t="n">
        <x:f>'Family Register'!G31*F153*G153</x:f>
        <x:v>17.280000000000005</x:v>
      </x:c>
      <x:c r="I153" s="37" t="n">
        <x:f>MIN(E153,H153)</x:f>
        <x:v>6.6000000000000005</x:v>
      </x:c>
      <x:c r="J153" s="37" t="n">
        <x:f>IF(E153&gt;0,I153/E153,0)</x:f>
        <x:v>1</x:v>
      </x:c>
      <x:c r="K153" s="23" t="str">
        <x:f>IF(J153&gt;=1,"ADEQUATE","GAP")</x:f>
        <x:v>ADEQUATE</x:v>
      </x:c>
    </x:row>
    <x:row r="154">
      <x:c r="B154" s="21" t="str">
        <x:v>SR-0148</x:v>
      </x:c>
      <x:c r="C154" s="21" t="str">
        <x:v>F25</x:v>
      </x:c>
      <x:c r="D154" s="21" t="str">
        <x:v>M04</x:v>
      </x:c>
      <x:c r="E154" s="37" t="n">
        <x:f>'Family Register'!G31*Scenarios!D10</x:f>
        <x:v>9.600000000000001</x:v>
      </x:c>
      <x:c r="F154" s="37" t="n">
        <x:f>'Family Register'!I31</x:f>
        <x:v>1.6</x:v>
      </x:c>
      <x:c r="G154" s="37" t="n">
        <x:f>MIN(Scenarios!E10:L10)</x:f>
        <x:v>0.85</x:v>
      </x:c>
      <x:c r="H154" s="37" t="n">
        <x:f>'Family Register'!G31*F154*G154</x:f>
        <x:v>16.32</x:v>
      </x:c>
      <x:c r="I154" s="37" t="n">
        <x:f>MIN(E154,H154)</x:f>
        <x:v>9.600000000000001</x:v>
      </x:c>
      <x:c r="J154" s="37" t="n">
        <x:f>IF(E154&gt;0,I154/E154,0)</x:f>
        <x:v>1</x:v>
      </x:c>
      <x:c r="K154" s="23" t="str">
        <x:f>IF(J154&gt;=1,"ADEQUATE","GAP")</x:f>
        <x:v>ADEQUATE</x:v>
      </x:c>
    </x:row>
    <x:row r="155">
      <x:c r="B155" s="21" t="str">
        <x:v>SR-0149</x:v>
      </x:c>
      <x:c r="C155" s="21" t="str">
        <x:v>F25</x:v>
      </x:c>
      <x:c r="D155" s="21" t="str">
        <x:v>M05</x:v>
      </x:c>
      <x:c r="E155" s="37" t="n">
        <x:f>'Family Register'!G31*Scenarios!D11</x:f>
        <x:v>12</x:v>
      </x:c>
      <x:c r="F155" s="37" t="n">
        <x:f>'Family Register'!I31</x:f>
        <x:v>1.6</x:v>
      </x:c>
      <x:c r="G155" s="37" t="n">
        <x:f>MIN(Scenarios!E11:L11)</x:f>
        <x:v>0.65</x:v>
      </x:c>
      <x:c r="H155" s="37" t="n">
        <x:f>'Family Register'!G31*F155*G155</x:f>
        <x:v>12.480000000000002</x:v>
      </x:c>
      <x:c r="I155" s="37" t="n">
        <x:f>MIN(E155,H155)</x:f>
        <x:v>12</x:v>
      </x:c>
      <x:c r="J155" s="37" t="n">
        <x:f>IF(E155&gt;0,I155/E155,0)</x:f>
        <x:v>1</x:v>
      </x:c>
      <x:c r="K155" s="23" t="str">
        <x:f>IF(J155&gt;=1,"ADEQUATE","GAP")</x:f>
        <x:v>ADEQUATE</x:v>
      </x:c>
    </x:row>
    <x:row r="156">
      <x:c r="B156" s="21" t="str">
        <x:v>SR-0150</x:v>
      </x:c>
      <x:c r="C156" s="21" t="str">
        <x:v>F25</x:v>
      </x:c>
      <x:c r="D156" s="21" t="str">
        <x:v>M06</x:v>
      </x:c>
      <x:c r="E156" s="37" t="n">
        <x:f>'Family Register'!G31*Scenarios!D12</x:f>
        <x:v>15</x:v>
      </x:c>
      <x:c r="F156" s="37" t="n">
        <x:f>'Family Register'!I31</x:f>
        <x:v>1.6</x:v>
      </x:c>
      <x:c r="G156" s="37" t="n">
        <x:f>MIN(Scenarios!E12:L12)</x:f>
        <x:v>0.5</x:v>
      </x:c>
      <x:c r="H156" s="37" t="n">
        <x:f>'Family Register'!G31*F156*G156</x:f>
        <x:v>9.600000000000001</x:v>
      </x:c>
      <x:c r="I156" s="37" t="n">
        <x:f>MIN(E156,H156)</x:f>
        <x:v>9.600000000000001</x:v>
      </x:c>
      <x:c r="J156" s="37" t="n">
        <x:f>IF(E156&gt;0,I156/E156,0)</x:f>
        <x:v>0.6400000000000001</x:v>
      </x:c>
      <x:c r="K156" s="23" t="str">
        <x:f>IF(J156&gt;=1,"ADEQUATE","GAP")</x:f>
        <x:v>GAP</x:v>
      </x:c>
    </x:row>
    <x:row r="157">
      <x:c r="B157" s="21" t="str">
        <x:v>SR-0151</x:v>
      </x:c>
      <x:c r="C157" s="21" t="str">
        <x:v>F26</x:v>
      </x:c>
      <x:c r="D157" s="21" t="str">
        <x:v>M01</x:v>
      </x:c>
      <x:c r="E157" s="37" t="n">
        <x:f>'Family Register'!G32*Scenarios!D7</x:f>
        <x:v>1.2000000000000002</x:v>
      </x:c>
      <x:c r="F157" s="37" t="n">
        <x:f>'Family Register'!I32</x:f>
        <x:v>1.6</x:v>
      </x:c>
      <x:c r="G157" s="37" t="n">
        <x:f>MIN(Scenarios!E7:L7)</x:f>
        <x:v>1</x:v>
      </x:c>
      <x:c r="H157" s="37" t="n">
        <x:f>'Family Register'!G32*F157*G157</x:f>
        <x:v>19.200000000000003</x:v>
      </x:c>
      <x:c r="I157" s="37" t="n">
        <x:f>MIN(E157,H157)</x:f>
        <x:v>1.2000000000000002</x:v>
      </x:c>
      <x:c r="J157" s="37" t="n">
        <x:f>IF(E157&gt;0,I157/E157,0)</x:f>
        <x:v>1</x:v>
      </x:c>
      <x:c r="K157" s="23" t="str">
        <x:f>IF(J157&gt;=1,"ADEQUATE","GAP")</x:f>
        <x:v>ADEQUATE</x:v>
      </x:c>
    </x:row>
    <x:row r="158">
      <x:c r="B158" s="21" t="str">
        <x:v>SR-0152</x:v>
      </x:c>
      <x:c r="C158" s="21" t="str">
        <x:v>F26</x:v>
      </x:c>
      <x:c r="D158" s="21" t="str">
        <x:v>M02</x:v>
      </x:c>
      <x:c r="E158" s="37" t="n">
        <x:f>'Family Register'!G32*Scenarios!D8</x:f>
        <x:v>4.199999999999999</x:v>
      </x:c>
      <x:c r="F158" s="37" t="n">
        <x:f>'Family Register'!I32</x:f>
        <x:v>1.6</x:v>
      </x:c>
      <x:c r="G158" s="37" t="n">
        <x:f>MIN(Scenarios!E8:L8)</x:f>
        <x:v>0.95</x:v>
      </x:c>
      <x:c r="H158" s="37" t="n">
        <x:f>'Family Register'!G32*F158*G158</x:f>
        <x:v>18.240000000000002</x:v>
      </x:c>
      <x:c r="I158" s="37" t="n">
        <x:f>MIN(E158,H158)</x:f>
        <x:v>4.199999999999999</x:v>
      </x:c>
      <x:c r="J158" s="37" t="n">
        <x:f>IF(E158&gt;0,I158/E158,0)</x:f>
        <x:v>1</x:v>
      </x:c>
      <x:c r="K158" s="23" t="str">
        <x:f>IF(J158&gt;=1,"ADEQUATE","GAP")</x:f>
        <x:v>ADEQUATE</x:v>
      </x:c>
    </x:row>
    <x:row r="159">
      <x:c r="B159" s="21" t="str">
        <x:v>SR-0153</x:v>
      </x:c>
      <x:c r="C159" s="21" t="str">
        <x:v>F26</x:v>
      </x:c>
      <x:c r="D159" s="21" t="str">
        <x:v>M03</x:v>
      </x:c>
      <x:c r="E159" s="37" t="n">
        <x:f>'Family Register'!G32*Scenarios!D9</x:f>
        <x:v>6.6000000000000005</x:v>
      </x:c>
      <x:c r="F159" s="37" t="n">
        <x:f>'Family Register'!I32</x:f>
        <x:v>1.6</x:v>
      </x:c>
      <x:c r="G159" s="37" t="n">
        <x:f>MIN(Scenarios!E9:L9)</x:f>
        <x:v>0.9</x:v>
      </x:c>
      <x:c r="H159" s="37" t="n">
        <x:f>'Family Register'!G32*F159*G159</x:f>
        <x:v>17.280000000000005</x:v>
      </x:c>
      <x:c r="I159" s="37" t="n">
        <x:f>MIN(E159,H159)</x:f>
        <x:v>6.6000000000000005</x:v>
      </x:c>
      <x:c r="J159" s="37" t="n">
        <x:f>IF(E159&gt;0,I159/E159,0)</x:f>
        <x:v>1</x:v>
      </x:c>
      <x:c r="K159" s="23" t="str">
        <x:f>IF(J159&gt;=1,"ADEQUATE","GAP")</x:f>
        <x:v>ADEQUATE</x:v>
      </x:c>
    </x:row>
    <x:row r="160">
      <x:c r="B160" s="21" t="str">
        <x:v>SR-0154</x:v>
      </x:c>
      <x:c r="C160" s="21" t="str">
        <x:v>F26</x:v>
      </x:c>
      <x:c r="D160" s="21" t="str">
        <x:v>M04</x:v>
      </x:c>
      <x:c r="E160" s="37" t="n">
        <x:f>'Family Register'!G32*Scenarios!D10</x:f>
        <x:v>9.600000000000001</x:v>
      </x:c>
      <x:c r="F160" s="37" t="n">
        <x:f>'Family Register'!I32</x:f>
        <x:v>1.6</x:v>
      </x:c>
      <x:c r="G160" s="37" t="n">
        <x:f>MIN(Scenarios!E10:L10)</x:f>
        <x:v>0.85</x:v>
      </x:c>
      <x:c r="H160" s="37" t="n">
        <x:f>'Family Register'!G32*F160*G160</x:f>
        <x:v>16.32</x:v>
      </x:c>
      <x:c r="I160" s="37" t="n">
        <x:f>MIN(E160,H160)</x:f>
        <x:v>9.600000000000001</x:v>
      </x:c>
      <x:c r="J160" s="37" t="n">
        <x:f>IF(E160&gt;0,I160/E160,0)</x:f>
        <x:v>1</x:v>
      </x:c>
      <x:c r="K160" s="23" t="str">
        <x:f>IF(J160&gt;=1,"ADEQUATE","GAP")</x:f>
        <x:v>ADEQUATE</x:v>
      </x:c>
    </x:row>
    <x:row r="161">
      <x:c r="B161" s="21" t="str">
        <x:v>SR-0155</x:v>
      </x:c>
      <x:c r="C161" s="21" t="str">
        <x:v>F26</x:v>
      </x:c>
      <x:c r="D161" s="21" t="str">
        <x:v>M05</x:v>
      </x:c>
      <x:c r="E161" s="37" t="n">
        <x:f>'Family Register'!G32*Scenarios!D11</x:f>
        <x:v>12</x:v>
      </x:c>
      <x:c r="F161" s="37" t="n">
        <x:f>'Family Register'!I32</x:f>
        <x:v>1.6</x:v>
      </x:c>
      <x:c r="G161" s="37" t="n">
        <x:f>MIN(Scenarios!E11:L11)</x:f>
        <x:v>0.65</x:v>
      </x:c>
      <x:c r="H161" s="37" t="n">
        <x:f>'Family Register'!G32*F161*G161</x:f>
        <x:v>12.480000000000002</x:v>
      </x:c>
      <x:c r="I161" s="37" t="n">
        <x:f>MIN(E161,H161)</x:f>
        <x:v>12</x:v>
      </x:c>
      <x:c r="J161" s="37" t="n">
        <x:f>IF(E161&gt;0,I161/E161,0)</x:f>
        <x:v>1</x:v>
      </x:c>
      <x:c r="K161" s="23" t="str">
        <x:f>IF(J161&gt;=1,"ADEQUATE","GAP")</x:f>
        <x:v>ADEQUATE</x:v>
      </x:c>
    </x:row>
    <x:row r="162">
      <x:c r="B162" s="21" t="str">
        <x:v>SR-0156</x:v>
      </x:c>
      <x:c r="C162" s="21" t="str">
        <x:v>F26</x:v>
      </x:c>
      <x:c r="D162" s="21" t="str">
        <x:v>M06</x:v>
      </x:c>
      <x:c r="E162" s="37" t="n">
        <x:f>'Family Register'!G32*Scenarios!D12</x:f>
        <x:v>15</x:v>
      </x:c>
      <x:c r="F162" s="37" t="n">
        <x:f>'Family Register'!I32</x:f>
        <x:v>1.6</x:v>
      </x:c>
      <x:c r="G162" s="37" t="n">
        <x:f>MIN(Scenarios!E12:L12)</x:f>
        <x:v>0.5</x:v>
      </x:c>
      <x:c r="H162" s="37" t="n">
        <x:f>'Family Register'!G32*F162*G162</x:f>
        <x:v>9.600000000000001</x:v>
      </x:c>
      <x:c r="I162" s="37" t="n">
        <x:f>MIN(E162,H162)</x:f>
        <x:v>9.600000000000001</x:v>
      </x:c>
      <x:c r="J162" s="37" t="n">
        <x:f>IF(E162&gt;0,I162/E162,0)</x:f>
        <x:v>0.6400000000000001</x:v>
      </x:c>
      <x:c r="K162" s="23" t="str">
        <x:f>IF(J162&gt;=1,"ADEQUATE","GAP")</x:f>
        <x:v>GAP</x:v>
      </x:c>
    </x:row>
    <x:row r="163">
      <x:c r="B163" s="21" t="str">
        <x:v>SR-0157</x:v>
      </x:c>
      <x:c r="C163" s="21" t="str">
        <x:v>F27</x:v>
      </x:c>
      <x:c r="D163" s="21" t="str">
        <x:v>M01</x:v>
      </x:c>
      <x:c r="E163" s="37" t="n">
        <x:f>'Family Register'!G33*Scenarios!D7</x:f>
        <x:v>0.2</x:v>
      </x:c>
      <x:c r="F163" s="37" t="n">
        <x:f>'Family Register'!I33</x:f>
        <x:v>1.3</x:v>
      </x:c>
      <x:c r="G163" s="37" t="n">
        <x:f>MIN(Scenarios!E7:L7)</x:f>
        <x:v>1</x:v>
      </x:c>
      <x:c r="H163" s="37" t="n">
        <x:f>'Family Register'!G33*F163*G163</x:f>
        <x:v>2.6</x:v>
      </x:c>
      <x:c r="I163" s="37" t="n">
        <x:f>MIN(E163,H163)</x:f>
        <x:v>0.2</x:v>
      </x:c>
      <x:c r="J163" s="37" t="n">
        <x:f>IF(E163&gt;0,I163/E163,0)</x:f>
        <x:v>1</x:v>
      </x:c>
      <x:c r="K163" s="23" t="str">
        <x:f>IF(J163&gt;=1,"ADEQUATE","GAP")</x:f>
        <x:v>ADEQUATE</x:v>
      </x:c>
    </x:row>
    <x:row r="164">
      <x:c r="B164" s="21" t="str">
        <x:v>SR-0158</x:v>
      </x:c>
      <x:c r="C164" s="21" t="str">
        <x:v>F27</x:v>
      </x:c>
      <x:c r="D164" s="21" t="str">
        <x:v>M02</x:v>
      </x:c>
      <x:c r="E164" s="37" t="n">
        <x:f>'Family Register'!G33*Scenarios!D8</x:f>
        <x:v>0.7</x:v>
      </x:c>
      <x:c r="F164" s="37" t="n">
        <x:f>'Family Register'!I33</x:f>
        <x:v>1.3</x:v>
      </x:c>
      <x:c r="G164" s="37" t="n">
        <x:f>MIN(Scenarios!E8:L8)</x:f>
        <x:v>0.95</x:v>
      </x:c>
      <x:c r="H164" s="37" t="n">
        <x:f>'Family Register'!G33*F164*G164</x:f>
        <x:v>2.4699999999999998</x:v>
      </x:c>
      <x:c r="I164" s="37" t="n">
        <x:f>MIN(E164,H164)</x:f>
        <x:v>0.7</x:v>
      </x:c>
      <x:c r="J164" s="37" t="n">
        <x:f>IF(E164&gt;0,I164/E164,0)</x:f>
        <x:v>1</x:v>
      </x:c>
      <x:c r="K164" s="23" t="str">
        <x:f>IF(J164&gt;=1,"ADEQUATE","GAP")</x:f>
        <x:v>ADEQUATE</x:v>
      </x:c>
    </x:row>
    <x:row r="165">
      <x:c r="B165" s="21" t="str">
        <x:v>SR-0159</x:v>
      </x:c>
      <x:c r="C165" s="21" t="str">
        <x:v>F27</x:v>
      </x:c>
      <x:c r="D165" s="21" t="str">
        <x:v>M03</x:v>
      </x:c>
      <x:c r="E165" s="37" t="n">
        <x:f>'Family Register'!G33*Scenarios!D9</x:f>
        <x:v>1.1</x:v>
      </x:c>
      <x:c r="F165" s="37" t="n">
        <x:f>'Family Register'!I33</x:f>
        <x:v>1.3</x:v>
      </x:c>
      <x:c r="G165" s="37" t="n">
        <x:f>MIN(Scenarios!E9:L9)</x:f>
        <x:v>0.9</x:v>
      </x:c>
      <x:c r="H165" s="37" t="n">
        <x:f>'Family Register'!G33*F165*G165</x:f>
        <x:v>2.3400000000000003</x:v>
      </x:c>
      <x:c r="I165" s="37" t="n">
        <x:f>MIN(E165,H165)</x:f>
        <x:v>1.1</x:v>
      </x:c>
      <x:c r="J165" s="37" t="n">
        <x:f>IF(E165&gt;0,I165/E165,0)</x:f>
        <x:v>1</x:v>
      </x:c>
      <x:c r="K165" s="23" t="str">
        <x:f>IF(J165&gt;=1,"ADEQUATE","GAP")</x:f>
        <x:v>ADEQUATE</x:v>
      </x:c>
    </x:row>
    <x:row r="166">
      <x:c r="B166" s="21" t="str">
        <x:v>SR-0160</x:v>
      </x:c>
      <x:c r="C166" s="21" t="str">
        <x:v>F27</x:v>
      </x:c>
      <x:c r="D166" s="21" t="str">
        <x:v>M04</x:v>
      </x:c>
      <x:c r="E166" s="37" t="n">
        <x:f>'Family Register'!G33*Scenarios!D10</x:f>
        <x:v>1.6</x:v>
      </x:c>
      <x:c r="F166" s="37" t="n">
        <x:f>'Family Register'!I33</x:f>
        <x:v>1.3</x:v>
      </x:c>
      <x:c r="G166" s="37" t="n">
        <x:f>MIN(Scenarios!E10:L10)</x:f>
        <x:v>0.85</x:v>
      </x:c>
      <x:c r="H166" s="37" t="n">
        <x:f>'Family Register'!G33*F166*G166</x:f>
        <x:v>2.21</x:v>
      </x:c>
      <x:c r="I166" s="37" t="n">
        <x:f>MIN(E166,H166)</x:f>
        <x:v>1.6</x:v>
      </x:c>
      <x:c r="J166" s="37" t="n">
        <x:f>IF(E166&gt;0,I166/E166,0)</x:f>
        <x:v>1</x:v>
      </x:c>
      <x:c r="K166" s="23" t="str">
        <x:f>IF(J166&gt;=1,"ADEQUATE","GAP")</x:f>
        <x:v>ADEQUATE</x:v>
      </x:c>
    </x:row>
    <x:row r="167">
      <x:c r="B167" s="21" t="str">
        <x:v>SR-0161</x:v>
      </x:c>
      <x:c r="C167" s="21" t="str">
        <x:v>F27</x:v>
      </x:c>
      <x:c r="D167" s="21" t="str">
        <x:v>M05</x:v>
      </x:c>
      <x:c r="E167" s="37" t="n">
        <x:f>'Family Register'!G33*Scenarios!D11</x:f>
        <x:v>2</x:v>
      </x:c>
      <x:c r="F167" s="37" t="n">
        <x:f>'Family Register'!I33</x:f>
        <x:v>1.3</x:v>
      </x:c>
      <x:c r="G167" s="37" t="n">
        <x:f>MIN(Scenarios!E11:L11)</x:f>
        <x:v>0.65</x:v>
      </x:c>
      <x:c r="H167" s="37" t="n">
        <x:f>'Family Register'!G33*F167*G167</x:f>
        <x:v>1.6900000000000002</x:v>
      </x:c>
      <x:c r="I167" s="37" t="n">
        <x:f>MIN(E167,H167)</x:f>
        <x:v>1.6900000000000002</x:v>
      </x:c>
      <x:c r="J167" s="37" t="n">
        <x:f>IF(E167&gt;0,I167/E167,0)</x:f>
        <x:v>0.8450000000000001</x:v>
      </x:c>
      <x:c r="K167" s="23" t="str">
        <x:f>IF(J167&gt;=1,"ADEQUATE","GAP")</x:f>
        <x:v>GAP</x:v>
      </x:c>
    </x:row>
    <x:row r="168">
      <x:c r="B168" s="21" t="str">
        <x:v>SR-0162</x:v>
      </x:c>
      <x:c r="C168" s="21" t="str">
        <x:v>F27</x:v>
      </x:c>
      <x:c r="D168" s="21" t="str">
        <x:v>M06</x:v>
      </x:c>
      <x:c r="E168" s="37" t="n">
        <x:f>'Family Register'!G33*Scenarios!D12</x:f>
        <x:v>2.5</x:v>
      </x:c>
      <x:c r="F168" s="37" t="n">
        <x:f>'Family Register'!I33</x:f>
        <x:v>1.3</x:v>
      </x:c>
      <x:c r="G168" s="37" t="n">
        <x:f>MIN(Scenarios!E12:L12)</x:f>
        <x:v>0.5</x:v>
      </x:c>
      <x:c r="H168" s="37" t="n">
        <x:f>'Family Register'!G33*F168*G168</x:f>
        <x:v>1.3</x:v>
      </x:c>
      <x:c r="I168" s="37" t="n">
        <x:f>MIN(E168,H168)</x:f>
        <x:v>1.3</x:v>
      </x:c>
      <x:c r="J168" s="37" t="n">
        <x:f>IF(E168&gt;0,I168/E168,0)</x:f>
        <x:v>0.52</x:v>
      </x:c>
      <x:c r="K168" s="23" t="str">
        <x:f>IF(J168&gt;=1,"ADEQUATE","GAP")</x:f>
        <x:v>GAP</x:v>
      </x:c>
    </x:row>
    <x:row r="169">
      <x:c r="B169" s="21" t="str">
        <x:v>SR-0163</x:v>
      </x:c>
      <x:c r="C169" s="21" t="str">
        <x:v>F28</x:v>
      </x:c>
      <x:c r="D169" s="21" t="str">
        <x:v>M01</x:v>
      </x:c>
      <x:c r="E169" s="37" t="n">
        <x:f>'Family Register'!G34*Scenarios!D7</x:f>
        <x:v>1.2000000000000002</x:v>
      </x:c>
      <x:c r="F169" s="37" t="n">
        <x:f>'Family Register'!I34</x:f>
        <x:v>1.6</x:v>
      </x:c>
      <x:c r="G169" s="37" t="n">
        <x:f>MIN(Scenarios!E7:L7)</x:f>
        <x:v>1</x:v>
      </x:c>
      <x:c r="H169" s="37" t="n">
        <x:f>'Family Register'!G34*F169*G169</x:f>
        <x:v>19.200000000000003</x:v>
      </x:c>
      <x:c r="I169" s="37" t="n">
        <x:f>MIN(E169,H169)</x:f>
        <x:v>1.2000000000000002</x:v>
      </x:c>
      <x:c r="J169" s="37" t="n">
        <x:f>IF(E169&gt;0,I169/E169,0)</x:f>
        <x:v>1</x:v>
      </x:c>
      <x:c r="K169" s="23" t="str">
        <x:f>IF(J169&gt;=1,"ADEQUATE","GAP")</x:f>
        <x:v>ADEQUATE</x:v>
      </x:c>
    </x:row>
    <x:row r="170">
      <x:c r="B170" s="21" t="str">
        <x:v>SR-0164</x:v>
      </x:c>
      <x:c r="C170" s="21" t="str">
        <x:v>F28</x:v>
      </x:c>
      <x:c r="D170" s="21" t="str">
        <x:v>M02</x:v>
      </x:c>
      <x:c r="E170" s="37" t="n">
        <x:f>'Family Register'!G34*Scenarios!D8</x:f>
        <x:v>4.199999999999999</x:v>
      </x:c>
      <x:c r="F170" s="37" t="n">
        <x:f>'Family Register'!I34</x:f>
        <x:v>1.6</x:v>
      </x:c>
      <x:c r="G170" s="37" t="n">
        <x:f>MIN(Scenarios!E8:L8)</x:f>
        <x:v>0.95</x:v>
      </x:c>
      <x:c r="H170" s="37" t="n">
        <x:f>'Family Register'!G34*F170*G170</x:f>
        <x:v>18.240000000000002</x:v>
      </x:c>
      <x:c r="I170" s="37" t="n">
        <x:f>MIN(E170,H170)</x:f>
        <x:v>4.199999999999999</x:v>
      </x:c>
      <x:c r="J170" s="37" t="n">
        <x:f>IF(E170&gt;0,I170/E170,0)</x:f>
        <x:v>1</x:v>
      </x:c>
      <x:c r="K170" s="23" t="str">
        <x:f>IF(J170&gt;=1,"ADEQUATE","GAP")</x:f>
        <x:v>ADEQUATE</x:v>
      </x:c>
    </x:row>
    <x:row r="171">
      <x:c r="B171" s="21" t="str">
        <x:v>SR-0165</x:v>
      </x:c>
      <x:c r="C171" s="21" t="str">
        <x:v>F28</x:v>
      </x:c>
      <x:c r="D171" s="21" t="str">
        <x:v>M03</x:v>
      </x:c>
      <x:c r="E171" s="37" t="n">
        <x:f>'Family Register'!G34*Scenarios!D9</x:f>
        <x:v>6.6000000000000005</x:v>
      </x:c>
      <x:c r="F171" s="37" t="n">
        <x:f>'Family Register'!I34</x:f>
        <x:v>1.6</x:v>
      </x:c>
      <x:c r="G171" s="37" t="n">
        <x:f>MIN(Scenarios!E9:L9)</x:f>
        <x:v>0.9</x:v>
      </x:c>
      <x:c r="H171" s="37" t="n">
        <x:f>'Family Register'!G34*F171*G171</x:f>
        <x:v>17.280000000000005</x:v>
      </x:c>
      <x:c r="I171" s="37" t="n">
        <x:f>MIN(E171,H171)</x:f>
        <x:v>6.6000000000000005</x:v>
      </x:c>
      <x:c r="J171" s="37" t="n">
        <x:f>IF(E171&gt;0,I171/E171,0)</x:f>
        <x:v>1</x:v>
      </x:c>
      <x:c r="K171" s="23" t="str">
        <x:f>IF(J171&gt;=1,"ADEQUATE","GAP")</x:f>
        <x:v>ADEQUATE</x:v>
      </x:c>
    </x:row>
    <x:row r="172">
      <x:c r="B172" s="21" t="str">
        <x:v>SR-0166</x:v>
      </x:c>
      <x:c r="C172" s="21" t="str">
        <x:v>F28</x:v>
      </x:c>
      <x:c r="D172" s="21" t="str">
        <x:v>M04</x:v>
      </x:c>
      <x:c r="E172" s="37" t="n">
        <x:f>'Family Register'!G34*Scenarios!D10</x:f>
        <x:v>9.600000000000001</x:v>
      </x:c>
      <x:c r="F172" s="37" t="n">
        <x:f>'Family Register'!I34</x:f>
        <x:v>1.6</x:v>
      </x:c>
      <x:c r="G172" s="37" t="n">
        <x:f>MIN(Scenarios!E10:L10)</x:f>
        <x:v>0.85</x:v>
      </x:c>
      <x:c r="H172" s="37" t="n">
        <x:f>'Family Register'!G34*F172*G172</x:f>
        <x:v>16.32</x:v>
      </x:c>
      <x:c r="I172" s="37" t="n">
        <x:f>MIN(E172,H172)</x:f>
        <x:v>9.600000000000001</x:v>
      </x:c>
      <x:c r="J172" s="37" t="n">
        <x:f>IF(E172&gt;0,I172/E172,0)</x:f>
        <x:v>1</x:v>
      </x:c>
      <x:c r="K172" s="23" t="str">
        <x:f>IF(J172&gt;=1,"ADEQUATE","GAP")</x:f>
        <x:v>ADEQUATE</x:v>
      </x:c>
    </x:row>
    <x:row r="173">
      <x:c r="B173" s="21" t="str">
        <x:v>SR-0167</x:v>
      </x:c>
      <x:c r="C173" s="21" t="str">
        <x:v>F28</x:v>
      </x:c>
      <x:c r="D173" s="21" t="str">
        <x:v>M05</x:v>
      </x:c>
      <x:c r="E173" s="37" t="n">
        <x:f>'Family Register'!G34*Scenarios!D11</x:f>
        <x:v>12</x:v>
      </x:c>
      <x:c r="F173" s="37" t="n">
        <x:f>'Family Register'!I34</x:f>
        <x:v>1.6</x:v>
      </x:c>
      <x:c r="G173" s="37" t="n">
        <x:f>MIN(Scenarios!E11:L11)</x:f>
        <x:v>0.65</x:v>
      </x:c>
      <x:c r="H173" s="37" t="n">
        <x:f>'Family Register'!G34*F173*G173</x:f>
        <x:v>12.480000000000002</x:v>
      </x:c>
      <x:c r="I173" s="37" t="n">
        <x:f>MIN(E173,H173)</x:f>
        <x:v>12</x:v>
      </x:c>
      <x:c r="J173" s="37" t="n">
        <x:f>IF(E173&gt;0,I173/E173,0)</x:f>
        <x:v>1</x:v>
      </x:c>
      <x:c r="K173" s="23" t="str">
        <x:f>IF(J173&gt;=1,"ADEQUATE","GAP")</x:f>
        <x:v>ADEQUATE</x:v>
      </x:c>
    </x:row>
    <x:row r="174">
      <x:c r="B174" s="21" t="str">
        <x:v>SR-0168</x:v>
      </x:c>
      <x:c r="C174" s="21" t="str">
        <x:v>F28</x:v>
      </x:c>
      <x:c r="D174" s="21" t="str">
        <x:v>M06</x:v>
      </x:c>
      <x:c r="E174" s="37" t="n">
        <x:f>'Family Register'!G34*Scenarios!D12</x:f>
        <x:v>15</x:v>
      </x:c>
      <x:c r="F174" s="37" t="n">
        <x:f>'Family Register'!I34</x:f>
        <x:v>1.6</x:v>
      </x:c>
      <x:c r="G174" s="37" t="n">
        <x:f>MIN(Scenarios!E12:L12)</x:f>
        <x:v>0.5</x:v>
      </x:c>
      <x:c r="H174" s="37" t="n">
        <x:f>'Family Register'!G34*F174*G174</x:f>
        <x:v>9.600000000000001</x:v>
      </x:c>
      <x:c r="I174" s="37" t="n">
        <x:f>MIN(E174,H174)</x:f>
        <x:v>9.600000000000001</x:v>
      </x:c>
      <x:c r="J174" s="37" t="n">
        <x:f>IF(E174&gt;0,I174/E174,0)</x:f>
        <x:v>0.6400000000000001</x:v>
      </x:c>
      <x:c r="K174" s="23" t="str">
        <x:f>IF(J174&gt;=1,"ADEQUATE","GAP")</x:f>
        <x:v>GAP</x:v>
      </x:c>
    </x:row>
    <x:row r="175">
      <x:c r="B175" s="21" t="str">
        <x:v>SR-0169</x:v>
      </x:c>
      <x:c r="C175" s="21" t="str">
        <x:v>F29</x:v>
      </x:c>
      <x:c r="D175" s="21" t="str">
        <x:v>M01</x:v>
      </x:c>
      <x:c r="E175" s="37" t="n">
        <x:f>'Family Register'!G35*Scenarios!D7</x:f>
        <x:v>0.2</x:v>
      </x:c>
      <x:c r="F175" s="37" t="n">
        <x:f>'Family Register'!I35</x:f>
        <x:v>1.3</x:v>
      </x:c>
      <x:c r="G175" s="37" t="n">
        <x:f>MIN(Scenarios!E7:L7)</x:f>
        <x:v>1</x:v>
      </x:c>
      <x:c r="H175" s="37" t="n">
        <x:f>'Family Register'!G35*F175*G175</x:f>
        <x:v>2.6</x:v>
      </x:c>
      <x:c r="I175" s="37" t="n">
        <x:f>MIN(E175,H175)</x:f>
        <x:v>0.2</x:v>
      </x:c>
      <x:c r="J175" s="37" t="n">
        <x:f>IF(E175&gt;0,I175/E175,0)</x:f>
        <x:v>1</x:v>
      </x:c>
      <x:c r="K175" s="23" t="str">
        <x:f>IF(J175&gt;=1,"ADEQUATE","GAP")</x:f>
        <x:v>ADEQUATE</x:v>
      </x:c>
    </x:row>
    <x:row r="176">
      <x:c r="B176" s="21" t="str">
        <x:v>SR-0170</x:v>
      </x:c>
      <x:c r="C176" s="21" t="str">
        <x:v>F29</x:v>
      </x:c>
      <x:c r="D176" s="21" t="str">
        <x:v>M02</x:v>
      </x:c>
      <x:c r="E176" s="37" t="n">
        <x:f>'Family Register'!G35*Scenarios!D8</x:f>
        <x:v>0.7</x:v>
      </x:c>
      <x:c r="F176" s="37" t="n">
        <x:f>'Family Register'!I35</x:f>
        <x:v>1.3</x:v>
      </x:c>
      <x:c r="G176" s="37" t="n">
        <x:f>MIN(Scenarios!E8:L8)</x:f>
        <x:v>0.95</x:v>
      </x:c>
      <x:c r="H176" s="37" t="n">
        <x:f>'Family Register'!G35*F176*G176</x:f>
        <x:v>2.4699999999999998</x:v>
      </x:c>
      <x:c r="I176" s="37" t="n">
        <x:f>MIN(E176,H176)</x:f>
        <x:v>0.7</x:v>
      </x:c>
      <x:c r="J176" s="37" t="n">
        <x:f>IF(E176&gt;0,I176/E176,0)</x:f>
        <x:v>1</x:v>
      </x:c>
      <x:c r="K176" s="23" t="str">
        <x:f>IF(J176&gt;=1,"ADEQUATE","GAP")</x:f>
        <x:v>ADEQUATE</x:v>
      </x:c>
    </x:row>
    <x:row r="177">
      <x:c r="B177" s="21" t="str">
        <x:v>SR-0171</x:v>
      </x:c>
      <x:c r="C177" s="21" t="str">
        <x:v>F29</x:v>
      </x:c>
      <x:c r="D177" s="21" t="str">
        <x:v>M03</x:v>
      </x:c>
      <x:c r="E177" s="37" t="n">
        <x:f>'Family Register'!G35*Scenarios!D9</x:f>
        <x:v>1.1</x:v>
      </x:c>
      <x:c r="F177" s="37" t="n">
        <x:f>'Family Register'!I35</x:f>
        <x:v>1.3</x:v>
      </x:c>
      <x:c r="G177" s="37" t="n">
        <x:f>MIN(Scenarios!E9:L9)</x:f>
        <x:v>0.9</x:v>
      </x:c>
      <x:c r="H177" s="37" t="n">
        <x:f>'Family Register'!G35*F177*G177</x:f>
        <x:v>2.3400000000000003</x:v>
      </x:c>
      <x:c r="I177" s="37" t="n">
        <x:f>MIN(E177,H177)</x:f>
        <x:v>1.1</x:v>
      </x:c>
      <x:c r="J177" s="37" t="n">
        <x:f>IF(E177&gt;0,I177/E177,0)</x:f>
        <x:v>1</x:v>
      </x:c>
      <x:c r="K177" s="23" t="str">
        <x:f>IF(J177&gt;=1,"ADEQUATE","GAP")</x:f>
        <x:v>ADEQUATE</x:v>
      </x:c>
    </x:row>
    <x:row r="178">
      <x:c r="B178" s="21" t="str">
        <x:v>SR-0172</x:v>
      </x:c>
      <x:c r="C178" s="21" t="str">
        <x:v>F29</x:v>
      </x:c>
      <x:c r="D178" s="21" t="str">
        <x:v>M04</x:v>
      </x:c>
      <x:c r="E178" s="37" t="n">
        <x:f>'Family Register'!G35*Scenarios!D10</x:f>
        <x:v>1.6</x:v>
      </x:c>
      <x:c r="F178" s="37" t="n">
        <x:f>'Family Register'!I35</x:f>
        <x:v>1.3</x:v>
      </x:c>
      <x:c r="G178" s="37" t="n">
        <x:f>MIN(Scenarios!E10:L10)</x:f>
        <x:v>0.85</x:v>
      </x:c>
      <x:c r="H178" s="37" t="n">
        <x:f>'Family Register'!G35*F178*G178</x:f>
        <x:v>2.21</x:v>
      </x:c>
      <x:c r="I178" s="37" t="n">
        <x:f>MIN(E178,H178)</x:f>
        <x:v>1.6</x:v>
      </x:c>
      <x:c r="J178" s="37" t="n">
        <x:f>IF(E178&gt;0,I178/E178,0)</x:f>
        <x:v>1</x:v>
      </x:c>
      <x:c r="K178" s="23" t="str">
        <x:f>IF(J178&gt;=1,"ADEQUATE","GAP")</x:f>
        <x:v>ADEQUATE</x:v>
      </x:c>
    </x:row>
    <x:row r="179">
      <x:c r="B179" s="21" t="str">
        <x:v>SR-0173</x:v>
      </x:c>
      <x:c r="C179" s="21" t="str">
        <x:v>F29</x:v>
      </x:c>
      <x:c r="D179" s="21" t="str">
        <x:v>M05</x:v>
      </x:c>
      <x:c r="E179" s="37" t="n">
        <x:f>'Family Register'!G35*Scenarios!D11</x:f>
        <x:v>2</x:v>
      </x:c>
      <x:c r="F179" s="37" t="n">
        <x:f>'Family Register'!I35</x:f>
        <x:v>1.3</x:v>
      </x:c>
      <x:c r="G179" s="37" t="n">
        <x:f>MIN(Scenarios!E11:L11)</x:f>
        <x:v>0.65</x:v>
      </x:c>
      <x:c r="H179" s="37" t="n">
        <x:f>'Family Register'!G35*F179*G179</x:f>
        <x:v>1.6900000000000002</x:v>
      </x:c>
      <x:c r="I179" s="37" t="n">
        <x:f>MIN(E179,H179)</x:f>
        <x:v>1.6900000000000002</x:v>
      </x:c>
      <x:c r="J179" s="37" t="n">
        <x:f>IF(E179&gt;0,I179/E179,0)</x:f>
        <x:v>0.8450000000000001</x:v>
      </x:c>
      <x:c r="K179" s="23" t="str">
        <x:f>IF(J179&gt;=1,"ADEQUATE","GAP")</x:f>
        <x:v>GAP</x:v>
      </x:c>
    </x:row>
    <x:row r="180">
      <x:c r="B180" s="21" t="str">
        <x:v>SR-0174</x:v>
      </x:c>
      <x:c r="C180" s="21" t="str">
        <x:v>F29</x:v>
      </x:c>
      <x:c r="D180" s="21" t="str">
        <x:v>M06</x:v>
      </x:c>
      <x:c r="E180" s="37" t="n">
        <x:f>'Family Register'!G35*Scenarios!D12</x:f>
        <x:v>2.5</x:v>
      </x:c>
      <x:c r="F180" s="37" t="n">
        <x:f>'Family Register'!I35</x:f>
        <x:v>1.3</x:v>
      </x:c>
      <x:c r="G180" s="37" t="n">
        <x:f>MIN(Scenarios!E12:L12)</x:f>
        <x:v>0.5</x:v>
      </x:c>
      <x:c r="H180" s="37" t="n">
        <x:f>'Family Register'!G35*F180*G180</x:f>
        <x:v>1.3</x:v>
      </x:c>
      <x:c r="I180" s="37" t="n">
        <x:f>MIN(E180,H180)</x:f>
        <x:v>1.3</x:v>
      </x:c>
      <x:c r="J180" s="37" t="n">
        <x:f>IF(E180&gt;0,I180/E180,0)</x:f>
        <x:v>0.52</x:v>
      </x:c>
      <x:c r="K180" s="23" t="str">
        <x:f>IF(J180&gt;=1,"ADEQUATE","GAP")</x:f>
        <x:v>GAP</x:v>
      </x:c>
    </x:row>
    <x:row r="181">
      <x:c r="B181" s="21" t="str">
        <x:v>SR-0175</x:v>
      </x:c>
      <x:c r="C181" s="21" t="str">
        <x:v>F30</x:v>
      </x:c>
      <x:c r="D181" s="21" t="str">
        <x:v>M01</x:v>
      </x:c>
      <x:c r="E181" s="37" t="n">
        <x:f>'Family Register'!G36*Scenarios!D7</x:f>
        <x:v>0.2</x:v>
      </x:c>
      <x:c r="F181" s="37" t="n">
        <x:f>'Family Register'!I36</x:f>
        <x:v>1.3</x:v>
      </x:c>
      <x:c r="G181" s="37" t="n">
        <x:f>MIN(Scenarios!E7:L7)</x:f>
        <x:v>1</x:v>
      </x:c>
      <x:c r="H181" s="37" t="n">
        <x:f>'Family Register'!G36*F181*G181</x:f>
        <x:v>2.6</x:v>
      </x:c>
      <x:c r="I181" s="37" t="n">
        <x:f>MIN(E181,H181)</x:f>
        <x:v>0.2</x:v>
      </x:c>
      <x:c r="J181" s="37" t="n">
        <x:f>IF(E181&gt;0,I181/E181,0)</x:f>
        <x:v>1</x:v>
      </x:c>
      <x:c r="K181" s="23" t="str">
        <x:f>IF(J181&gt;=1,"ADEQUATE","GAP")</x:f>
        <x:v>ADEQUATE</x:v>
      </x:c>
    </x:row>
    <x:row r="182">
      <x:c r="B182" s="21" t="str">
        <x:v>SR-0176</x:v>
      </x:c>
      <x:c r="C182" s="21" t="str">
        <x:v>F30</x:v>
      </x:c>
      <x:c r="D182" s="21" t="str">
        <x:v>M02</x:v>
      </x:c>
      <x:c r="E182" s="37" t="n">
        <x:f>'Family Register'!G36*Scenarios!D8</x:f>
        <x:v>0.7</x:v>
      </x:c>
      <x:c r="F182" s="37" t="n">
        <x:f>'Family Register'!I36</x:f>
        <x:v>1.3</x:v>
      </x:c>
      <x:c r="G182" s="37" t="n">
        <x:f>MIN(Scenarios!E8:L8)</x:f>
        <x:v>0.95</x:v>
      </x:c>
      <x:c r="H182" s="37" t="n">
        <x:f>'Family Register'!G36*F182*G182</x:f>
        <x:v>2.4699999999999998</x:v>
      </x:c>
      <x:c r="I182" s="37" t="n">
        <x:f>MIN(E182,H182)</x:f>
        <x:v>0.7</x:v>
      </x:c>
      <x:c r="J182" s="37" t="n">
        <x:f>IF(E182&gt;0,I182/E182,0)</x:f>
        <x:v>1</x:v>
      </x:c>
      <x:c r="K182" s="23" t="str">
        <x:f>IF(J182&gt;=1,"ADEQUATE","GAP")</x:f>
        <x:v>ADEQUATE</x:v>
      </x:c>
    </x:row>
    <x:row r="183">
      <x:c r="B183" s="21" t="str">
        <x:v>SR-0177</x:v>
      </x:c>
      <x:c r="C183" s="21" t="str">
        <x:v>F30</x:v>
      </x:c>
      <x:c r="D183" s="21" t="str">
        <x:v>M03</x:v>
      </x:c>
      <x:c r="E183" s="37" t="n">
        <x:f>'Family Register'!G36*Scenarios!D9</x:f>
        <x:v>1.1</x:v>
      </x:c>
      <x:c r="F183" s="37" t="n">
        <x:f>'Family Register'!I36</x:f>
        <x:v>1.3</x:v>
      </x:c>
      <x:c r="G183" s="37" t="n">
        <x:f>MIN(Scenarios!E9:L9)</x:f>
        <x:v>0.9</x:v>
      </x:c>
      <x:c r="H183" s="37" t="n">
        <x:f>'Family Register'!G36*F183*G183</x:f>
        <x:v>2.3400000000000003</x:v>
      </x:c>
      <x:c r="I183" s="37" t="n">
        <x:f>MIN(E183,H183)</x:f>
        <x:v>1.1</x:v>
      </x:c>
      <x:c r="J183" s="37" t="n">
        <x:f>IF(E183&gt;0,I183/E183,0)</x:f>
        <x:v>1</x:v>
      </x:c>
      <x:c r="K183" s="23" t="str">
        <x:f>IF(J183&gt;=1,"ADEQUATE","GAP")</x:f>
        <x:v>ADEQUATE</x:v>
      </x:c>
    </x:row>
    <x:row r="184">
      <x:c r="B184" s="21" t="str">
        <x:v>SR-0178</x:v>
      </x:c>
      <x:c r="C184" s="21" t="str">
        <x:v>F30</x:v>
      </x:c>
      <x:c r="D184" s="21" t="str">
        <x:v>M04</x:v>
      </x:c>
      <x:c r="E184" s="37" t="n">
        <x:f>'Family Register'!G36*Scenarios!D10</x:f>
        <x:v>1.6</x:v>
      </x:c>
      <x:c r="F184" s="37" t="n">
        <x:f>'Family Register'!I36</x:f>
        <x:v>1.3</x:v>
      </x:c>
      <x:c r="G184" s="37" t="n">
        <x:f>MIN(Scenarios!E10:L10)</x:f>
        <x:v>0.85</x:v>
      </x:c>
      <x:c r="H184" s="37" t="n">
        <x:f>'Family Register'!G36*F184*G184</x:f>
        <x:v>2.21</x:v>
      </x:c>
      <x:c r="I184" s="37" t="n">
        <x:f>MIN(E184,H184)</x:f>
        <x:v>1.6</x:v>
      </x:c>
      <x:c r="J184" s="37" t="n">
        <x:f>IF(E184&gt;0,I184/E184,0)</x:f>
        <x:v>1</x:v>
      </x:c>
      <x:c r="K184" s="23" t="str">
        <x:f>IF(J184&gt;=1,"ADEQUATE","GAP")</x:f>
        <x:v>ADEQUATE</x:v>
      </x:c>
    </x:row>
    <x:row r="185">
      <x:c r="B185" s="21" t="str">
        <x:v>SR-0179</x:v>
      </x:c>
      <x:c r="C185" s="21" t="str">
        <x:v>F30</x:v>
      </x:c>
      <x:c r="D185" s="21" t="str">
        <x:v>M05</x:v>
      </x:c>
      <x:c r="E185" s="37" t="n">
        <x:f>'Family Register'!G36*Scenarios!D11</x:f>
        <x:v>2</x:v>
      </x:c>
      <x:c r="F185" s="37" t="n">
        <x:f>'Family Register'!I36</x:f>
        <x:v>1.3</x:v>
      </x:c>
      <x:c r="G185" s="37" t="n">
        <x:f>MIN(Scenarios!E11:L11)</x:f>
        <x:v>0.65</x:v>
      </x:c>
      <x:c r="H185" s="37" t="n">
        <x:f>'Family Register'!G36*F185*G185</x:f>
        <x:v>1.6900000000000002</x:v>
      </x:c>
      <x:c r="I185" s="37" t="n">
        <x:f>MIN(E185,H185)</x:f>
        <x:v>1.6900000000000002</x:v>
      </x:c>
      <x:c r="J185" s="37" t="n">
        <x:f>IF(E185&gt;0,I185/E185,0)</x:f>
        <x:v>0.8450000000000001</x:v>
      </x:c>
      <x:c r="K185" s="23" t="str">
        <x:f>IF(J185&gt;=1,"ADEQUATE","GAP")</x:f>
        <x:v>GAP</x:v>
      </x:c>
    </x:row>
    <x:row r="186">
      <x:c r="B186" s="21" t="str">
        <x:v>SR-0180</x:v>
      </x:c>
      <x:c r="C186" s="21" t="str">
        <x:v>F30</x:v>
      </x:c>
      <x:c r="D186" s="21" t="str">
        <x:v>M06</x:v>
      </x:c>
      <x:c r="E186" s="37" t="n">
        <x:f>'Family Register'!G36*Scenarios!D12</x:f>
        <x:v>2.5</x:v>
      </x:c>
      <x:c r="F186" s="37" t="n">
        <x:f>'Family Register'!I36</x:f>
        <x:v>1.3</x:v>
      </x:c>
      <x:c r="G186" s="37" t="n">
        <x:f>MIN(Scenarios!E12:L12)</x:f>
        <x:v>0.5</x:v>
      </x:c>
      <x:c r="H186" s="37" t="n">
        <x:f>'Family Register'!G36*F186*G186</x:f>
        <x:v>1.3</x:v>
      </x:c>
      <x:c r="I186" s="37" t="n">
        <x:f>MIN(E186,H186)</x:f>
        <x:v>1.3</x:v>
      </x:c>
      <x:c r="J186" s="37" t="n">
        <x:f>IF(E186&gt;0,I186/E186,0)</x:f>
        <x:v>0.52</x:v>
      </x:c>
      <x:c r="K186" s="23" t="str">
        <x:f>IF(J186&gt;=1,"ADEQUATE","GAP")</x:f>
        <x:v>GAP</x:v>
      </x:c>
    </x:row>
    <x:row r="187">
      <x:c r="B187" s="21" t="str">
        <x:v>SR-0181</x:v>
      </x:c>
      <x:c r="C187" s="21" t="str">
        <x:v>F31</x:v>
      </x:c>
      <x:c r="D187" s="21" t="str">
        <x:v>M01</x:v>
      </x:c>
      <x:c r="E187" s="37" t="n">
        <x:f>'Family Register'!G37*Scenarios!D7</x:f>
        <x:v>1.2000000000000002</x:v>
      </x:c>
      <x:c r="F187" s="37" t="n">
        <x:f>'Family Register'!I37</x:f>
        <x:v>1.45</x:v>
      </x:c>
      <x:c r="G187" s="37" t="n">
        <x:f>MIN(Scenarios!E7:L7)</x:f>
        <x:v>1</x:v>
      </x:c>
      <x:c r="H187" s="37" t="n">
        <x:f>'Family Register'!G37*F187*G187</x:f>
        <x:v>17.4</x:v>
      </x:c>
      <x:c r="I187" s="37" t="n">
        <x:f>MIN(E187,H187)</x:f>
        <x:v>1.2000000000000002</x:v>
      </x:c>
      <x:c r="J187" s="37" t="n">
        <x:f>IF(E187&gt;0,I187/E187,0)</x:f>
        <x:v>1</x:v>
      </x:c>
      <x:c r="K187" s="23" t="str">
        <x:f>IF(J187&gt;=1,"ADEQUATE","GAP")</x:f>
        <x:v>ADEQUATE</x:v>
      </x:c>
    </x:row>
    <x:row r="188">
      <x:c r="B188" s="21" t="str">
        <x:v>SR-0182</x:v>
      </x:c>
      <x:c r="C188" s="21" t="str">
        <x:v>F31</x:v>
      </x:c>
      <x:c r="D188" s="21" t="str">
        <x:v>M02</x:v>
      </x:c>
      <x:c r="E188" s="37" t="n">
        <x:f>'Family Register'!G37*Scenarios!D8</x:f>
        <x:v>4.199999999999999</x:v>
      </x:c>
      <x:c r="F188" s="37" t="n">
        <x:f>'Family Register'!I37</x:f>
        <x:v>1.45</x:v>
      </x:c>
      <x:c r="G188" s="37" t="n">
        <x:f>MIN(Scenarios!E8:L8)</x:f>
        <x:v>0.95</x:v>
      </x:c>
      <x:c r="H188" s="37" t="n">
        <x:f>'Family Register'!G37*F188*G188</x:f>
        <x:v>16.529999999999998</x:v>
      </x:c>
      <x:c r="I188" s="37" t="n">
        <x:f>MIN(E188,H188)</x:f>
        <x:v>4.199999999999999</x:v>
      </x:c>
      <x:c r="J188" s="37" t="n">
        <x:f>IF(E188&gt;0,I188/E188,0)</x:f>
        <x:v>1</x:v>
      </x:c>
      <x:c r="K188" s="23" t="str">
        <x:f>IF(J188&gt;=1,"ADEQUATE","GAP")</x:f>
        <x:v>ADEQUATE</x:v>
      </x:c>
    </x:row>
    <x:row r="189">
      <x:c r="B189" s="21" t="str">
        <x:v>SR-0183</x:v>
      </x:c>
      <x:c r="C189" s="21" t="str">
        <x:v>F31</x:v>
      </x:c>
      <x:c r="D189" s="21" t="str">
        <x:v>M03</x:v>
      </x:c>
      <x:c r="E189" s="37" t="n">
        <x:f>'Family Register'!G37*Scenarios!D9</x:f>
        <x:v>6.6000000000000005</x:v>
      </x:c>
      <x:c r="F189" s="37" t="n">
        <x:f>'Family Register'!I37</x:f>
        <x:v>1.45</x:v>
      </x:c>
      <x:c r="G189" s="37" t="n">
        <x:f>MIN(Scenarios!E9:L9)</x:f>
        <x:v>0.9</x:v>
      </x:c>
      <x:c r="H189" s="37" t="n">
        <x:f>'Family Register'!G37*F189*G189</x:f>
        <x:v>15.659999999999998</x:v>
      </x:c>
      <x:c r="I189" s="37" t="n">
        <x:f>MIN(E189,H189)</x:f>
        <x:v>6.6000000000000005</x:v>
      </x:c>
      <x:c r="J189" s="37" t="n">
        <x:f>IF(E189&gt;0,I189/E189,0)</x:f>
        <x:v>1</x:v>
      </x:c>
      <x:c r="K189" s="23" t="str">
        <x:f>IF(J189&gt;=1,"ADEQUATE","GAP")</x:f>
        <x:v>ADEQUATE</x:v>
      </x:c>
    </x:row>
    <x:row r="190">
      <x:c r="B190" s="21" t="str">
        <x:v>SR-0184</x:v>
      </x:c>
      <x:c r="C190" s="21" t="str">
        <x:v>F31</x:v>
      </x:c>
      <x:c r="D190" s="21" t="str">
        <x:v>M04</x:v>
      </x:c>
      <x:c r="E190" s="37" t="n">
        <x:f>'Family Register'!G37*Scenarios!D10</x:f>
        <x:v>9.600000000000001</x:v>
      </x:c>
      <x:c r="F190" s="37" t="n">
        <x:f>'Family Register'!I37</x:f>
        <x:v>1.45</x:v>
      </x:c>
      <x:c r="G190" s="37" t="n">
        <x:f>MIN(Scenarios!E10:L10)</x:f>
        <x:v>0.85</x:v>
      </x:c>
      <x:c r="H190" s="37" t="n">
        <x:f>'Family Register'!G37*F190*G190</x:f>
        <x:v>14.79</x:v>
      </x:c>
      <x:c r="I190" s="37" t="n">
        <x:f>MIN(E190,H190)</x:f>
        <x:v>9.600000000000001</x:v>
      </x:c>
      <x:c r="J190" s="37" t="n">
        <x:f>IF(E190&gt;0,I190/E190,0)</x:f>
        <x:v>1</x:v>
      </x:c>
      <x:c r="K190" s="23" t="str">
        <x:f>IF(J190&gt;=1,"ADEQUATE","GAP")</x:f>
        <x:v>ADEQUATE</x:v>
      </x:c>
    </x:row>
    <x:row r="191">
      <x:c r="B191" s="21" t="str">
        <x:v>SR-0185</x:v>
      </x:c>
      <x:c r="C191" s="21" t="str">
        <x:v>F31</x:v>
      </x:c>
      <x:c r="D191" s="21" t="str">
        <x:v>M05</x:v>
      </x:c>
      <x:c r="E191" s="37" t="n">
        <x:f>'Family Register'!G37*Scenarios!D11</x:f>
        <x:v>12</x:v>
      </x:c>
      <x:c r="F191" s="37" t="n">
        <x:f>'Family Register'!I37</x:f>
        <x:v>1.45</x:v>
      </x:c>
      <x:c r="G191" s="37" t="n">
        <x:f>MIN(Scenarios!E11:L11)</x:f>
        <x:v>0.65</x:v>
      </x:c>
      <x:c r="H191" s="37" t="n">
        <x:f>'Family Register'!G37*F191*G191</x:f>
        <x:v>11.309999999999999</x:v>
      </x:c>
      <x:c r="I191" s="37" t="n">
        <x:f>MIN(E191,H191)</x:f>
        <x:v>11.309999999999999</x:v>
      </x:c>
      <x:c r="J191" s="37" t="n">
        <x:f>IF(E191&gt;0,I191/E191,0)</x:f>
        <x:v>0.9424999999999999</x:v>
      </x:c>
      <x:c r="K191" s="23" t="str">
        <x:f>IF(J191&gt;=1,"ADEQUATE","GAP")</x:f>
        <x:v>GAP</x:v>
      </x:c>
    </x:row>
    <x:row r="192">
      <x:c r="B192" s="21" t="str">
        <x:v>SR-0186</x:v>
      </x:c>
      <x:c r="C192" s="21" t="str">
        <x:v>F31</x:v>
      </x:c>
      <x:c r="D192" s="21" t="str">
        <x:v>M06</x:v>
      </x:c>
      <x:c r="E192" s="37" t="n">
        <x:f>'Family Register'!G37*Scenarios!D12</x:f>
        <x:v>15</x:v>
      </x:c>
      <x:c r="F192" s="37" t="n">
        <x:f>'Family Register'!I37</x:f>
        <x:v>1.45</x:v>
      </x:c>
      <x:c r="G192" s="37" t="n">
        <x:f>MIN(Scenarios!E12:L12)</x:f>
        <x:v>0.5</x:v>
      </x:c>
      <x:c r="H192" s="37" t="n">
        <x:f>'Family Register'!G37*F192*G192</x:f>
        <x:v>8.7</x:v>
      </x:c>
      <x:c r="I192" s="37" t="n">
        <x:f>MIN(E192,H192)</x:f>
        <x:v>8.7</x:v>
      </x:c>
      <x:c r="J192" s="37" t="n">
        <x:f>IF(E192&gt;0,I192/E192,0)</x:f>
        <x:v>0.58</x:v>
      </x:c>
      <x:c r="K192" s="23" t="str">
        <x:f>IF(J192&gt;=1,"ADEQUATE","GAP")</x:f>
        <x:v>GAP</x:v>
      </x:c>
    </x:row>
    <x:row r="193">
      <x:c r="B193" s="21" t="str">
        <x:v>SR-0187</x:v>
      </x:c>
      <x:c r="C193" s="21" t="str">
        <x:v>F32</x:v>
      </x:c>
      <x:c r="D193" s="21" t="str">
        <x:v>M01</x:v>
      </x:c>
      <x:c r="E193" s="37" t="n">
        <x:f>'Family Register'!G38*Scenarios!D7</x:f>
        <x:v>0.8</x:v>
      </x:c>
      <x:c r="F193" s="37" t="n">
        <x:f>'Family Register'!I38</x:f>
        <x:v>1.3</x:v>
      </x:c>
      <x:c r="G193" s="37" t="n">
        <x:f>MIN(Scenarios!E7:L7)</x:f>
        <x:v>1</x:v>
      </x:c>
      <x:c r="H193" s="37" t="n">
        <x:f>'Family Register'!G38*F193*G193</x:f>
        <x:v>10.4</x:v>
      </x:c>
      <x:c r="I193" s="37" t="n">
        <x:f>MIN(E193,H193)</x:f>
        <x:v>0.8</x:v>
      </x:c>
      <x:c r="J193" s="37" t="n">
        <x:f>IF(E193&gt;0,I193/E193,0)</x:f>
        <x:v>1</x:v>
      </x:c>
      <x:c r="K193" s="23" t="str">
        <x:f>IF(J193&gt;=1,"ADEQUATE","GAP")</x:f>
        <x:v>ADEQUATE</x:v>
      </x:c>
    </x:row>
    <x:row r="194">
      <x:c r="B194" s="21" t="str">
        <x:v>SR-0188</x:v>
      </x:c>
      <x:c r="C194" s="21" t="str">
        <x:v>F32</x:v>
      </x:c>
      <x:c r="D194" s="21" t="str">
        <x:v>M02</x:v>
      </x:c>
      <x:c r="E194" s="37" t="n">
        <x:f>'Family Register'!G38*Scenarios!D8</x:f>
        <x:v>2.8</x:v>
      </x:c>
      <x:c r="F194" s="37" t="n">
        <x:f>'Family Register'!I38</x:f>
        <x:v>1.3</x:v>
      </x:c>
      <x:c r="G194" s="37" t="n">
        <x:f>MIN(Scenarios!E8:L8)</x:f>
        <x:v>0.95</x:v>
      </x:c>
      <x:c r="H194" s="37" t="n">
        <x:f>'Family Register'!G38*F194*G194</x:f>
        <x:v>9.879999999999999</x:v>
      </x:c>
      <x:c r="I194" s="37" t="n">
        <x:f>MIN(E194,H194)</x:f>
        <x:v>2.8</x:v>
      </x:c>
      <x:c r="J194" s="37" t="n">
        <x:f>IF(E194&gt;0,I194/E194,0)</x:f>
        <x:v>1</x:v>
      </x:c>
      <x:c r="K194" s="23" t="str">
        <x:f>IF(J194&gt;=1,"ADEQUATE","GAP")</x:f>
        <x:v>ADEQUATE</x:v>
      </x:c>
    </x:row>
    <x:row r="195">
      <x:c r="B195" s="21" t="str">
        <x:v>SR-0189</x:v>
      </x:c>
      <x:c r="C195" s="21" t="str">
        <x:v>F32</x:v>
      </x:c>
      <x:c r="D195" s="21" t="str">
        <x:v>M03</x:v>
      </x:c>
      <x:c r="E195" s="37" t="n">
        <x:f>'Family Register'!G38*Scenarios!D9</x:f>
        <x:v>4.4</x:v>
      </x:c>
      <x:c r="F195" s="37" t="n">
        <x:f>'Family Register'!I38</x:f>
        <x:v>1.3</x:v>
      </x:c>
      <x:c r="G195" s="37" t="n">
        <x:f>MIN(Scenarios!E9:L9)</x:f>
        <x:v>0.9</x:v>
      </x:c>
      <x:c r="H195" s="37" t="n">
        <x:f>'Family Register'!G38*F195*G195</x:f>
        <x:v>9.360000000000001</x:v>
      </x:c>
      <x:c r="I195" s="37" t="n">
        <x:f>MIN(E195,H195)</x:f>
        <x:v>4.4</x:v>
      </x:c>
      <x:c r="J195" s="37" t="n">
        <x:f>IF(E195&gt;0,I195/E195,0)</x:f>
        <x:v>1</x:v>
      </x:c>
      <x:c r="K195" s="23" t="str">
        <x:f>IF(J195&gt;=1,"ADEQUATE","GAP")</x:f>
        <x:v>ADEQUATE</x:v>
      </x:c>
    </x:row>
    <x:row r="196">
      <x:c r="B196" s="21" t="str">
        <x:v>SR-0190</x:v>
      </x:c>
      <x:c r="C196" s="21" t="str">
        <x:v>F32</x:v>
      </x:c>
      <x:c r="D196" s="21" t="str">
        <x:v>M04</x:v>
      </x:c>
      <x:c r="E196" s="37" t="n">
        <x:f>'Family Register'!G38*Scenarios!D10</x:f>
        <x:v>6.4</x:v>
      </x:c>
      <x:c r="F196" s="37" t="n">
        <x:f>'Family Register'!I38</x:f>
        <x:v>1.3</x:v>
      </x:c>
      <x:c r="G196" s="37" t="n">
        <x:f>MIN(Scenarios!E10:L10)</x:f>
        <x:v>0.85</x:v>
      </x:c>
      <x:c r="H196" s="37" t="n">
        <x:f>'Family Register'!G38*F196*G196</x:f>
        <x:v>8.84</x:v>
      </x:c>
      <x:c r="I196" s="37" t="n">
        <x:f>MIN(E196,H196)</x:f>
        <x:v>6.4</x:v>
      </x:c>
      <x:c r="J196" s="37" t="n">
        <x:f>IF(E196&gt;0,I196/E196,0)</x:f>
        <x:v>1</x:v>
      </x:c>
      <x:c r="K196" s="23" t="str">
        <x:f>IF(J196&gt;=1,"ADEQUATE","GAP")</x:f>
        <x:v>ADEQUATE</x:v>
      </x:c>
    </x:row>
    <x:row r="197">
      <x:c r="B197" s="21" t="str">
        <x:v>SR-0191</x:v>
      </x:c>
      <x:c r="C197" s="21" t="str">
        <x:v>F32</x:v>
      </x:c>
      <x:c r="D197" s="21" t="str">
        <x:v>M05</x:v>
      </x:c>
      <x:c r="E197" s="37" t="n">
        <x:f>'Family Register'!G38*Scenarios!D11</x:f>
        <x:v>8</x:v>
      </x:c>
      <x:c r="F197" s="37" t="n">
        <x:f>'Family Register'!I38</x:f>
        <x:v>1.3</x:v>
      </x:c>
      <x:c r="G197" s="37" t="n">
        <x:f>MIN(Scenarios!E11:L11)</x:f>
        <x:v>0.65</x:v>
      </x:c>
      <x:c r="H197" s="37" t="n">
        <x:f>'Family Register'!G38*F197*G197</x:f>
        <x:v>6.760000000000001</x:v>
      </x:c>
      <x:c r="I197" s="37" t="n">
        <x:f>MIN(E197,H197)</x:f>
        <x:v>6.760000000000001</x:v>
      </x:c>
      <x:c r="J197" s="37" t="n">
        <x:f>IF(E197&gt;0,I197/E197,0)</x:f>
        <x:v>0.8450000000000001</x:v>
      </x:c>
      <x:c r="K197" s="23" t="str">
        <x:f>IF(J197&gt;=1,"ADEQUATE","GAP")</x:f>
        <x:v>GAP</x:v>
      </x:c>
    </x:row>
    <x:row r="198">
      <x:c r="B198" s="21" t="str">
        <x:v>SR-0192</x:v>
      </x:c>
      <x:c r="C198" s="21" t="str">
        <x:v>F32</x:v>
      </x:c>
      <x:c r="D198" s="21" t="str">
        <x:v>M06</x:v>
      </x:c>
      <x:c r="E198" s="37" t="n">
        <x:f>'Family Register'!G38*Scenarios!D12</x:f>
        <x:v>10</x:v>
      </x:c>
      <x:c r="F198" s="37" t="n">
        <x:f>'Family Register'!I38</x:f>
        <x:v>1.3</x:v>
      </x:c>
      <x:c r="G198" s="37" t="n">
        <x:f>MIN(Scenarios!E12:L12)</x:f>
        <x:v>0.5</x:v>
      </x:c>
      <x:c r="H198" s="37" t="n">
        <x:f>'Family Register'!G38*F198*G198</x:f>
        <x:v>5.2</x:v>
      </x:c>
      <x:c r="I198" s="37" t="n">
        <x:f>MIN(E198,H198)</x:f>
        <x:v>5.2</x:v>
      </x:c>
      <x:c r="J198" s="37" t="n">
        <x:f>IF(E198&gt;0,I198/E198,0)</x:f>
        <x:v>0.52</x:v>
      </x:c>
      <x:c r="K198" s="23" t="str">
        <x:f>IF(J198&gt;=1,"ADEQUATE","GAP")</x:f>
        <x:v>GAP</x:v>
      </x:c>
    </x:row>
    <x:row r="199">
      <x:c r="B199" s="21" t="str">
        <x:v>SR-0193</x:v>
      </x:c>
      <x:c r="C199" s="21" t="str">
        <x:v>F33</x:v>
      </x:c>
      <x:c r="D199" s="21" t="str">
        <x:v>M01</x:v>
      </x:c>
      <x:c r="E199" s="37" t="n">
        <x:f>'Family Register'!G39*Scenarios!D7</x:f>
        <x:v>0.8</x:v>
      </x:c>
      <x:c r="F199" s="37" t="n">
        <x:f>'Family Register'!I39</x:f>
        <x:v>1.2</x:v>
      </x:c>
      <x:c r="G199" s="37" t="n">
        <x:f>MIN(Scenarios!E7:L7)</x:f>
        <x:v>1</x:v>
      </x:c>
      <x:c r="H199" s="37" t="n">
        <x:f>'Family Register'!G39*F199*G199</x:f>
        <x:v>9.6</x:v>
      </x:c>
      <x:c r="I199" s="37" t="n">
        <x:f>MIN(E199,H199)</x:f>
        <x:v>0.8</x:v>
      </x:c>
      <x:c r="J199" s="37" t="n">
        <x:f>IF(E199&gt;0,I199/E199,0)</x:f>
        <x:v>1</x:v>
      </x:c>
      <x:c r="K199" s="23" t="str">
        <x:f>IF(J199&gt;=1,"ADEQUATE","GAP")</x:f>
        <x:v>ADEQUATE</x:v>
      </x:c>
    </x:row>
    <x:row r="200">
      <x:c r="B200" s="21" t="str">
        <x:v>SR-0194</x:v>
      </x:c>
      <x:c r="C200" s="21" t="str">
        <x:v>F33</x:v>
      </x:c>
      <x:c r="D200" s="21" t="str">
        <x:v>M02</x:v>
      </x:c>
      <x:c r="E200" s="37" t="n">
        <x:f>'Family Register'!G39*Scenarios!D8</x:f>
        <x:v>2.8</x:v>
      </x:c>
      <x:c r="F200" s="37" t="n">
        <x:f>'Family Register'!I39</x:f>
        <x:v>1.2</x:v>
      </x:c>
      <x:c r="G200" s="37" t="n">
        <x:f>MIN(Scenarios!E8:L8)</x:f>
        <x:v>0.95</x:v>
      </x:c>
      <x:c r="H200" s="37" t="n">
        <x:f>'Family Register'!G39*F200*G200</x:f>
        <x:v>9.12</x:v>
      </x:c>
      <x:c r="I200" s="37" t="n">
        <x:f>MIN(E200,H200)</x:f>
        <x:v>2.8</x:v>
      </x:c>
      <x:c r="J200" s="37" t="n">
        <x:f>IF(E200&gt;0,I200/E200,0)</x:f>
        <x:v>1</x:v>
      </x:c>
      <x:c r="K200" s="23" t="str">
        <x:f>IF(J200&gt;=1,"ADEQUATE","GAP")</x:f>
        <x:v>ADEQUATE</x:v>
      </x:c>
    </x:row>
    <x:row r="201">
      <x:c r="B201" s="21" t="str">
        <x:v>SR-0195</x:v>
      </x:c>
      <x:c r="C201" s="21" t="str">
        <x:v>F33</x:v>
      </x:c>
      <x:c r="D201" s="21" t="str">
        <x:v>M03</x:v>
      </x:c>
      <x:c r="E201" s="37" t="n">
        <x:f>'Family Register'!G39*Scenarios!D9</x:f>
        <x:v>4.4</x:v>
      </x:c>
      <x:c r="F201" s="37" t="n">
        <x:f>'Family Register'!I39</x:f>
        <x:v>1.2</x:v>
      </x:c>
      <x:c r="G201" s="37" t="n">
        <x:f>MIN(Scenarios!E9:L9)</x:f>
        <x:v>0.9</x:v>
      </x:c>
      <x:c r="H201" s="37" t="n">
        <x:f>'Family Register'!G39*F201*G201</x:f>
        <x:v>8.64</x:v>
      </x:c>
      <x:c r="I201" s="37" t="n">
        <x:f>MIN(E201,H201)</x:f>
        <x:v>4.4</x:v>
      </x:c>
      <x:c r="J201" s="37" t="n">
        <x:f>IF(E201&gt;0,I201/E201,0)</x:f>
        <x:v>1</x:v>
      </x:c>
      <x:c r="K201" s="23" t="str">
        <x:f>IF(J201&gt;=1,"ADEQUATE","GAP")</x:f>
        <x:v>ADEQUATE</x:v>
      </x:c>
    </x:row>
    <x:row r="202">
      <x:c r="B202" s="21" t="str">
        <x:v>SR-0196</x:v>
      </x:c>
      <x:c r="C202" s="21" t="str">
        <x:v>F33</x:v>
      </x:c>
      <x:c r="D202" s="21" t="str">
        <x:v>M04</x:v>
      </x:c>
      <x:c r="E202" s="37" t="n">
        <x:f>'Family Register'!G39*Scenarios!D10</x:f>
        <x:v>6.4</x:v>
      </x:c>
      <x:c r="F202" s="37" t="n">
        <x:f>'Family Register'!I39</x:f>
        <x:v>1.2</x:v>
      </x:c>
      <x:c r="G202" s="37" t="n">
        <x:f>MIN(Scenarios!E10:L10)</x:f>
        <x:v>0.85</x:v>
      </x:c>
      <x:c r="H202" s="37" t="n">
        <x:f>'Family Register'!G39*F202*G202</x:f>
        <x:v>8.16</x:v>
      </x:c>
      <x:c r="I202" s="37" t="n">
        <x:f>MIN(E202,H202)</x:f>
        <x:v>6.4</x:v>
      </x:c>
      <x:c r="J202" s="37" t="n">
        <x:f>IF(E202&gt;0,I202/E202,0)</x:f>
        <x:v>1</x:v>
      </x:c>
      <x:c r="K202" s="23" t="str">
        <x:f>IF(J202&gt;=1,"ADEQUATE","GAP")</x:f>
        <x:v>ADEQUATE</x:v>
      </x:c>
    </x:row>
    <x:row r="203">
      <x:c r="B203" s="21" t="str">
        <x:v>SR-0197</x:v>
      </x:c>
      <x:c r="C203" s="21" t="str">
        <x:v>F33</x:v>
      </x:c>
      <x:c r="D203" s="21" t="str">
        <x:v>M05</x:v>
      </x:c>
      <x:c r="E203" s="37" t="n">
        <x:f>'Family Register'!G39*Scenarios!D11</x:f>
        <x:v>8</x:v>
      </x:c>
      <x:c r="F203" s="37" t="n">
        <x:f>'Family Register'!I39</x:f>
        <x:v>1.2</x:v>
      </x:c>
      <x:c r="G203" s="37" t="n">
        <x:f>MIN(Scenarios!E11:L11)</x:f>
        <x:v>0.65</x:v>
      </x:c>
      <x:c r="H203" s="37" t="n">
        <x:f>'Family Register'!G39*F203*G203</x:f>
        <x:v>6.24</x:v>
      </x:c>
      <x:c r="I203" s="37" t="n">
        <x:f>MIN(E203,H203)</x:f>
        <x:v>6.24</x:v>
      </x:c>
      <x:c r="J203" s="37" t="n">
        <x:f>IF(E203&gt;0,I203/E203,0)</x:f>
        <x:v>0.78</x:v>
      </x:c>
      <x:c r="K203" s="23" t="str">
        <x:f>IF(J203&gt;=1,"ADEQUATE","GAP")</x:f>
        <x:v>GAP</x:v>
      </x:c>
    </x:row>
    <x:row r="204">
      <x:c r="B204" s="21" t="str">
        <x:v>SR-0198</x:v>
      </x:c>
      <x:c r="C204" s="21" t="str">
        <x:v>F33</x:v>
      </x:c>
      <x:c r="D204" s="21" t="str">
        <x:v>M06</x:v>
      </x:c>
      <x:c r="E204" s="37" t="n">
        <x:f>'Family Register'!G39*Scenarios!D12</x:f>
        <x:v>10</x:v>
      </x:c>
      <x:c r="F204" s="37" t="n">
        <x:f>'Family Register'!I39</x:f>
        <x:v>1.2</x:v>
      </x:c>
      <x:c r="G204" s="37" t="n">
        <x:f>MIN(Scenarios!E12:L12)</x:f>
        <x:v>0.5</x:v>
      </x:c>
      <x:c r="H204" s="37" t="n">
        <x:f>'Family Register'!G39*F204*G204</x:f>
        <x:v>4.8</x:v>
      </x:c>
      <x:c r="I204" s="37" t="n">
        <x:f>MIN(E204,H204)</x:f>
        <x:v>4.8</x:v>
      </x:c>
      <x:c r="J204" s="37" t="n">
        <x:f>IF(E204&gt;0,I204/E204,0)</x:f>
        <x:v>0.48</x:v>
      </x:c>
      <x:c r="K204" s="23" t="str">
        <x:f>IF(J204&gt;=1,"ADEQUATE","GAP")</x:f>
        <x:v>GAP</x:v>
      </x:c>
    </x:row>
    <x:row r="205">
      <x:c r="B205" s="21" t="str">
        <x:v>SR-0199</x:v>
      </x:c>
      <x:c r="C205" s="21" t="str">
        <x:v>F34</x:v>
      </x:c>
      <x:c r="D205" s="21" t="str">
        <x:v>M01</x:v>
      </x:c>
      <x:c r="E205" s="37" t="n">
        <x:f>'Family Register'!G40*Scenarios!D7</x:f>
        <x:v>0.4</x:v>
      </x:c>
      <x:c r="F205" s="37" t="n">
        <x:f>'Family Register'!I40</x:f>
        <x:v>1.45</x:v>
      </x:c>
      <x:c r="G205" s="37" t="n">
        <x:f>MIN(Scenarios!E7:L7)</x:f>
        <x:v>1</x:v>
      </x:c>
      <x:c r="H205" s="37" t="n">
        <x:f>'Family Register'!G40*F205*G205</x:f>
        <x:v>5.8</x:v>
      </x:c>
      <x:c r="I205" s="37" t="n">
        <x:f>MIN(E205,H205)</x:f>
        <x:v>0.4</x:v>
      </x:c>
      <x:c r="J205" s="37" t="n">
        <x:f>IF(E205&gt;0,I205/E205,0)</x:f>
        <x:v>1</x:v>
      </x:c>
      <x:c r="K205" s="23" t="str">
        <x:f>IF(J205&gt;=1,"ADEQUATE","GAP")</x:f>
        <x:v>ADEQUATE</x:v>
      </x:c>
    </x:row>
    <x:row r="206">
      <x:c r="B206" s="21" t="str">
        <x:v>SR-0200</x:v>
      </x:c>
      <x:c r="C206" s="21" t="str">
        <x:v>F34</x:v>
      </x:c>
      <x:c r="D206" s="21" t="str">
        <x:v>M02</x:v>
      </x:c>
      <x:c r="E206" s="37" t="n">
        <x:f>'Family Register'!G40*Scenarios!D8</x:f>
        <x:v>1.4</x:v>
      </x:c>
      <x:c r="F206" s="37" t="n">
        <x:f>'Family Register'!I40</x:f>
        <x:v>1.45</x:v>
      </x:c>
      <x:c r="G206" s="37" t="n">
        <x:f>MIN(Scenarios!E8:L8)</x:f>
        <x:v>0.95</x:v>
      </x:c>
      <x:c r="H206" s="37" t="n">
        <x:f>'Family Register'!G40*F206*G206</x:f>
        <x:v>5.51</x:v>
      </x:c>
      <x:c r="I206" s="37" t="n">
        <x:f>MIN(E206,H206)</x:f>
        <x:v>1.4</x:v>
      </x:c>
      <x:c r="J206" s="37" t="n">
        <x:f>IF(E206&gt;0,I206/E206,0)</x:f>
        <x:v>1</x:v>
      </x:c>
      <x:c r="K206" s="23" t="str">
        <x:f>IF(J206&gt;=1,"ADEQUATE","GAP")</x:f>
        <x:v>ADEQUATE</x:v>
      </x:c>
    </x:row>
    <x:row r="207">
      <x:c r="B207" s="21" t="str">
        <x:v>SR-0201</x:v>
      </x:c>
      <x:c r="C207" s="21" t="str">
        <x:v>F34</x:v>
      </x:c>
      <x:c r="D207" s="21" t="str">
        <x:v>M03</x:v>
      </x:c>
      <x:c r="E207" s="37" t="n">
        <x:f>'Family Register'!G40*Scenarios!D9</x:f>
        <x:v>2.2</x:v>
      </x:c>
      <x:c r="F207" s="37" t="n">
        <x:f>'Family Register'!I40</x:f>
        <x:v>1.45</x:v>
      </x:c>
      <x:c r="G207" s="37" t="n">
        <x:f>MIN(Scenarios!E9:L9)</x:f>
        <x:v>0.9</x:v>
      </x:c>
      <x:c r="H207" s="37" t="n">
        <x:f>'Family Register'!G40*F207*G207</x:f>
        <x:v>5.22</x:v>
      </x:c>
      <x:c r="I207" s="37" t="n">
        <x:f>MIN(E207,H207)</x:f>
        <x:v>2.2</x:v>
      </x:c>
      <x:c r="J207" s="37" t="n">
        <x:f>IF(E207&gt;0,I207/E207,0)</x:f>
        <x:v>1</x:v>
      </x:c>
      <x:c r="K207" s="23" t="str">
        <x:f>IF(J207&gt;=1,"ADEQUATE","GAP")</x:f>
        <x:v>ADEQUATE</x:v>
      </x:c>
    </x:row>
    <x:row r="208">
      <x:c r="B208" s="21" t="str">
        <x:v>SR-0202</x:v>
      </x:c>
      <x:c r="C208" s="21" t="str">
        <x:v>F34</x:v>
      </x:c>
      <x:c r="D208" s="21" t="str">
        <x:v>M04</x:v>
      </x:c>
      <x:c r="E208" s="37" t="n">
        <x:f>'Family Register'!G40*Scenarios!D10</x:f>
        <x:v>3.2</x:v>
      </x:c>
      <x:c r="F208" s="37" t="n">
        <x:f>'Family Register'!I40</x:f>
        <x:v>1.45</x:v>
      </x:c>
      <x:c r="G208" s="37" t="n">
        <x:f>MIN(Scenarios!E10:L10)</x:f>
        <x:v>0.85</x:v>
      </x:c>
      <x:c r="H208" s="37" t="n">
        <x:f>'Family Register'!G40*F208*G208</x:f>
        <x:v>4.93</x:v>
      </x:c>
      <x:c r="I208" s="37" t="n">
        <x:f>MIN(E208,H208)</x:f>
        <x:v>3.2</x:v>
      </x:c>
      <x:c r="J208" s="37" t="n">
        <x:f>IF(E208&gt;0,I208/E208,0)</x:f>
        <x:v>1</x:v>
      </x:c>
      <x:c r="K208" s="23" t="str">
        <x:f>IF(J208&gt;=1,"ADEQUATE","GAP")</x:f>
        <x:v>ADEQUATE</x:v>
      </x:c>
    </x:row>
    <x:row r="209">
      <x:c r="B209" s="21" t="str">
        <x:v>SR-0203</x:v>
      </x:c>
      <x:c r="C209" s="21" t="str">
        <x:v>F34</x:v>
      </x:c>
      <x:c r="D209" s="21" t="str">
        <x:v>M05</x:v>
      </x:c>
      <x:c r="E209" s="37" t="n">
        <x:f>'Family Register'!G40*Scenarios!D11</x:f>
        <x:v>4</x:v>
      </x:c>
      <x:c r="F209" s="37" t="n">
        <x:f>'Family Register'!I40</x:f>
        <x:v>1.45</x:v>
      </x:c>
      <x:c r="G209" s="37" t="n">
        <x:f>MIN(Scenarios!E11:L11)</x:f>
        <x:v>0.65</x:v>
      </x:c>
      <x:c r="H209" s="37" t="n">
        <x:f>'Family Register'!G40*F209*G209</x:f>
        <x:v>3.77</x:v>
      </x:c>
      <x:c r="I209" s="37" t="n">
        <x:f>MIN(E209,H209)</x:f>
        <x:v>3.77</x:v>
      </x:c>
      <x:c r="J209" s="37" t="n">
        <x:f>IF(E209&gt;0,I209/E209,0)</x:f>
        <x:v>0.9425</x:v>
      </x:c>
      <x:c r="K209" s="23" t="str">
        <x:f>IF(J209&gt;=1,"ADEQUATE","GAP")</x:f>
        <x:v>GAP</x:v>
      </x:c>
    </x:row>
    <x:row r="210">
      <x:c r="B210" s="21" t="str">
        <x:v>SR-0204</x:v>
      </x:c>
      <x:c r="C210" s="21" t="str">
        <x:v>F34</x:v>
      </x:c>
      <x:c r="D210" s="21" t="str">
        <x:v>M06</x:v>
      </x:c>
      <x:c r="E210" s="37" t="n">
        <x:f>'Family Register'!G40*Scenarios!D12</x:f>
        <x:v>5</x:v>
      </x:c>
      <x:c r="F210" s="37" t="n">
        <x:f>'Family Register'!I40</x:f>
        <x:v>1.45</x:v>
      </x:c>
      <x:c r="G210" s="37" t="n">
        <x:f>MIN(Scenarios!E12:L12)</x:f>
        <x:v>0.5</x:v>
      </x:c>
      <x:c r="H210" s="37" t="n">
        <x:f>'Family Register'!G40*F210*G210</x:f>
        <x:v>2.9</x:v>
      </x:c>
      <x:c r="I210" s="37" t="n">
        <x:f>MIN(E210,H210)</x:f>
        <x:v>2.9</x:v>
      </x:c>
      <x:c r="J210" s="37" t="n">
        <x:f>IF(E210&gt;0,I210/E210,0)</x:f>
        <x:v>0.58</x:v>
      </x:c>
      <x:c r="K210" s="23" t="str">
        <x:f>IF(J210&gt;=1,"ADEQUATE","GAP")</x:f>
        <x:v>GAP</x:v>
      </x:c>
    </x:row>
    <x:row r="211">
      <x:c r="B211" s="21" t="str">
        <x:v>SR-0205</x:v>
      </x:c>
      <x:c r="C211" s="21" t="str">
        <x:v>F35</x:v>
      </x:c>
      <x:c r="D211" s="21" t="str">
        <x:v>M01</x:v>
      </x:c>
      <x:c r="E211" s="37" t="n">
        <x:f>'Family Register'!G41*Scenarios!D7</x:f>
        <x:v>0.4</x:v>
      </x:c>
      <x:c r="F211" s="37" t="n">
        <x:f>'Family Register'!I41</x:f>
        <x:v>1.3</x:v>
      </x:c>
      <x:c r="G211" s="37" t="n">
        <x:f>MIN(Scenarios!E7:L7)</x:f>
        <x:v>1</x:v>
      </x:c>
      <x:c r="H211" s="37" t="n">
        <x:f>'Family Register'!G41*F211*G211</x:f>
        <x:v>5.2</x:v>
      </x:c>
      <x:c r="I211" s="37" t="n">
        <x:f>MIN(E211,H211)</x:f>
        <x:v>0.4</x:v>
      </x:c>
      <x:c r="J211" s="37" t="n">
        <x:f>IF(E211&gt;0,I211/E211,0)</x:f>
        <x:v>1</x:v>
      </x:c>
      <x:c r="K211" s="23" t="str">
        <x:f>IF(J211&gt;=1,"ADEQUATE","GAP")</x:f>
        <x:v>ADEQUATE</x:v>
      </x:c>
    </x:row>
    <x:row r="212">
      <x:c r="B212" s="21" t="str">
        <x:v>SR-0206</x:v>
      </x:c>
      <x:c r="C212" s="21" t="str">
        <x:v>F35</x:v>
      </x:c>
      <x:c r="D212" s="21" t="str">
        <x:v>M02</x:v>
      </x:c>
      <x:c r="E212" s="37" t="n">
        <x:f>'Family Register'!G41*Scenarios!D8</x:f>
        <x:v>1.4</x:v>
      </x:c>
      <x:c r="F212" s="37" t="n">
        <x:f>'Family Register'!I41</x:f>
        <x:v>1.3</x:v>
      </x:c>
      <x:c r="G212" s="37" t="n">
        <x:f>MIN(Scenarios!E8:L8)</x:f>
        <x:v>0.95</x:v>
      </x:c>
      <x:c r="H212" s="37" t="n">
        <x:f>'Family Register'!G41*F212*G212</x:f>
        <x:v>4.9399999999999995</x:v>
      </x:c>
      <x:c r="I212" s="37" t="n">
        <x:f>MIN(E212,H212)</x:f>
        <x:v>1.4</x:v>
      </x:c>
      <x:c r="J212" s="37" t="n">
        <x:f>IF(E212&gt;0,I212/E212,0)</x:f>
        <x:v>1</x:v>
      </x:c>
      <x:c r="K212" s="23" t="str">
        <x:f>IF(J212&gt;=1,"ADEQUATE","GAP")</x:f>
        <x:v>ADEQUATE</x:v>
      </x:c>
    </x:row>
    <x:row r="213">
      <x:c r="B213" s="21" t="str">
        <x:v>SR-0207</x:v>
      </x:c>
      <x:c r="C213" s="21" t="str">
        <x:v>F35</x:v>
      </x:c>
      <x:c r="D213" s="21" t="str">
        <x:v>M03</x:v>
      </x:c>
      <x:c r="E213" s="37" t="n">
        <x:f>'Family Register'!G41*Scenarios!D9</x:f>
        <x:v>2.2</x:v>
      </x:c>
      <x:c r="F213" s="37" t="n">
        <x:f>'Family Register'!I41</x:f>
        <x:v>1.3</x:v>
      </x:c>
      <x:c r="G213" s="37" t="n">
        <x:f>MIN(Scenarios!E9:L9)</x:f>
        <x:v>0.9</x:v>
      </x:c>
      <x:c r="H213" s="37" t="n">
        <x:f>'Family Register'!G41*F213*G213</x:f>
        <x:v>4.680000000000001</x:v>
      </x:c>
      <x:c r="I213" s="37" t="n">
        <x:f>MIN(E213,H213)</x:f>
        <x:v>2.2</x:v>
      </x:c>
      <x:c r="J213" s="37" t="n">
        <x:f>IF(E213&gt;0,I213/E213,0)</x:f>
        <x:v>1</x:v>
      </x:c>
      <x:c r="K213" s="23" t="str">
        <x:f>IF(J213&gt;=1,"ADEQUATE","GAP")</x:f>
        <x:v>ADEQUATE</x:v>
      </x:c>
    </x:row>
    <x:row r="214">
      <x:c r="B214" s="21" t="str">
        <x:v>SR-0208</x:v>
      </x:c>
      <x:c r="C214" s="21" t="str">
        <x:v>F35</x:v>
      </x:c>
      <x:c r="D214" s="21" t="str">
        <x:v>M04</x:v>
      </x:c>
      <x:c r="E214" s="37" t="n">
        <x:f>'Family Register'!G41*Scenarios!D10</x:f>
        <x:v>3.2</x:v>
      </x:c>
      <x:c r="F214" s="37" t="n">
        <x:f>'Family Register'!I41</x:f>
        <x:v>1.3</x:v>
      </x:c>
      <x:c r="G214" s="37" t="n">
        <x:f>MIN(Scenarios!E10:L10)</x:f>
        <x:v>0.85</x:v>
      </x:c>
      <x:c r="H214" s="37" t="n">
        <x:f>'Family Register'!G41*F214*G214</x:f>
        <x:v>4.42</x:v>
      </x:c>
      <x:c r="I214" s="37" t="n">
        <x:f>MIN(E214,H214)</x:f>
        <x:v>3.2</x:v>
      </x:c>
      <x:c r="J214" s="37" t="n">
        <x:f>IF(E214&gt;0,I214/E214,0)</x:f>
        <x:v>1</x:v>
      </x:c>
      <x:c r="K214" s="23" t="str">
        <x:f>IF(J214&gt;=1,"ADEQUATE","GAP")</x:f>
        <x:v>ADEQUATE</x:v>
      </x:c>
    </x:row>
    <x:row r="215">
      <x:c r="B215" s="21" t="str">
        <x:v>SR-0209</x:v>
      </x:c>
      <x:c r="C215" s="21" t="str">
        <x:v>F35</x:v>
      </x:c>
      <x:c r="D215" s="21" t="str">
        <x:v>M05</x:v>
      </x:c>
      <x:c r="E215" s="37" t="n">
        <x:f>'Family Register'!G41*Scenarios!D11</x:f>
        <x:v>4</x:v>
      </x:c>
      <x:c r="F215" s="37" t="n">
        <x:f>'Family Register'!I41</x:f>
        <x:v>1.3</x:v>
      </x:c>
      <x:c r="G215" s="37" t="n">
        <x:f>MIN(Scenarios!E11:L11)</x:f>
        <x:v>0.65</x:v>
      </x:c>
      <x:c r="H215" s="37" t="n">
        <x:f>'Family Register'!G41*F215*G215</x:f>
        <x:v>3.3800000000000003</x:v>
      </x:c>
      <x:c r="I215" s="37" t="n">
        <x:f>MIN(E215,H215)</x:f>
        <x:v>3.3800000000000003</x:v>
      </x:c>
      <x:c r="J215" s="37" t="n">
        <x:f>IF(E215&gt;0,I215/E215,0)</x:f>
        <x:v>0.8450000000000001</x:v>
      </x:c>
      <x:c r="K215" s="23" t="str">
        <x:f>IF(J215&gt;=1,"ADEQUATE","GAP")</x:f>
        <x:v>GAP</x:v>
      </x:c>
    </x:row>
    <x:row r="216">
      <x:c r="B216" s="21" t="str">
        <x:v>SR-0210</x:v>
      </x:c>
      <x:c r="C216" s="21" t="str">
        <x:v>F35</x:v>
      </x:c>
      <x:c r="D216" s="21" t="str">
        <x:v>M06</x:v>
      </x:c>
      <x:c r="E216" s="37" t="n">
        <x:f>'Family Register'!G41*Scenarios!D12</x:f>
        <x:v>5</x:v>
      </x:c>
      <x:c r="F216" s="37" t="n">
        <x:f>'Family Register'!I41</x:f>
        <x:v>1.3</x:v>
      </x:c>
      <x:c r="G216" s="37" t="n">
        <x:f>MIN(Scenarios!E12:L12)</x:f>
        <x:v>0.5</x:v>
      </x:c>
      <x:c r="H216" s="37" t="n">
        <x:f>'Family Register'!G41*F216*G216</x:f>
        <x:v>2.6</x:v>
      </x:c>
      <x:c r="I216" s="37" t="n">
        <x:f>MIN(E216,H216)</x:f>
        <x:v>2.6</x:v>
      </x:c>
      <x:c r="J216" s="37" t="n">
        <x:f>IF(E216&gt;0,I216/E216,0)</x:f>
        <x:v>0.52</x:v>
      </x:c>
      <x:c r="K216" s="23" t="str">
        <x:f>IF(J216&gt;=1,"ADEQUATE","GAP")</x:f>
        <x:v>GAP</x:v>
      </x:c>
    </x:row>
    <x:row r="217">
      <x:c r="B217" s="21" t="str">
        <x:v>SR-0211</x:v>
      </x:c>
      <x:c r="C217" s="21" t="str">
        <x:v>F36</x:v>
      </x:c>
      <x:c r="D217" s="21" t="str">
        <x:v>M01</x:v>
      </x:c>
      <x:c r="E217" s="37" t="n">
        <x:f>'Family Register'!G42*Scenarios!D7</x:f>
        <x:v>0.8</x:v>
      </x:c>
      <x:c r="F217" s="37" t="n">
        <x:f>'Family Register'!I42</x:f>
        <x:v>1.45</x:v>
      </x:c>
      <x:c r="G217" s="37" t="n">
        <x:f>MIN(Scenarios!E7:L7)</x:f>
        <x:v>1</x:v>
      </x:c>
      <x:c r="H217" s="37" t="n">
        <x:f>'Family Register'!G42*F217*G217</x:f>
        <x:v>11.6</x:v>
      </x:c>
      <x:c r="I217" s="37" t="n">
        <x:f>MIN(E217,H217)</x:f>
        <x:v>0.8</x:v>
      </x:c>
      <x:c r="J217" s="37" t="n">
        <x:f>IF(E217&gt;0,I217/E217,0)</x:f>
        <x:v>1</x:v>
      </x:c>
      <x:c r="K217" s="23" t="str">
        <x:f>IF(J217&gt;=1,"ADEQUATE","GAP")</x:f>
        <x:v>ADEQUATE</x:v>
      </x:c>
    </x:row>
    <x:row r="218">
      <x:c r="B218" s="21" t="str">
        <x:v>SR-0212</x:v>
      </x:c>
      <x:c r="C218" s="21" t="str">
        <x:v>F36</x:v>
      </x:c>
      <x:c r="D218" s="21" t="str">
        <x:v>M02</x:v>
      </x:c>
      <x:c r="E218" s="37" t="n">
        <x:f>'Family Register'!G42*Scenarios!D8</x:f>
        <x:v>2.8</x:v>
      </x:c>
      <x:c r="F218" s="37" t="n">
        <x:f>'Family Register'!I42</x:f>
        <x:v>1.45</x:v>
      </x:c>
      <x:c r="G218" s="37" t="n">
        <x:f>MIN(Scenarios!E8:L8)</x:f>
        <x:v>0.95</x:v>
      </x:c>
      <x:c r="H218" s="37" t="n">
        <x:f>'Family Register'!G42*F218*G218</x:f>
        <x:v>11.02</x:v>
      </x:c>
      <x:c r="I218" s="37" t="n">
        <x:f>MIN(E218,H218)</x:f>
        <x:v>2.8</x:v>
      </x:c>
      <x:c r="J218" s="37" t="n">
        <x:f>IF(E218&gt;0,I218/E218,0)</x:f>
        <x:v>1</x:v>
      </x:c>
      <x:c r="K218" s="23" t="str">
        <x:f>IF(J218&gt;=1,"ADEQUATE","GAP")</x:f>
        <x:v>ADEQUATE</x:v>
      </x:c>
    </x:row>
    <x:row r="219">
      <x:c r="B219" s="21" t="str">
        <x:v>SR-0213</x:v>
      </x:c>
      <x:c r="C219" s="21" t="str">
        <x:v>F36</x:v>
      </x:c>
      <x:c r="D219" s="21" t="str">
        <x:v>M03</x:v>
      </x:c>
      <x:c r="E219" s="37" t="n">
        <x:f>'Family Register'!G42*Scenarios!D9</x:f>
        <x:v>4.4</x:v>
      </x:c>
      <x:c r="F219" s="37" t="n">
        <x:f>'Family Register'!I42</x:f>
        <x:v>1.45</x:v>
      </x:c>
      <x:c r="G219" s="37" t="n">
        <x:f>MIN(Scenarios!E9:L9)</x:f>
        <x:v>0.9</x:v>
      </x:c>
      <x:c r="H219" s="37" t="n">
        <x:f>'Family Register'!G42*F219*G219</x:f>
        <x:v>10.44</x:v>
      </x:c>
      <x:c r="I219" s="37" t="n">
        <x:f>MIN(E219,H219)</x:f>
        <x:v>4.4</x:v>
      </x:c>
      <x:c r="J219" s="37" t="n">
        <x:f>IF(E219&gt;0,I219/E219,0)</x:f>
        <x:v>1</x:v>
      </x:c>
      <x:c r="K219" s="23" t="str">
        <x:f>IF(J219&gt;=1,"ADEQUATE","GAP")</x:f>
        <x:v>ADEQUATE</x:v>
      </x:c>
    </x:row>
    <x:row r="220">
      <x:c r="B220" s="21" t="str">
        <x:v>SR-0214</x:v>
      </x:c>
      <x:c r="C220" s="21" t="str">
        <x:v>F36</x:v>
      </x:c>
      <x:c r="D220" s="21" t="str">
        <x:v>M04</x:v>
      </x:c>
      <x:c r="E220" s="37" t="n">
        <x:f>'Family Register'!G42*Scenarios!D10</x:f>
        <x:v>6.4</x:v>
      </x:c>
      <x:c r="F220" s="37" t="n">
        <x:f>'Family Register'!I42</x:f>
        <x:v>1.45</x:v>
      </x:c>
      <x:c r="G220" s="37" t="n">
        <x:f>MIN(Scenarios!E10:L10)</x:f>
        <x:v>0.85</x:v>
      </x:c>
      <x:c r="H220" s="37" t="n">
        <x:f>'Family Register'!G42*F220*G220</x:f>
        <x:v>9.86</x:v>
      </x:c>
      <x:c r="I220" s="37" t="n">
        <x:f>MIN(E220,H220)</x:f>
        <x:v>6.4</x:v>
      </x:c>
      <x:c r="J220" s="37" t="n">
        <x:f>IF(E220&gt;0,I220/E220,0)</x:f>
        <x:v>1</x:v>
      </x:c>
      <x:c r="K220" s="23" t="str">
        <x:f>IF(J220&gt;=1,"ADEQUATE","GAP")</x:f>
        <x:v>ADEQUATE</x:v>
      </x:c>
    </x:row>
    <x:row r="221">
      <x:c r="B221" s="21" t="str">
        <x:v>SR-0215</x:v>
      </x:c>
      <x:c r="C221" s="21" t="str">
        <x:v>F36</x:v>
      </x:c>
      <x:c r="D221" s="21" t="str">
        <x:v>M05</x:v>
      </x:c>
      <x:c r="E221" s="37" t="n">
        <x:f>'Family Register'!G42*Scenarios!D11</x:f>
        <x:v>8</x:v>
      </x:c>
      <x:c r="F221" s="37" t="n">
        <x:f>'Family Register'!I42</x:f>
        <x:v>1.45</x:v>
      </x:c>
      <x:c r="G221" s="37" t="n">
        <x:f>MIN(Scenarios!E11:L11)</x:f>
        <x:v>0.65</x:v>
      </x:c>
      <x:c r="H221" s="37" t="n">
        <x:f>'Family Register'!G42*F221*G221</x:f>
        <x:v>7.54</x:v>
      </x:c>
      <x:c r="I221" s="37" t="n">
        <x:f>MIN(E221,H221)</x:f>
        <x:v>7.54</x:v>
      </x:c>
      <x:c r="J221" s="37" t="n">
        <x:f>IF(E221&gt;0,I221/E221,0)</x:f>
        <x:v>0.9425</x:v>
      </x:c>
      <x:c r="K221" s="23" t="str">
        <x:f>IF(J221&gt;=1,"ADEQUATE","GAP")</x:f>
        <x:v>GAP</x:v>
      </x:c>
    </x:row>
    <x:row r="222">
      <x:c r="B222" s="21" t="str">
        <x:v>SR-0216</x:v>
      </x:c>
      <x:c r="C222" s="21" t="str">
        <x:v>F36</x:v>
      </x:c>
      <x:c r="D222" s="21" t="str">
        <x:v>M06</x:v>
      </x:c>
      <x:c r="E222" s="37" t="n">
        <x:f>'Family Register'!G42*Scenarios!D12</x:f>
        <x:v>10</x:v>
      </x:c>
      <x:c r="F222" s="37" t="n">
        <x:f>'Family Register'!I42</x:f>
        <x:v>1.45</x:v>
      </x:c>
      <x:c r="G222" s="37" t="n">
        <x:f>MIN(Scenarios!E12:L12)</x:f>
        <x:v>0.5</x:v>
      </x:c>
      <x:c r="H222" s="37" t="n">
        <x:f>'Family Register'!G42*F222*G222</x:f>
        <x:v>5.8</x:v>
      </x:c>
      <x:c r="I222" s="37" t="n">
        <x:f>MIN(E222,H222)</x:f>
        <x:v>5.8</x:v>
      </x:c>
      <x:c r="J222" s="37" t="n">
        <x:f>IF(E222&gt;0,I222/E222,0)</x:f>
        <x:v>0.58</x:v>
      </x:c>
      <x:c r="K222" s="23" t="str">
        <x:f>IF(J222&gt;=1,"ADEQUATE","GAP")</x:f>
        <x:v>GAP</x:v>
      </x:c>
    </x:row>
    <x:row r="223">
      <x:c r="B223" s="21" t="str">
        <x:v>SR-0217</x:v>
      </x:c>
      <x:c r="C223" s="21" t="str">
        <x:v>F37</x:v>
      </x:c>
      <x:c r="D223" s="21" t="str">
        <x:v>M01</x:v>
      </x:c>
      <x:c r="E223" s="37" t="n">
        <x:f>'Family Register'!G43*Scenarios!D7</x:f>
        <x:v>0.4</x:v>
      </x:c>
      <x:c r="F223" s="37" t="n">
        <x:f>'Family Register'!I43</x:f>
        <x:v>1.45</x:v>
      </x:c>
      <x:c r="G223" s="37" t="n">
        <x:f>MIN(Scenarios!E7:L7)</x:f>
        <x:v>1</x:v>
      </x:c>
      <x:c r="H223" s="37" t="n">
        <x:f>'Family Register'!G43*F223*G223</x:f>
        <x:v>5.8</x:v>
      </x:c>
      <x:c r="I223" s="37" t="n">
        <x:f>MIN(E223,H223)</x:f>
        <x:v>0.4</x:v>
      </x:c>
      <x:c r="J223" s="37" t="n">
        <x:f>IF(E223&gt;0,I223/E223,0)</x:f>
        <x:v>1</x:v>
      </x:c>
      <x:c r="K223" s="23" t="str">
        <x:f>IF(J223&gt;=1,"ADEQUATE","GAP")</x:f>
        <x:v>ADEQUATE</x:v>
      </x:c>
    </x:row>
    <x:row r="224">
      <x:c r="B224" s="21" t="str">
        <x:v>SR-0218</x:v>
      </x:c>
      <x:c r="C224" s="21" t="str">
        <x:v>F37</x:v>
      </x:c>
      <x:c r="D224" s="21" t="str">
        <x:v>M02</x:v>
      </x:c>
      <x:c r="E224" s="37" t="n">
        <x:f>'Family Register'!G43*Scenarios!D8</x:f>
        <x:v>1.4</x:v>
      </x:c>
      <x:c r="F224" s="37" t="n">
        <x:f>'Family Register'!I43</x:f>
        <x:v>1.45</x:v>
      </x:c>
      <x:c r="G224" s="37" t="n">
        <x:f>MIN(Scenarios!E8:L8)</x:f>
        <x:v>0.95</x:v>
      </x:c>
      <x:c r="H224" s="37" t="n">
        <x:f>'Family Register'!G43*F224*G224</x:f>
        <x:v>5.51</x:v>
      </x:c>
      <x:c r="I224" s="37" t="n">
        <x:f>MIN(E224,H224)</x:f>
        <x:v>1.4</x:v>
      </x:c>
      <x:c r="J224" s="37" t="n">
        <x:f>IF(E224&gt;0,I224/E224,0)</x:f>
        <x:v>1</x:v>
      </x:c>
      <x:c r="K224" s="23" t="str">
        <x:f>IF(J224&gt;=1,"ADEQUATE","GAP")</x:f>
        <x:v>ADEQUATE</x:v>
      </x:c>
    </x:row>
    <x:row r="225">
      <x:c r="B225" s="21" t="str">
        <x:v>SR-0219</x:v>
      </x:c>
      <x:c r="C225" s="21" t="str">
        <x:v>F37</x:v>
      </x:c>
      <x:c r="D225" s="21" t="str">
        <x:v>M03</x:v>
      </x:c>
      <x:c r="E225" s="37" t="n">
        <x:f>'Family Register'!G43*Scenarios!D9</x:f>
        <x:v>2.2</x:v>
      </x:c>
      <x:c r="F225" s="37" t="n">
        <x:f>'Family Register'!I43</x:f>
        <x:v>1.45</x:v>
      </x:c>
      <x:c r="G225" s="37" t="n">
        <x:f>MIN(Scenarios!E9:L9)</x:f>
        <x:v>0.9</x:v>
      </x:c>
      <x:c r="H225" s="37" t="n">
        <x:f>'Family Register'!G43*F225*G225</x:f>
        <x:v>5.22</x:v>
      </x:c>
      <x:c r="I225" s="37" t="n">
        <x:f>MIN(E225,H225)</x:f>
        <x:v>2.2</x:v>
      </x:c>
      <x:c r="J225" s="37" t="n">
        <x:f>IF(E225&gt;0,I225/E225,0)</x:f>
        <x:v>1</x:v>
      </x:c>
      <x:c r="K225" s="23" t="str">
        <x:f>IF(J225&gt;=1,"ADEQUATE","GAP")</x:f>
        <x:v>ADEQUATE</x:v>
      </x:c>
    </x:row>
    <x:row r="226">
      <x:c r="B226" s="21" t="str">
        <x:v>SR-0220</x:v>
      </x:c>
      <x:c r="C226" s="21" t="str">
        <x:v>F37</x:v>
      </x:c>
      <x:c r="D226" s="21" t="str">
        <x:v>M04</x:v>
      </x:c>
      <x:c r="E226" s="37" t="n">
        <x:f>'Family Register'!G43*Scenarios!D10</x:f>
        <x:v>3.2</x:v>
      </x:c>
      <x:c r="F226" s="37" t="n">
        <x:f>'Family Register'!I43</x:f>
        <x:v>1.45</x:v>
      </x:c>
      <x:c r="G226" s="37" t="n">
        <x:f>MIN(Scenarios!E10:L10)</x:f>
        <x:v>0.85</x:v>
      </x:c>
      <x:c r="H226" s="37" t="n">
        <x:f>'Family Register'!G43*F226*G226</x:f>
        <x:v>4.93</x:v>
      </x:c>
      <x:c r="I226" s="37" t="n">
        <x:f>MIN(E226,H226)</x:f>
        <x:v>3.2</x:v>
      </x:c>
      <x:c r="J226" s="37" t="n">
        <x:f>IF(E226&gt;0,I226/E226,0)</x:f>
        <x:v>1</x:v>
      </x:c>
      <x:c r="K226" s="23" t="str">
        <x:f>IF(J226&gt;=1,"ADEQUATE","GAP")</x:f>
        <x:v>ADEQUATE</x:v>
      </x:c>
    </x:row>
    <x:row r="227">
      <x:c r="B227" s="21" t="str">
        <x:v>SR-0221</x:v>
      </x:c>
      <x:c r="C227" s="21" t="str">
        <x:v>F37</x:v>
      </x:c>
      <x:c r="D227" s="21" t="str">
        <x:v>M05</x:v>
      </x:c>
      <x:c r="E227" s="37" t="n">
        <x:f>'Family Register'!G43*Scenarios!D11</x:f>
        <x:v>4</x:v>
      </x:c>
      <x:c r="F227" s="37" t="n">
        <x:f>'Family Register'!I43</x:f>
        <x:v>1.45</x:v>
      </x:c>
      <x:c r="G227" s="37" t="n">
        <x:f>MIN(Scenarios!E11:L11)</x:f>
        <x:v>0.65</x:v>
      </x:c>
      <x:c r="H227" s="37" t="n">
        <x:f>'Family Register'!G43*F227*G227</x:f>
        <x:v>3.77</x:v>
      </x:c>
      <x:c r="I227" s="37" t="n">
        <x:f>MIN(E227,H227)</x:f>
        <x:v>3.77</x:v>
      </x:c>
      <x:c r="J227" s="37" t="n">
        <x:f>IF(E227&gt;0,I227/E227,0)</x:f>
        <x:v>0.9425</x:v>
      </x:c>
      <x:c r="K227" s="23" t="str">
        <x:f>IF(J227&gt;=1,"ADEQUATE","GAP")</x:f>
        <x:v>GAP</x:v>
      </x:c>
    </x:row>
    <x:row r="228">
      <x:c r="B228" s="21" t="str">
        <x:v>SR-0222</x:v>
      </x:c>
      <x:c r="C228" s="21" t="str">
        <x:v>F37</x:v>
      </x:c>
      <x:c r="D228" s="21" t="str">
        <x:v>M06</x:v>
      </x:c>
      <x:c r="E228" s="37" t="n">
        <x:f>'Family Register'!G43*Scenarios!D12</x:f>
        <x:v>5</x:v>
      </x:c>
      <x:c r="F228" s="37" t="n">
        <x:f>'Family Register'!I43</x:f>
        <x:v>1.45</x:v>
      </x:c>
      <x:c r="G228" s="37" t="n">
        <x:f>MIN(Scenarios!E12:L12)</x:f>
        <x:v>0.5</x:v>
      </x:c>
      <x:c r="H228" s="37" t="n">
        <x:f>'Family Register'!G43*F228*G228</x:f>
        <x:v>2.9</x:v>
      </x:c>
      <x:c r="I228" s="37" t="n">
        <x:f>MIN(E228,H228)</x:f>
        <x:v>2.9</x:v>
      </x:c>
      <x:c r="J228" s="37" t="n">
        <x:f>IF(E228&gt;0,I228/E228,0)</x:f>
        <x:v>0.58</x:v>
      </x:c>
      <x:c r="K228" s="23" t="str">
        <x:f>IF(J228&gt;=1,"ADEQUATE","GAP")</x:f>
        <x:v>GAP</x:v>
      </x:c>
    </x:row>
    <x:row r="229">
      <x:c r="B229" s="21" t="str">
        <x:v>SR-0223</x:v>
      </x:c>
      <x:c r="C229" s="21" t="str">
        <x:v>F38</x:v>
      </x:c>
      <x:c r="D229" s="21" t="str">
        <x:v>M01</x:v>
      </x:c>
      <x:c r="E229" s="37" t="n">
        <x:f>'Family Register'!G44*Scenarios!D7</x:f>
        <x:v>1.2000000000000002</x:v>
      </x:c>
      <x:c r="F229" s="37" t="n">
        <x:f>'Family Register'!I44</x:f>
        <x:v>1.6</x:v>
      </x:c>
      <x:c r="G229" s="37" t="n">
        <x:f>MIN(Scenarios!E7:L7)</x:f>
        <x:v>1</x:v>
      </x:c>
      <x:c r="H229" s="37" t="n">
        <x:f>'Family Register'!G44*F229*G229</x:f>
        <x:v>19.200000000000003</x:v>
      </x:c>
      <x:c r="I229" s="37" t="n">
        <x:f>MIN(E229,H229)</x:f>
        <x:v>1.2000000000000002</x:v>
      </x:c>
      <x:c r="J229" s="37" t="n">
        <x:f>IF(E229&gt;0,I229/E229,0)</x:f>
        <x:v>1</x:v>
      </x:c>
      <x:c r="K229" s="23" t="str">
        <x:f>IF(J229&gt;=1,"ADEQUATE","GAP")</x:f>
        <x:v>ADEQUATE</x:v>
      </x:c>
    </x:row>
    <x:row r="230">
      <x:c r="B230" s="21" t="str">
        <x:v>SR-0224</x:v>
      </x:c>
      <x:c r="C230" s="21" t="str">
        <x:v>F38</x:v>
      </x:c>
      <x:c r="D230" s="21" t="str">
        <x:v>M02</x:v>
      </x:c>
      <x:c r="E230" s="37" t="n">
        <x:f>'Family Register'!G44*Scenarios!D8</x:f>
        <x:v>4.199999999999999</x:v>
      </x:c>
      <x:c r="F230" s="37" t="n">
        <x:f>'Family Register'!I44</x:f>
        <x:v>1.6</x:v>
      </x:c>
      <x:c r="G230" s="37" t="n">
        <x:f>MIN(Scenarios!E8:L8)</x:f>
        <x:v>0.95</x:v>
      </x:c>
      <x:c r="H230" s="37" t="n">
        <x:f>'Family Register'!G44*F230*G230</x:f>
        <x:v>18.240000000000002</x:v>
      </x:c>
      <x:c r="I230" s="37" t="n">
        <x:f>MIN(E230,H230)</x:f>
        <x:v>4.199999999999999</x:v>
      </x:c>
      <x:c r="J230" s="37" t="n">
        <x:f>IF(E230&gt;0,I230/E230,0)</x:f>
        <x:v>1</x:v>
      </x:c>
      <x:c r="K230" s="23" t="str">
        <x:f>IF(J230&gt;=1,"ADEQUATE","GAP")</x:f>
        <x:v>ADEQUATE</x:v>
      </x:c>
    </x:row>
    <x:row r="231">
      <x:c r="B231" s="21" t="str">
        <x:v>SR-0225</x:v>
      </x:c>
      <x:c r="C231" s="21" t="str">
        <x:v>F38</x:v>
      </x:c>
      <x:c r="D231" s="21" t="str">
        <x:v>M03</x:v>
      </x:c>
      <x:c r="E231" s="37" t="n">
        <x:f>'Family Register'!G44*Scenarios!D9</x:f>
        <x:v>6.6000000000000005</x:v>
      </x:c>
      <x:c r="F231" s="37" t="n">
        <x:f>'Family Register'!I44</x:f>
        <x:v>1.6</x:v>
      </x:c>
      <x:c r="G231" s="37" t="n">
        <x:f>MIN(Scenarios!E9:L9)</x:f>
        <x:v>0.9</x:v>
      </x:c>
      <x:c r="H231" s="37" t="n">
        <x:f>'Family Register'!G44*F231*G231</x:f>
        <x:v>17.280000000000005</x:v>
      </x:c>
      <x:c r="I231" s="37" t="n">
        <x:f>MIN(E231,H231)</x:f>
        <x:v>6.6000000000000005</x:v>
      </x:c>
      <x:c r="J231" s="37" t="n">
        <x:f>IF(E231&gt;0,I231/E231,0)</x:f>
        <x:v>1</x:v>
      </x:c>
      <x:c r="K231" s="23" t="str">
        <x:f>IF(J231&gt;=1,"ADEQUATE","GAP")</x:f>
        <x:v>ADEQUATE</x:v>
      </x:c>
    </x:row>
    <x:row r="232">
      <x:c r="B232" s="21" t="str">
        <x:v>SR-0226</x:v>
      </x:c>
      <x:c r="C232" s="21" t="str">
        <x:v>F38</x:v>
      </x:c>
      <x:c r="D232" s="21" t="str">
        <x:v>M04</x:v>
      </x:c>
      <x:c r="E232" s="37" t="n">
        <x:f>'Family Register'!G44*Scenarios!D10</x:f>
        <x:v>9.600000000000001</x:v>
      </x:c>
      <x:c r="F232" s="37" t="n">
        <x:f>'Family Register'!I44</x:f>
        <x:v>1.6</x:v>
      </x:c>
      <x:c r="G232" s="37" t="n">
        <x:f>MIN(Scenarios!E10:L10)</x:f>
        <x:v>0.85</x:v>
      </x:c>
      <x:c r="H232" s="37" t="n">
        <x:f>'Family Register'!G44*F232*G232</x:f>
        <x:v>16.32</x:v>
      </x:c>
      <x:c r="I232" s="37" t="n">
        <x:f>MIN(E232,H232)</x:f>
        <x:v>9.600000000000001</x:v>
      </x:c>
      <x:c r="J232" s="37" t="n">
        <x:f>IF(E232&gt;0,I232/E232,0)</x:f>
        <x:v>1</x:v>
      </x:c>
      <x:c r="K232" s="23" t="str">
        <x:f>IF(J232&gt;=1,"ADEQUATE","GAP")</x:f>
        <x:v>ADEQUATE</x:v>
      </x:c>
    </x:row>
    <x:row r="233">
      <x:c r="B233" s="21" t="str">
        <x:v>SR-0227</x:v>
      </x:c>
      <x:c r="C233" s="21" t="str">
        <x:v>F38</x:v>
      </x:c>
      <x:c r="D233" s="21" t="str">
        <x:v>M05</x:v>
      </x:c>
      <x:c r="E233" s="37" t="n">
        <x:f>'Family Register'!G44*Scenarios!D11</x:f>
        <x:v>12</x:v>
      </x:c>
      <x:c r="F233" s="37" t="n">
        <x:f>'Family Register'!I44</x:f>
        <x:v>1.6</x:v>
      </x:c>
      <x:c r="G233" s="37" t="n">
        <x:f>MIN(Scenarios!E11:L11)</x:f>
        <x:v>0.65</x:v>
      </x:c>
      <x:c r="H233" s="37" t="n">
        <x:f>'Family Register'!G44*F233*G233</x:f>
        <x:v>12.480000000000002</x:v>
      </x:c>
      <x:c r="I233" s="37" t="n">
        <x:f>MIN(E233,H233)</x:f>
        <x:v>12</x:v>
      </x:c>
      <x:c r="J233" s="37" t="n">
        <x:f>IF(E233&gt;0,I233/E233,0)</x:f>
        <x:v>1</x:v>
      </x:c>
      <x:c r="K233" s="23" t="str">
        <x:f>IF(J233&gt;=1,"ADEQUATE","GAP")</x:f>
        <x:v>ADEQUATE</x:v>
      </x:c>
    </x:row>
    <x:row r="234">
      <x:c r="B234" s="21" t="str">
        <x:v>SR-0228</x:v>
      </x:c>
      <x:c r="C234" s="21" t="str">
        <x:v>F38</x:v>
      </x:c>
      <x:c r="D234" s="21" t="str">
        <x:v>M06</x:v>
      </x:c>
      <x:c r="E234" s="37" t="n">
        <x:f>'Family Register'!G44*Scenarios!D12</x:f>
        <x:v>15</x:v>
      </x:c>
      <x:c r="F234" s="37" t="n">
        <x:f>'Family Register'!I44</x:f>
        <x:v>1.6</x:v>
      </x:c>
      <x:c r="G234" s="37" t="n">
        <x:f>MIN(Scenarios!E12:L12)</x:f>
        <x:v>0.5</x:v>
      </x:c>
      <x:c r="H234" s="37" t="n">
        <x:f>'Family Register'!G44*F234*G234</x:f>
        <x:v>9.600000000000001</x:v>
      </x:c>
      <x:c r="I234" s="37" t="n">
        <x:f>MIN(E234,H234)</x:f>
        <x:v>9.600000000000001</x:v>
      </x:c>
      <x:c r="J234" s="37" t="n">
        <x:f>IF(E234&gt;0,I234/E234,0)</x:f>
        <x:v>0.6400000000000001</x:v>
      </x:c>
      <x:c r="K234" s="23" t="str">
        <x:f>IF(J234&gt;=1,"ADEQUATE","GAP")</x:f>
        <x:v>GAP</x:v>
      </x:c>
    </x:row>
    <x:row r="235">
      <x:c r="B235" s="21" t="str">
        <x:v>SR-0229</x:v>
      </x:c>
      <x:c r="C235" s="21" t="str">
        <x:v>F39</x:v>
      </x:c>
      <x:c r="D235" s="21" t="str">
        <x:v>M01</x:v>
      </x:c>
      <x:c r="E235" s="37" t="n">
        <x:f>'Family Register'!G45*Scenarios!D7</x:f>
        <x:v>0.4</x:v>
      </x:c>
      <x:c r="F235" s="37" t="n">
        <x:f>'Family Register'!I45</x:f>
        <x:v>1.6</x:v>
      </x:c>
      <x:c r="G235" s="37" t="n">
        <x:f>MIN(Scenarios!E7:L7)</x:f>
        <x:v>1</x:v>
      </x:c>
      <x:c r="H235" s="37" t="n">
        <x:f>'Family Register'!G45*F235*G235</x:f>
        <x:v>6.4</x:v>
      </x:c>
      <x:c r="I235" s="37" t="n">
        <x:f>MIN(E235,H235)</x:f>
        <x:v>0.4</x:v>
      </x:c>
      <x:c r="J235" s="37" t="n">
        <x:f>IF(E235&gt;0,I235/E235,0)</x:f>
        <x:v>1</x:v>
      </x:c>
      <x:c r="K235" s="23" t="str">
        <x:f>IF(J235&gt;=1,"ADEQUATE","GAP")</x:f>
        <x:v>ADEQUATE</x:v>
      </x:c>
    </x:row>
    <x:row r="236">
      <x:c r="B236" s="21" t="str">
        <x:v>SR-0230</x:v>
      </x:c>
      <x:c r="C236" s="21" t="str">
        <x:v>F39</x:v>
      </x:c>
      <x:c r="D236" s="21" t="str">
        <x:v>M02</x:v>
      </x:c>
      <x:c r="E236" s="37" t="n">
        <x:f>'Family Register'!G45*Scenarios!D8</x:f>
        <x:v>1.4</x:v>
      </x:c>
      <x:c r="F236" s="37" t="n">
        <x:f>'Family Register'!I45</x:f>
        <x:v>1.6</x:v>
      </x:c>
      <x:c r="G236" s="37" t="n">
        <x:f>MIN(Scenarios!E8:L8)</x:f>
        <x:v>0.95</x:v>
      </x:c>
      <x:c r="H236" s="37" t="n">
        <x:f>'Family Register'!G45*F236*G236</x:f>
        <x:v>6.08</x:v>
      </x:c>
      <x:c r="I236" s="37" t="n">
        <x:f>MIN(E236,H236)</x:f>
        <x:v>1.4</x:v>
      </x:c>
      <x:c r="J236" s="37" t="n">
        <x:f>IF(E236&gt;0,I236/E236,0)</x:f>
        <x:v>1</x:v>
      </x:c>
      <x:c r="K236" s="23" t="str">
        <x:f>IF(J236&gt;=1,"ADEQUATE","GAP")</x:f>
        <x:v>ADEQUATE</x:v>
      </x:c>
    </x:row>
    <x:row r="237">
      <x:c r="B237" s="21" t="str">
        <x:v>SR-0231</x:v>
      </x:c>
      <x:c r="C237" s="21" t="str">
        <x:v>F39</x:v>
      </x:c>
      <x:c r="D237" s="21" t="str">
        <x:v>M03</x:v>
      </x:c>
      <x:c r="E237" s="37" t="n">
        <x:f>'Family Register'!G45*Scenarios!D9</x:f>
        <x:v>2.2</x:v>
      </x:c>
      <x:c r="F237" s="37" t="n">
        <x:f>'Family Register'!I45</x:f>
        <x:v>1.6</x:v>
      </x:c>
      <x:c r="G237" s="37" t="n">
        <x:f>MIN(Scenarios!E9:L9)</x:f>
        <x:v>0.9</x:v>
      </x:c>
      <x:c r="H237" s="37" t="n">
        <x:f>'Family Register'!G45*F237*G237</x:f>
        <x:v>5.760000000000001</x:v>
      </x:c>
      <x:c r="I237" s="37" t="n">
        <x:f>MIN(E237,H237)</x:f>
        <x:v>2.2</x:v>
      </x:c>
      <x:c r="J237" s="37" t="n">
        <x:f>IF(E237&gt;0,I237/E237,0)</x:f>
        <x:v>1</x:v>
      </x:c>
      <x:c r="K237" s="23" t="str">
        <x:f>IF(J237&gt;=1,"ADEQUATE","GAP")</x:f>
        <x:v>ADEQUATE</x:v>
      </x:c>
    </x:row>
    <x:row r="238">
      <x:c r="B238" s="21" t="str">
        <x:v>SR-0232</x:v>
      </x:c>
      <x:c r="C238" s="21" t="str">
        <x:v>F39</x:v>
      </x:c>
      <x:c r="D238" s="21" t="str">
        <x:v>M04</x:v>
      </x:c>
      <x:c r="E238" s="37" t="n">
        <x:f>'Family Register'!G45*Scenarios!D10</x:f>
        <x:v>3.2</x:v>
      </x:c>
      <x:c r="F238" s="37" t="n">
        <x:f>'Family Register'!I45</x:f>
        <x:v>1.6</x:v>
      </x:c>
      <x:c r="G238" s="37" t="n">
        <x:f>MIN(Scenarios!E10:L10)</x:f>
        <x:v>0.85</x:v>
      </x:c>
      <x:c r="H238" s="37" t="n">
        <x:f>'Family Register'!G45*F238*G238</x:f>
        <x:v>5.44</x:v>
      </x:c>
      <x:c r="I238" s="37" t="n">
        <x:f>MIN(E238,H238)</x:f>
        <x:v>3.2</x:v>
      </x:c>
      <x:c r="J238" s="37" t="n">
        <x:f>IF(E238&gt;0,I238/E238,0)</x:f>
        <x:v>1</x:v>
      </x:c>
      <x:c r="K238" s="23" t="str">
        <x:f>IF(J238&gt;=1,"ADEQUATE","GAP")</x:f>
        <x:v>ADEQUATE</x:v>
      </x:c>
    </x:row>
    <x:row r="239">
      <x:c r="B239" s="21" t="str">
        <x:v>SR-0233</x:v>
      </x:c>
      <x:c r="C239" s="21" t="str">
        <x:v>F39</x:v>
      </x:c>
      <x:c r="D239" s="21" t="str">
        <x:v>M05</x:v>
      </x:c>
      <x:c r="E239" s="37" t="n">
        <x:f>'Family Register'!G45*Scenarios!D11</x:f>
        <x:v>4</x:v>
      </x:c>
      <x:c r="F239" s="37" t="n">
        <x:f>'Family Register'!I45</x:f>
        <x:v>1.6</x:v>
      </x:c>
      <x:c r="G239" s="37" t="n">
        <x:f>MIN(Scenarios!E11:L11)</x:f>
        <x:v>0.65</x:v>
      </x:c>
      <x:c r="H239" s="37" t="n">
        <x:f>'Family Register'!G45*F239*G239</x:f>
        <x:v>4.16</x:v>
      </x:c>
      <x:c r="I239" s="37" t="n">
        <x:f>MIN(E239,H239)</x:f>
        <x:v>4</x:v>
      </x:c>
      <x:c r="J239" s="37" t="n">
        <x:f>IF(E239&gt;0,I239/E239,0)</x:f>
        <x:v>1</x:v>
      </x:c>
      <x:c r="K239" s="23" t="str">
        <x:f>IF(J239&gt;=1,"ADEQUATE","GAP")</x:f>
        <x:v>ADEQUATE</x:v>
      </x:c>
    </x:row>
    <x:row r="240">
      <x:c r="B240" s="21" t="str">
        <x:v>SR-0234</x:v>
      </x:c>
      <x:c r="C240" s="21" t="str">
        <x:v>F39</x:v>
      </x:c>
      <x:c r="D240" s="21" t="str">
        <x:v>M06</x:v>
      </x:c>
      <x:c r="E240" s="37" t="n">
        <x:f>'Family Register'!G45*Scenarios!D12</x:f>
        <x:v>5</x:v>
      </x:c>
      <x:c r="F240" s="37" t="n">
        <x:f>'Family Register'!I45</x:f>
        <x:v>1.6</x:v>
      </x:c>
      <x:c r="G240" s="37" t="n">
        <x:f>MIN(Scenarios!E12:L12)</x:f>
        <x:v>0.5</x:v>
      </x:c>
      <x:c r="H240" s="37" t="n">
        <x:f>'Family Register'!G45*F240*G240</x:f>
        <x:v>3.2</x:v>
      </x:c>
      <x:c r="I240" s="37" t="n">
        <x:f>MIN(E240,H240)</x:f>
        <x:v>3.2</x:v>
      </x:c>
      <x:c r="J240" s="37" t="n">
        <x:f>IF(E240&gt;0,I240/E240,0)</x:f>
        <x:v>0.64</x:v>
      </x:c>
      <x:c r="K240" s="23" t="str">
        <x:f>IF(J240&gt;=1,"ADEQUATE","GAP")</x:f>
        <x:v>GAP</x:v>
      </x:c>
    </x:row>
    <x:row r="241">
      <x:c r="B241" s="21" t="str">
        <x:v>SR-0235</x:v>
      </x:c>
      <x:c r="C241" s="21" t="str">
        <x:v>F40</x:v>
      </x:c>
      <x:c r="D241" s="21" t="str">
        <x:v>M01</x:v>
      </x:c>
      <x:c r="E241" s="37" t="n">
        <x:f>'Family Register'!G46*Scenarios!D7</x:f>
        <x:v>0.4</x:v>
      </x:c>
      <x:c r="F241" s="37" t="n">
        <x:f>'Family Register'!I46</x:f>
        <x:v>1.6</x:v>
      </x:c>
      <x:c r="G241" s="37" t="n">
        <x:f>MIN(Scenarios!E7:L7)</x:f>
        <x:v>1</x:v>
      </x:c>
      <x:c r="H241" s="37" t="n">
        <x:f>'Family Register'!G46*F241*G241</x:f>
        <x:v>6.4</x:v>
      </x:c>
      <x:c r="I241" s="37" t="n">
        <x:f>MIN(E241,H241)</x:f>
        <x:v>0.4</x:v>
      </x:c>
      <x:c r="J241" s="37" t="n">
        <x:f>IF(E241&gt;0,I241/E241,0)</x:f>
        <x:v>1</x:v>
      </x:c>
      <x:c r="K241" s="23" t="str">
        <x:f>IF(J241&gt;=1,"ADEQUATE","GAP")</x:f>
        <x:v>ADEQUATE</x:v>
      </x:c>
    </x:row>
    <x:row r="242">
      <x:c r="B242" s="21" t="str">
        <x:v>SR-0236</x:v>
      </x:c>
      <x:c r="C242" s="21" t="str">
        <x:v>F40</x:v>
      </x:c>
      <x:c r="D242" s="21" t="str">
        <x:v>M02</x:v>
      </x:c>
      <x:c r="E242" s="37" t="n">
        <x:f>'Family Register'!G46*Scenarios!D8</x:f>
        <x:v>1.4</x:v>
      </x:c>
      <x:c r="F242" s="37" t="n">
        <x:f>'Family Register'!I46</x:f>
        <x:v>1.6</x:v>
      </x:c>
      <x:c r="G242" s="37" t="n">
        <x:f>MIN(Scenarios!E8:L8)</x:f>
        <x:v>0.95</x:v>
      </x:c>
      <x:c r="H242" s="37" t="n">
        <x:f>'Family Register'!G46*F242*G242</x:f>
        <x:v>6.08</x:v>
      </x:c>
      <x:c r="I242" s="37" t="n">
        <x:f>MIN(E242,H242)</x:f>
        <x:v>1.4</x:v>
      </x:c>
      <x:c r="J242" s="37" t="n">
        <x:f>IF(E242&gt;0,I242/E242,0)</x:f>
        <x:v>1</x:v>
      </x:c>
      <x:c r="K242" s="23" t="str">
        <x:f>IF(J242&gt;=1,"ADEQUATE","GAP")</x:f>
        <x:v>ADEQUATE</x:v>
      </x:c>
    </x:row>
    <x:row r="243">
      <x:c r="B243" s="21" t="str">
        <x:v>SR-0237</x:v>
      </x:c>
      <x:c r="C243" s="21" t="str">
        <x:v>F40</x:v>
      </x:c>
      <x:c r="D243" s="21" t="str">
        <x:v>M03</x:v>
      </x:c>
      <x:c r="E243" s="37" t="n">
        <x:f>'Family Register'!G46*Scenarios!D9</x:f>
        <x:v>2.2</x:v>
      </x:c>
      <x:c r="F243" s="37" t="n">
        <x:f>'Family Register'!I46</x:f>
        <x:v>1.6</x:v>
      </x:c>
      <x:c r="G243" s="37" t="n">
        <x:f>MIN(Scenarios!E9:L9)</x:f>
        <x:v>0.9</x:v>
      </x:c>
      <x:c r="H243" s="37" t="n">
        <x:f>'Family Register'!G46*F243*G243</x:f>
        <x:v>5.760000000000001</x:v>
      </x:c>
      <x:c r="I243" s="37" t="n">
        <x:f>MIN(E243,H243)</x:f>
        <x:v>2.2</x:v>
      </x:c>
      <x:c r="J243" s="37" t="n">
        <x:f>IF(E243&gt;0,I243/E243,0)</x:f>
        <x:v>1</x:v>
      </x:c>
      <x:c r="K243" s="23" t="str">
        <x:f>IF(J243&gt;=1,"ADEQUATE","GAP")</x:f>
        <x:v>ADEQUATE</x:v>
      </x:c>
    </x:row>
    <x:row r="244">
      <x:c r="B244" s="21" t="str">
        <x:v>SR-0238</x:v>
      </x:c>
      <x:c r="C244" s="21" t="str">
        <x:v>F40</x:v>
      </x:c>
      <x:c r="D244" s="21" t="str">
        <x:v>M04</x:v>
      </x:c>
      <x:c r="E244" s="37" t="n">
        <x:f>'Family Register'!G46*Scenarios!D10</x:f>
        <x:v>3.2</x:v>
      </x:c>
      <x:c r="F244" s="37" t="n">
        <x:f>'Family Register'!I46</x:f>
        <x:v>1.6</x:v>
      </x:c>
      <x:c r="G244" s="37" t="n">
        <x:f>MIN(Scenarios!E10:L10)</x:f>
        <x:v>0.85</x:v>
      </x:c>
      <x:c r="H244" s="37" t="n">
        <x:f>'Family Register'!G46*F244*G244</x:f>
        <x:v>5.44</x:v>
      </x:c>
      <x:c r="I244" s="37" t="n">
        <x:f>MIN(E244,H244)</x:f>
        <x:v>3.2</x:v>
      </x:c>
      <x:c r="J244" s="37" t="n">
        <x:f>IF(E244&gt;0,I244/E244,0)</x:f>
        <x:v>1</x:v>
      </x:c>
      <x:c r="K244" s="23" t="str">
        <x:f>IF(J244&gt;=1,"ADEQUATE","GAP")</x:f>
        <x:v>ADEQUATE</x:v>
      </x:c>
    </x:row>
    <x:row r="245">
      <x:c r="B245" s="21" t="str">
        <x:v>SR-0239</x:v>
      </x:c>
      <x:c r="C245" s="21" t="str">
        <x:v>F40</x:v>
      </x:c>
      <x:c r="D245" s="21" t="str">
        <x:v>M05</x:v>
      </x:c>
      <x:c r="E245" s="37" t="n">
        <x:f>'Family Register'!G46*Scenarios!D11</x:f>
        <x:v>4</x:v>
      </x:c>
      <x:c r="F245" s="37" t="n">
        <x:f>'Family Register'!I46</x:f>
        <x:v>1.6</x:v>
      </x:c>
      <x:c r="G245" s="37" t="n">
        <x:f>MIN(Scenarios!E11:L11)</x:f>
        <x:v>0.65</x:v>
      </x:c>
      <x:c r="H245" s="37" t="n">
        <x:f>'Family Register'!G46*F245*G245</x:f>
        <x:v>4.16</x:v>
      </x:c>
      <x:c r="I245" s="37" t="n">
        <x:f>MIN(E245,H245)</x:f>
        <x:v>4</x:v>
      </x:c>
      <x:c r="J245" s="37" t="n">
        <x:f>IF(E245&gt;0,I245/E245,0)</x:f>
        <x:v>1</x:v>
      </x:c>
      <x:c r="K245" s="23" t="str">
        <x:f>IF(J245&gt;=1,"ADEQUATE","GAP")</x:f>
        <x:v>ADEQUATE</x:v>
      </x:c>
    </x:row>
    <x:row r="246">
      <x:c r="B246" s="21" t="str">
        <x:v>SR-0240</x:v>
      </x:c>
      <x:c r="C246" s="21" t="str">
        <x:v>F40</x:v>
      </x:c>
      <x:c r="D246" s="21" t="str">
        <x:v>M06</x:v>
      </x:c>
      <x:c r="E246" s="37" t="n">
        <x:f>'Family Register'!G46*Scenarios!D12</x:f>
        <x:v>5</x:v>
      </x:c>
      <x:c r="F246" s="37" t="n">
        <x:f>'Family Register'!I46</x:f>
        <x:v>1.6</x:v>
      </x:c>
      <x:c r="G246" s="37" t="n">
        <x:f>MIN(Scenarios!E12:L12)</x:f>
        <x:v>0.5</x:v>
      </x:c>
      <x:c r="H246" s="37" t="n">
        <x:f>'Family Register'!G46*F246*G246</x:f>
        <x:v>3.2</x:v>
      </x:c>
      <x:c r="I246" s="37" t="n">
        <x:f>MIN(E246,H246)</x:f>
        <x:v>3.2</x:v>
      </x:c>
      <x:c r="J246" s="37" t="n">
        <x:f>IF(E246&gt;0,I246/E246,0)</x:f>
        <x:v>0.64</x:v>
      </x:c>
      <x:c r="K246" s="23" t="str">
        <x:f>IF(J246&gt;=1,"ADEQUATE","GAP")</x:f>
        <x:v>GAP</x:v>
      </x:c>
    </x:row>
    <x:row r="247">
      <x:c r="B247" s="21" t="str">
        <x:v>SR-0241</x:v>
      </x:c>
      <x:c r="C247" s="21" t="str">
        <x:v>F41</x:v>
      </x:c>
      <x:c r="D247" s="21" t="str">
        <x:v>M01</x:v>
      </x:c>
      <x:c r="E247" s="37" t="n">
        <x:f>'Family Register'!G47*Scenarios!D7</x:f>
        <x:v>0.4</x:v>
      </x:c>
      <x:c r="F247" s="37" t="n">
        <x:f>'Family Register'!I47</x:f>
        <x:v>1.6</x:v>
      </x:c>
      <x:c r="G247" s="37" t="n">
        <x:f>MIN(Scenarios!E7:L7)</x:f>
        <x:v>1</x:v>
      </x:c>
      <x:c r="H247" s="37" t="n">
        <x:f>'Family Register'!G47*F247*G247</x:f>
        <x:v>6.4</x:v>
      </x:c>
      <x:c r="I247" s="37" t="n">
        <x:f>MIN(E247,H247)</x:f>
        <x:v>0.4</x:v>
      </x:c>
      <x:c r="J247" s="37" t="n">
        <x:f>IF(E247&gt;0,I247/E247,0)</x:f>
        <x:v>1</x:v>
      </x:c>
      <x:c r="K247" s="23" t="str">
        <x:f>IF(J247&gt;=1,"ADEQUATE","GAP")</x:f>
        <x:v>ADEQUATE</x:v>
      </x:c>
    </x:row>
    <x:row r="248">
      <x:c r="B248" s="21" t="str">
        <x:v>SR-0242</x:v>
      </x:c>
      <x:c r="C248" s="21" t="str">
        <x:v>F41</x:v>
      </x:c>
      <x:c r="D248" s="21" t="str">
        <x:v>M02</x:v>
      </x:c>
      <x:c r="E248" s="37" t="n">
        <x:f>'Family Register'!G47*Scenarios!D8</x:f>
        <x:v>1.4</x:v>
      </x:c>
      <x:c r="F248" s="37" t="n">
        <x:f>'Family Register'!I47</x:f>
        <x:v>1.6</x:v>
      </x:c>
      <x:c r="G248" s="37" t="n">
        <x:f>MIN(Scenarios!E8:L8)</x:f>
        <x:v>0.95</x:v>
      </x:c>
      <x:c r="H248" s="37" t="n">
        <x:f>'Family Register'!G47*F248*G248</x:f>
        <x:v>6.08</x:v>
      </x:c>
      <x:c r="I248" s="37" t="n">
        <x:f>MIN(E248,H248)</x:f>
        <x:v>1.4</x:v>
      </x:c>
      <x:c r="J248" s="37" t="n">
        <x:f>IF(E248&gt;0,I248/E248,0)</x:f>
        <x:v>1</x:v>
      </x:c>
      <x:c r="K248" s="23" t="str">
        <x:f>IF(J248&gt;=1,"ADEQUATE","GAP")</x:f>
        <x:v>ADEQUATE</x:v>
      </x:c>
    </x:row>
    <x:row r="249">
      <x:c r="B249" s="21" t="str">
        <x:v>SR-0243</x:v>
      </x:c>
      <x:c r="C249" s="21" t="str">
        <x:v>F41</x:v>
      </x:c>
      <x:c r="D249" s="21" t="str">
        <x:v>M03</x:v>
      </x:c>
      <x:c r="E249" s="37" t="n">
        <x:f>'Family Register'!G47*Scenarios!D9</x:f>
        <x:v>2.2</x:v>
      </x:c>
      <x:c r="F249" s="37" t="n">
        <x:f>'Family Register'!I47</x:f>
        <x:v>1.6</x:v>
      </x:c>
      <x:c r="G249" s="37" t="n">
        <x:f>MIN(Scenarios!E9:L9)</x:f>
        <x:v>0.9</x:v>
      </x:c>
      <x:c r="H249" s="37" t="n">
        <x:f>'Family Register'!G47*F249*G249</x:f>
        <x:v>5.760000000000001</x:v>
      </x:c>
      <x:c r="I249" s="37" t="n">
        <x:f>MIN(E249,H249)</x:f>
        <x:v>2.2</x:v>
      </x:c>
      <x:c r="J249" s="37" t="n">
        <x:f>IF(E249&gt;0,I249/E249,0)</x:f>
        <x:v>1</x:v>
      </x:c>
      <x:c r="K249" s="23" t="str">
        <x:f>IF(J249&gt;=1,"ADEQUATE","GAP")</x:f>
        <x:v>ADEQUATE</x:v>
      </x:c>
    </x:row>
    <x:row r="250">
      <x:c r="B250" s="21" t="str">
        <x:v>SR-0244</x:v>
      </x:c>
      <x:c r="C250" s="21" t="str">
        <x:v>F41</x:v>
      </x:c>
      <x:c r="D250" s="21" t="str">
        <x:v>M04</x:v>
      </x:c>
      <x:c r="E250" s="37" t="n">
        <x:f>'Family Register'!G47*Scenarios!D10</x:f>
        <x:v>3.2</x:v>
      </x:c>
      <x:c r="F250" s="37" t="n">
        <x:f>'Family Register'!I47</x:f>
        <x:v>1.6</x:v>
      </x:c>
      <x:c r="G250" s="37" t="n">
        <x:f>MIN(Scenarios!E10:L10)</x:f>
        <x:v>0.85</x:v>
      </x:c>
      <x:c r="H250" s="37" t="n">
        <x:f>'Family Register'!G47*F250*G250</x:f>
        <x:v>5.44</x:v>
      </x:c>
      <x:c r="I250" s="37" t="n">
        <x:f>MIN(E250,H250)</x:f>
        <x:v>3.2</x:v>
      </x:c>
      <x:c r="J250" s="37" t="n">
        <x:f>IF(E250&gt;0,I250/E250,0)</x:f>
        <x:v>1</x:v>
      </x:c>
      <x:c r="K250" s="23" t="str">
        <x:f>IF(J250&gt;=1,"ADEQUATE","GAP")</x:f>
        <x:v>ADEQUATE</x:v>
      </x:c>
    </x:row>
    <x:row r="251">
      <x:c r="B251" s="21" t="str">
        <x:v>SR-0245</x:v>
      </x:c>
      <x:c r="C251" s="21" t="str">
        <x:v>F41</x:v>
      </x:c>
      <x:c r="D251" s="21" t="str">
        <x:v>M05</x:v>
      </x:c>
      <x:c r="E251" s="37" t="n">
        <x:f>'Family Register'!G47*Scenarios!D11</x:f>
        <x:v>4</x:v>
      </x:c>
      <x:c r="F251" s="37" t="n">
        <x:f>'Family Register'!I47</x:f>
        <x:v>1.6</x:v>
      </x:c>
      <x:c r="G251" s="37" t="n">
        <x:f>MIN(Scenarios!E11:L11)</x:f>
        <x:v>0.65</x:v>
      </x:c>
      <x:c r="H251" s="37" t="n">
        <x:f>'Family Register'!G47*F251*G251</x:f>
        <x:v>4.16</x:v>
      </x:c>
      <x:c r="I251" s="37" t="n">
        <x:f>MIN(E251,H251)</x:f>
        <x:v>4</x:v>
      </x:c>
      <x:c r="J251" s="37" t="n">
        <x:f>IF(E251&gt;0,I251/E251,0)</x:f>
        <x:v>1</x:v>
      </x:c>
      <x:c r="K251" s="23" t="str">
        <x:f>IF(J251&gt;=1,"ADEQUATE","GAP")</x:f>
        <x:v>ADEQUATE</x:v>
      </x:c>
    </x:row>
    <x:row r="252">
      <x:c r="B252" s="21" t="str">
        <x:v>SR-0246</x:v>
      </x:c>
      <x:c r="C252" s="21" t="str">
        <x:v>F41</x:v>
      </x:c>
      <x:c r="D252" s="21" t="str">
        <x:v>M06</x:v>
      </x:c>
      <x:c r="E252" s="37" t="n">
        <x:f>'Family Register'!G47*Scenarios!D12</x:f>
        <x:v>5</x:v>
      </x:c>
      <x:c r="F252" s="37" t="n">
        <x:f>'Family Register'!I47</x:f>
        <x:v>1.6</x:v>
      </x:c>
      <x:c r="G252" s="37" t="n">
        <x:f>MIN(Scenarios!E12:L12)</x:f>
        <x:v>0.5</x:v>
      </x:c>
      <x:c r="H252" s="37" t="n">
        <x:f>'Family Register'!G47*F252*G252</x:f>
        <x:v>3.2</x:v>
      </x:c>
      <x:c r="I252" s="37" t="n">
        <x:f>MIN(E252,H252)</x:f>
        <x:v>3.2</x:v>
      </x:c>
      <x:c r="J252" s="37" t="n">
        <x:f>IF(E252&gt;0,I252/E252,0)</x:f>
        <x:v>0.64</x:v>
      </x:c>
      <x:c r="K252" s="23" t="str">
        <x:f>IF(J252&gt;=1,"ADEQUATE","GAP")</x:f>
        <x:v>GAP</x:v>
      </x:c>
    </x:row>
    <x:row r="253">
      <x:c r="B253" s="21" t="str">
        <x:v>SR-0247</x:v>
      </x:c>
      <x:c r="C253" s="21" t="str">
        <x:v>F42</x:v>
      </x:c>
      <x:c r="D253" s="21" t="str">
        <x:v>M01</x:v>
      </x:c>
      <x:c r="E253" s="37" t="n">
        <x:f>'Family Register'!G48*Scenarios!D7</x:f>
        <x:v>0.4</x:v>
      </x:c>
      <x:c r="F253" s="37" t="n">
        <x:f>'Family Register'!I48</x:f>
        <x:v>1.6</x:v>
      </x:c>
      <x:c r="G253" s="37" t="n">
        <x:f>MIN(Scenarios!E7:L7)</x:f>
        <x:v>1</x:v>
      </x:c>
      <x:c r="H253" s="37" t="n">
        <x:f>'Family Register'!G48*F253*G253</x:f>
        <x:v>6.4</x:v>
      </x:c>
      <x:c r="I253" s="37" t="n">
        <x:f>MIN(E253,H253)</x:f>
        <x:v>0.4</x:v>
      </x:c>
      <x:c r="J253" s="37" t="n">
        <x:f>IF(E253&gt;0,I253/E253,0)</x:f>
        <x:v>1</x:v>
      </x:c>
      <x:c r="K253" s="23" t="str">
        <x:f>IF(J253&gt;=1,"ADEQUATE","GAP")</x:f>
        <x:v>ADEQUATE</x:v>
      </x:c>
    </x:row>
    <x:row r="254">
      <x:c r="B254" s="21" t="str">
        <x:v>SR-0248</x:v>
      </x:c>
      <x:c r="C254" s="21" t="str">
        <x:v>F42</x:v>
      </x:c>
      <x:c r="D254" s="21" t="str">
        <x:v>M02</x:v>
      </x:c>
      <x:c r="E254" s="37" t="n">
        <x:f>'Family Register'!G48*Scenarios!D8</x:f>
        <x:v>1.4</x:v>
      </x:c>
      <x:c r="F254" s="37" t="n">
        <x:f>'Family Register'!I48</x:f>
        <x:v>1.6</x:v>
      </x:c>
      <x:c r="G254" s="37" t="n">
        <x:f>MIN(Scenarios!E8:L8)</x:f>
        <x:v>0.95</x:v>
      </x:c>
      <x:c r="H254" s="37" t="n">
        <x:f>'Family Register'!G48*F254*G254</x:f>
        <x:v>6.08</x:v>
      </x:c>
      <x:c r="I254" s="37" t="n">
        <x:f>MIN(E254,H254)</x:f>
        <x:v>1.4</x:v>
      </x:c>
      <x:c r="J254" s="37" t="n">
        <x:f>IF(E254&gt;0,I254/E254,0)</x:f>
        <x:v>1</x:v>
      </x:c>
      <x:c r="K254" s="23" t="str">
        <x:f>IF(J254&gt;=1,"ADEQUATE","GAP")</x:f>
        <x:v>ADEQUATE</x:v>
      </x:c>
    </x:row>
    <x:row r="255">
      <x:c r="B255" s="21" t="str">
        <x:v>SR-0249</x:v>
      </x:c>
      <x:c r="C255" s="21" t="str">
        <x:v>F42</x:v>
      </x:c>
      <x:c r="D255" s="21" t="str">
        <x:v>M03</x:v>
      </x:c>
      <x:c r="E255" s="37" t="n">
        <x:f>'Family Register'!G48*Scenarios!D9</x:f>
        <x:v>2.2</x:v>
      </x:c>
      <x:c r="F255" s="37" t="n">
        <x:f>'Family Register'!I48</x:f>
        <x:v>1.6</x:v>
      </x:c>
      <x:c r="G255" s="37" t="n">
        <x:f>MIN(Scenarios!E9:L9)</x:f>
        <x:v>0.9</x:v>
      </x:c>
      <x:c r="H255" s="37" t="n">
        <x:f>'Family Register'!G48*F255*G255</x:f>
        <x:v>5.760000000000001</x:v>
      </x:c>
      <x:c r="I255" s="37" t="n">
        <x:f>MIN(E255,H255)</x:f>
        <x:v>2.2</x:v>
      </x:c>
      <x:c r="J255" s="37" t="n">
        <x:f>IF(E255&gt;0,I255/E255,0)</x:f>
        <x:v>1</x:v>
      </x:c>
      <x:c r="K255" s="23" t="str">
        <x:f>IF(J255&gt;=1,"ADEQUATE","GAP")</x:f>
        <x:v>ADEQUATE</x:v>
      </x:c>
    </x:row>
    <x:row r="256">
      <x:c r="B256" s="21" t="str">
        <x:v>SR-0250</x:v>
      </x:c>
      <x:c r="C256" s="21" t="str">
        <x:v>F42</x:v>
      </x:c>
      <x:c r="D256" s="21" t="str">
        <x:v>M04</x:v>
      </x:c>
      <x:c r="E256" s="37" t="n">
        <x:f>'Family Register'!G48*Scenarios!D10</x:f>
        <x:v>3.2</x:v>
      </x:c>
      <x:c r="F256" s="37" t="n">
        <x:f>'Family Register'!I48</x:f>
        <x:v>1.6</x:v>
      </x:c>
      <x:c r="G256" s="37" t="n">
        <x:f>MIN(Scenarios!E10:L10)</x:f>
        <x:v>0.85</x:v>
      </x:c>
      <x:c r="H256" s="37" t="n">
        <x:f>'Family Register'!G48*F256*G256</x:f>
        <x:v>5.44</x:v>
      </x:c>
      <x:c r="I256" s="37" t="n">
        <x:f>MIN(E256,H256)</x:f>
        <x:v>3.2</x:v>
      </x:c>
      <x:c r="J256" s="37" t="n">
        <x:f>IF(E256&gt;0,I256/E256,0)</x:f>
        <x:v>1</x:v>
      </x:c>
      <x:c r="K256" s="23" t="str">
        <x:f>IF(J256&gt;=1,"ADEQUATE","GAP")</x:f>
        <x:v>ADEQUATE</x:v>
      </x:c>
    </x:row>
    <x:row r="257">
      <x:c r="B257" s="21" t="str">
        <x:v>SR-0251</x:v>
      </x:c>
      <x:c r="C257" s="21" t="str">
        <x:v>F42</x:v>
      </x:c>
      <x:c r="D257" s="21" t="str">
        <x:v>M05</x:v>
      </x:c>
      <x:c r="E257" s="37" t="n">
        <x:f>'Family Register'!G48*Scenarios!D11</x:f>
        <x:v>4</x:v>
      </x:c>
      <x:c r="F257" s="37" t="n">
        <x:f>'Family Register'!I48</x:f>
        <x:v>1.6</x:v>
      </x:c>
      <x:c r="G257" s="37" t="n">
        <x:f>MIN(Scenarios!E11:L11)</x:f>
        <x:v>0.65</x:v>
      </x:c>
      <x:c r="H257" s="37" t="n">
        <x:f>'Family Register'!G48*F257*G257</x:f>
        <x:v>4.16</x:v>
      </x:c>
      <x:c r="I257" s="37" t="n">
        <x:f>MIN(E257,H257)</x:f>
        <x:v>4</x:v>
      </x:c>
      <x:c r="J257" s="37" t="n">
        <x:f>IF(E257&gt;0,I257/E257,0)</x:f>
        <x:v>1</x:v>
      </x:c>
      <x:c r="K257" s="23" t="str">
        <x:f>IF(J257&gt;=1,"ADEQUATE","GAP")</x:f>
        <x:v>ADEQUATE</x:v>
      </x:c>
    </x:row>
    <x:row r="258">
      <x:c r="B258" s="21" t="str">
        <x:v>SR-0252</x:v>
      </x:c>
      <x:c r="C258" s="21" t="str">
        <x:v>F42</x:v>
      </x:c>
      <x:c r="D258" s="21" t="str">
        <x:v>M06</x:v>
      </x:c>
      <x:c r="E258" s="37" t="n">
        <x:f>'Family Register'!G48*Scenarios!D12</x:f>
        <x:v>5</x:v>
      </x:c>
      <x:c r="F258" s="37" t="n">
        <x:f>'Family Register'!I48</x:f>
        <x:v>1.6</x:v>
      </x:c>
      <x:c r="G258" s="37" t="n">
        <x:f>MIN(Scenarios!E12:L12)</x:f>
        <x:v>0.5</x:v>
      </x:c>
      <x:c r="H258" s="37" t="n">
        <x:f>'Family Register'!G48*F258*G258</x:f>
        <x:v>3.2</x:v>
      </x:c>
      <x:c r="I258" s="37" t="n">
        <x:f>MIN(E258,H258)</x:f>
        <x:v>3.2</x:v>
      </x:c>
      <x:c r="J258" s="37" t="n">
        <x:f>IF(E258&gt;0,I258/E258,0)</x:f>
        <x:v>0.64</x:v>
      </x:c>
      <x:c r="K258" s="23" t="str">
        <x:f>IF(J258&gt;=1,"ADEQUATE","GAP")</x:f>
        <x:v>GAP</x:v>
      </x:c>
    </x:row>
    <x:row r="259">
      <x:c r="B259" s="21" t="str">
        <x:v>SR-0253</x:v>
      </x:c>
      <x:c r="C259" s="21" t="str">
        <x:v>F43</x:v>
      </x:c>
      <x:c r="D259" s="21" t="str">
        <x:v>M01</x:v>
      </x:c>
      <x:c r="E259" s="37" t="n">
        <x:f>'Family Register'!G49*Scenarios!D7</x:f>
        <x:v>0.4</x:v>
      </x:c>
      <x:c r="F259" s="37" t="n">
        <x:f>'Family Register'!I49</x:f>
        <x:v>1.6</x:v>
      </x:c>
      <x:c r="G259" s="37" t="n">
        <x:f>MIN(Scenarios!E7:L7)</x:f>
        <x:v>1</x:v>
      </x:c>
      <x:c r="H259" s="37" t="n">
        <x:f>'Family Register'!G49*F259*G259</x:f>
        <x:v>6.4</x:v>
      </x:c>
      <x:c r="I259" s="37" t="n">
        <x:f>MIN(E259,H259)</x:f>
        <x:v>0.4</x:v>
      </x:c>
      <x:c r="J259" s="37" t="n">
        <x:f>IF(E259&gt;0,I259/E259,0)</x:f>
        <x:v>1</x:v>
      </x:c>
      <x:c r="K259" s="23" t="str">
        <x:f>IF(J259&gt;=1,"ADEQUATE","GAP")</x:f>
        <x:v>ADEQUATE</x:v>
      </x:c>
    </x:row>
    <x:row r="260">
      <x:c r="B260" s="21" t="str">
        <x:v>SR-0254</x:v>
      </x:c>
      <x:c r="C260" s="21" t="str">
        <x:v>F43</x:v>
      </x:c>
      <x:c r="D260" s="21" t="str">
        <x:v>M02</x:v>
      </x:c>
      <x:c r="E260" s="37" t="n">
        <x:f>'Family Register'!G49*Scenarios!D8</x:f>
        <x:v>1.4</x:v>
      </x:c>
      <x:c r="F260" s="37" t="n">
        <x:f>'Family Register'!I49</x:f>
        <x:v>1.6</x:v>
      </x:c>
      <x:c r="G260" s="37" t="n">
        <x:f>MIN(Scenarios!E8:L8)</x:f>
        <x:v>0.95</x:v>
      </x:c>
      <x:c r="H260" s="37" t="n">
        <x:f>'Family Register'!G49*F260*G260</x:f>
        <x:v>6.08</x:v>
      </x:c>
      <x:c r="I260" s="37" t="n">
        <x:f>MIN(E260,H260)</x:f>
        <x:v>1.4</x:v>
      </x:c>
      <x:c r="J260" s="37" t="n">
        <x:f>IF(E260&gt;0,I260/E260,0)</x:f>
        <x:v>1</x:v>
      </x:c>
      <x:c r="K260" s="23" t="str">
        <x:f>IF(J260&gt;=1,"ADEQUATE","GAP")</x:f>
        <x:v>ADEQUATE</x:v>
      </x:c>
    </x:row>
    <x:row r="261">
      <x:c r="B261" s="21" t="str">
        <x:v>SR-0255</x:v>
      </x:c>
      <x:c r="C261" s="21" t="str">
        <x:v>F43</x:v>
      </x:c>
      <x:c r="D261" s="21" t="str">
        <x:v>M03</x:v>
      </x:c>
      <x:c r="E261" s="37" t="n">
        <x:f>'Family Register'!G49*Scenarios!D9</x:f>
        <x:v>2.2</x:v>
      </x:c>
      <x:c r="F261" s="37" t="n">
        <x:f>'Family Register'!I49</x:f>
        <x:v>1.6</x:v>
      </x:c>
      <x:c r="G261" s="37" t="n">
        <x:f>MIN(Scenarios!E9:L9)</x:f>
        <x:v>0.9</x:v>
      </x:c>
      <x:c r="H261" s="37" t="n">
        <x:f>'Family Register'!G49*F261*G261</x:f>
        <x:v>5.760000000000001</x:v>
      </x:c>
      <x:c r="I261" s="37" t="n">
        <x:f>MIN(E261,H261)</x:f>
        <x:v>2.2</x:v>
      </x:c>
      <x:c r="J261" s="37" t="n">
        <x:f>IF(E261&gt;0,I261/E261,0)</x:f>
        <x:v>1</x:v>
      </x:c>
      <x:c r="K261" s="23" t="str">
        <x:f>IF(J261&gt;=1,"ADEQUATE","GAP")</x:f>
        <x:v>ADEQUATE</x:v>
      </x:c>
    </x:row>
    <x:row r="262">
      <x:c r="B262" s="21" t="str">
        <x:v>SR-0256</x:v>
      </x:c>
      <x:c r="C262" s="21" t="str">
        <x:v>F43</x:v>
      </x:c>
      <x:c r="D262" s="21" t="str">
        <x:v>M04</x:v>
      </x:c>
      <x:c r="E262" s="37" t="n">
        <x:f>'Family Register'!G49*Scenarios!D10</x:f>
        <x:v>3.2</x:v>
      </x:c>
      <x:c r="F262" s="37" t="n">
        <x:f>'Family Register'!I49</x:f>
        <x:v>1.6</x:v>
      </x:c>
      <x:c r="G262" s="37" t="n">
        <x:f>MIN(Scenarios!E10:L10)</x:f>
        <x:v>0.85</x:v>
      </x:c>
      <x:c r="H262" s="37" t="n">
        <x:f>'Family Register'!G49*F262*G262</x:f>
        <x:v>5.44</x:v>
      </x:c>
      <x:c r="I262" s="37" t="n">
        <x:f>MIN(E262,H262)</x:f>
        <x:v>3.2</x:v>
      </x:c>
      <x:c r="J262" s="37" t="n">
        <x:f>IF(E262&gt;0,I262/E262,0)</x:f>
        <x:v>1</x:v>
      </x:c>
      <x:c r="K262" s="23" t="str">
        <x:f>IF(J262&gt;=1,"ADEQUATE","GAP")</x:f>
        <x:v>ADEQUATE</x:v>
      </x:c>
    </x:row>
    <x:row r="263">
      <x:c r="B263" s="21" t="str">
        <x:v>SR-0257</x:v>
      </x:c>
      <x:c r="C263" s="21" t="str">
        <x:v>F43</x:v>
      </x:c>
      <x:c r="D263" s="21" t="str">
        <x:v>M05</x:v>
      </x:c>
      <x:c r="E263" s="37" t="n">
        <x:f>'Family Register'!G49*Scenarios!D11</x:f>
        <x:v>4</x:v>
      </x:c>
      <x:c r="F263" s="37" t="n">
        <x:f>'Family Register'!I49</x:f>
        <x:v>1.6</x:v>
      </x:c>
      <x:c r="G263" s="37" t="n">
        <x:f>MIN(Scenarios!E11:L11)</x:f>
        <x:v>0.65</x:v>
      </x:c>
      <x:c r="H263" s="37" t="n">
        <x:f>'Family Register'!G49*F263*G263</x:f>
        <x:v>4.16</x:v>
      </x:c>
      <x:c r="I263" s="37" t="n">
        <x:f>MIN(E263,H263)</x:f>
        <x:v>4</x:v>
      </x:c>
      <x:c r="J263" s="37" t="n">
        <x:f>IF(E263&gt;0,I263/E263,0)</x:f>
        <x:v>1</x:v>
      </x:c>
      <x:c r="K263" s="23" t="str">
        <x:f>IF(J263&gt;=1,"ADEQUATE","GAP")</x:f>
        <x:v>ADEQUATE</x:v>
      </x:c>
    </x:row>
    <x:row r="264">
      <x:c r="B264" s="21" t="str">
        <x:v>SR-0258</x:v>
      </x:c>
      <x:c r="C264" s="21" t="str">
        <x:v>F43</x:v>
      </x:c>
      <x:c r="D264" s="21" t="str">
        <x:v>M06</x:v>
      </x:c>
      <x:c r="E264" s="37" t="n">
        <x:f>'Family Register'!G49*Scenarios!D12</x:f>
        <x:v>5</x:v>
      </x:c>
      <x:c r="F264" s="37" t="n">
        <x:f>'Family Register'!I49</x:f>
        <x:v>1.6</x:v>
      </x:c>
      <x:c r="G264" s="37" t="n">
        <x:f>MIN(Scenarios!E12:L12)</x:f>
        <x:v>0.5</x:v>
      </x:c>
      <x:c r="H264" s="37" t="n">
        <x:f>'Family Register'!G49*F264*G264</x:f>
        <x:v>3.2</x:v>
      </x:c>
      <x:c r="I264" s="37" t="n">
        <x:f>MIN(E264,H264)</x:f>
        <x:v>3.2</x:v>
      </x:c>
      <x:c r="J264" s="37" t="n">
        <x:f>IF(E264&gt;0,I264/E264,0)</x:f>
        <x:v>0.64</x:v>
      </x:c>
      <x:c r="K264" s="23" t="str">
        <x:f>IF(J264&gt;=1,"ADEQUATE","GAP")</x:f>
        <x:v>GAP</x:v>
      </x:c>
    </x:row>
    <x:row r="265">
      <x:c r="B265" s="21" t="str">
        <x:v>SR-0259</x:v>
      </x:c>
      <x:c r="C265" s="21" t="str">
        <x:v>F44</x:v>
      </x:c>
      <x:c r="D265" s="21" t="str">
        <x:v>M01</x:v>
      </x:c>
      <x:c r="E265" s="37" t="n">
        <x:f>'Family Register'!G50*Scenarios!D7</x:f>
        <x:v>0.8</x:v>
      </x:c>
      <x:c r="F265" s="37" t="n">
        <x:f>'Family Register'!I50</x:f>
        <x:v>1.6</x:v>
      </x:c>
      <x:c r="G265" s="37" t="n">
        <x:f>MIN(Scenarios!E7:L7)</x:f>
        <x:v>1</x:v>
      </x:c>
      <x:c r="H265" s="37" t="n">
        <x:f>'Family Register'!G50*F265*G265</x:f>
        <x:v>12.8</x:v>
      </x:c>
      <x:c r="I265" s="37" t="n">
        <x:f>MIN(E265,H265)</x:f>
        <x:v>0.8</x:v>
      </x:c>
      <x:c r="J265" s="37" t="n">
        <x:f>IF(E265&gt;0,I265/E265,0)</x:f>
        <x:v>1</x:v>
      </x:c>
      <x:c r="K265" s="23" t="str">
        <x:f>IF(J265&gt;=1,"ADEQUATE","GAP")</x:f>
        <x:v>ADEQUATE</x:v>
      </x:c>
    </x:row>
    <x:row r="266">
      <x:c r="B266" s="21" t="str">
        <x:v>SR-0260</x:v>
      </x:c>
      <x:c r="C266" s="21" t="str">
        <x:v>F44</x:v>
      </x:c>
      <x:c r="D266" s="21" t="str">
        <x:v>M02</x:v>
      </x:c>
      <x:c r="E266" s="37" t="n">
        <x:f>'Family Register'!G50*Scenarios!D8</x:f>
        <x:v>2.8</x:v>
      </x:c>
      <x:c r="F266" s="37" t="n">
        <x:f>'Family Register'!I50</x:f>
        <x:v>1.6</x:v>
      </x:c>
      <x:c r="G266" s="37" t="n">
        <x:f>MIN(Scenarios!E8:L8)</x:f>
        <x:v>0.95</x:v>
      </x:c>
      <x:c r="H266" s="37" t="n">
        <x:f>'Family Register'!G50*F266*G266</x:f>
        <x:v>12.16</x:v>
      </x:c>
      <x:c r="I266" s="37" t="n">
        <x:f>MIN(E266,H266)</x:f>
        <x:v>2.8</x:v>
      </x:c>
      <x:c r="J266" s="37" t="n">
        <x:f>IF(E266&gt;0,I266/E266,0)</x:f>
        <x:v>1</x:v>
      </x:c>
      <x:c r="K266" s="23" t="str">
        <x:f>IF(J266&gt;=1,"ADEQUATE","GAP")</x:f>
        <x:v>ADEQUATE</x:v>
      </x:c>
    </x:row>
    <x:row r="267">
      <x:c r="B267" s="21" t="str">
        <x:v>SR-0261</x:v>
      </x:c>
      <x:c r="C267" s="21" t="str">
        <x:v>F44</x:v>
      </x:c>
      <x:c r="D267" s="21" t="str">
        <x:v>M03</x:v>
      </x:c>
      <x:c r="E267" s="37" t="n">
        <x:f>'Family Register'!G50*Scenarios!D9</x:f>
        <x:v>4.4</x:v>
      </x:c>
      <x:c r="F267" s="37" t="n">
        <x:f>'Family Register'!I50</x:f>
        <x:v>1.6</x:v>
      </x:c>
      <x:c r="G267" s="37" t="n">
        <x:f>MIN(Scenarios!E9:L9)</x:f>
        <x:v>0.9</x:v>
      </x:c>
      <x:c r="H267" s="37" t="n">
        <x:f>'Family Register'!G50*F267*G267</x:f>
        <x:v>11.520000000000001</x:v>
      </x:c>
      <x:c r="I267" s="37" t="n">
        <x:f>MIN(E267,H267)</x:f>
        <x:v>4.4</x:v>
      </x:c>
      <x:c r="J267" s="37" t="n">
        <x:f>IF(E267&gt;0,I267/E267,0)</x:f>
        <x:v>1</x:v>
      </x:c>
      <x:c r="K267" s="23" t="str">
        <x:f>IF(J267&gt;=1,"ADEQUATE","GAP")</x:f>
        <x:v>ADEQUATE</x:v>
      </x:c>
    </x:row>
    <x:row r="268">
      <x:c r="B268" s="21" t="str">
        <x:v>SR-0262</x:v>
      </x:c>
      <x:c r="C268" s="21" t="str">
        <x:v>F44</x:v>
      </x:c>
      <x:c r="D268" s="21" t="str">
        <x:v>M04</x:v>
      </x:c>
      <x:c r="E268" s="37" t="n">
        <x:f>'Family Register'!G50*Scenarios!D10</x:f>
        <x:v>6.4</x:v>
      </x:c>
      <x:c r="F268" s="37" t="n">
        <x:f>'Family Register'!I50</x:f>
        <x:v>1.6</x:v>
      </x:c>
      <x:c r="G268" s="37" t="n">
        <x:f>MIN(Scenarios!E10:L10)</x:f>
        <x:v>0.85</x:v>
      </x:c>
      <x:c r="H268" s="37" t="n">
        <x:f>'Family Register'!G50*F268*G268</x:f>
        <x:v>10.88</x:v>
      </x:c>
      <x:c r="I268" s="37" t="n">
        <x:f>MIN(E268,H268)</x:f>
        <x:v>6.4</x:v>
      </x:c>
      <x:c r="J268" s="37" t="n">
        <x:f>IF(E268&gt;0,I268/E268,0)</x:f>
        <x:v>1</x:v>
      </x:c>
      <x:c r="K268" s="23" t="str">
        <x:f>IF(J268&gt;=1,"ADEQUATE","GAP")</x:f>
        <x:v>ADEQUATE</x:v>
      </x:c>
    </x:row>
    <x:row r="269">
      <x:c r="B269" s="21" t="str">
        <x:v>SR-0263</x:v>
      </x:c>
      <x:c r="C269" s="21" t="str">
        <x:v>F44</x:v>
      </x:c>
      <x:c r="D269" s="21" t="str">
        <x:v>M05</x:v>
      </x:c>
      <x:c r="E269" s="37" t="n">
        <x:f>'Family Register'!G50*Scenarios!D11</x:f>
        <x:v>8</x:v>
      </x:c>
      <x:c r="F269" s="37" t="n">
        <x:f>'Family Register'!I50</x:f>
        <x:v>1.6</x:v>
      </x:c>
      <x:c r="G269" s="37" t="n">
        <x:f>MIN(Scenarios!E11:L11)</x:f>
        <x:v>0.65</x:v>
      </x:c>
      <x:c r="H269" s="37" t="n">
        <x:f>'Family Register'!G50*F269*G269</x:f>
        <x:v>8.32</x:v>
      </x:c>
      <x:c r="I269" s="37" t="n">
        <x:f>MIN(E269,H269)</x:f>
        <x:v>8</x:v>
      </x:c>
      <x:c r="J269" s="37" t="n">
        <x:f>IF(E269&gt;0,I269/E269,0)</x:f>
        <x:v>1</x:v>
      </x:c>
      <x:c r="K269" s="23" t="str">
        <x:f>IF(J269&gt;=1,"ADEQUATE","GAP")</x:f>
        <x:v>ADEQUATE</x:v>
      </x:c>
    </x:row>
    <x:row r="270">
      <x:c r="B270" s="21" t="str">
        <x:v>SR-0264</x:v>
      </x:c>
      <x:c r="C270" s="21" t="str">
        <x:v>F44</x:v>
      </x:c>
      <x:c r="D270" s="21" t="str">
        <x:v>M06</x:v>
      </x:c>
      <x:c r="E270" s="37" t="n">
        <x:f>'Family Register'!G50*Scenarios!D12</x:f>
        <x:v>10</x:v>
      </x:c>
      <x:c r="F270" s="37" t="n">
        <x:f>'Family Register'!I50</x:f>
        <x:v>1.6</x:v>
      </x:c>
      <x:c r="G270" s="37" t="n">
        <x:f>MIN(Scenarios!E12:L12)</x:f>
        <x:v>0.5</x:v>
      </x:c>
      <x:c r="H270" s="37" t="n">
        <x:f>'Family Register'!G50*F270*G270</x:f>
        <x:v>6.4</x:v>
      </x:c>
      <x:c r="I270" s="37" t="n">
        <x:f>MIN(E270,H270)</x:f>
        <x:v>6.4</x:v>
      </x:c>
      <x:c r="J270" s="37" t="n">
        <x:f>IF(E270&gt;0,I270/E270,0)</x:f>
        <x:v>0.64</x:v>
      </x:c>
      <x:c r="K270" s="23" t="str">
        <x:f>IF(J270&gt;=1,"ADEQUATE","GAP")</x:f>
        <x:v>GAP</x:v>
      </x:c>
    </x:row>
    <x:row r="271">
      <x:c r="B271" s="21" t="str">
        <x:v>SR-0265</x:v>
      </x:c>
      <x:c r="C271" s="21" t="str">
        <x:v>F45</x:v>
      </x:c>
      <x:c r="D271" s="21" t="str">
        <x:v>M01</x:v>
      </x:c>
      <x:c r="E271" s="37" t="n">
        <x:f>'Family Register'!G51*Scenarios!D7</x:f>
        <x:v>0.8</x:v>
      </x:c>
      <x:c r="F271" s="37" t="n">
        <x:f>'Family Register'!I51</x:f>
        <x:v>1.3</x:v>
      </x:c>
      <x:c r="G271" s="37" t="n">
        <x:f>MIN(Scenarios!E7:L7)</x:f>
        <x:v>1</x:v>
      </x:c>
      <x:c r="H271" s="37" t="n">
        <x:f>'Family Register'!G51*F271*G271</x:f>
        <x:v>10.4</x:v>
      </x:c>
      <x:c r="I271" s="37" t="n">
        <x:f>MIN(E271,H271)</x:f>
        <x:v>0.8</x:v>
      </x:c>
      <x:c r="J271" s="37" t="n">
        <x:f>IF(E271&gt;0,I271/E271,0)</x:f>
        <x:v>1</x:v>
      </x:c>
      <x:c r="K271" s="23" t="str">
        <x:f>IF(J271&gt;=1,"ADEQUATE","GAP")</x:f>
        <x:v>ADEQUATE</x:v>
      </x:c>
    </x:row>
    <x:row r="272">
      <x:c r="B272" s="21" t="str">
        <x:v>SR-0266</x:v>
      </x:c>
      <x:c r="C272" s="21" t="str">
        <x:v>F45</x:v>
      </x:c>
      <x:c r="D272" s="21" t="str">
        <x:v>M02</x:v>
      </x:c>
      <x:c r="E272" s="37" t="n">
        <x:f>'Family Register'!G51*Scenarios!D8</x:f>
        <x:v>2.8</x:v>
      </x:c>
      <x:c r="F272" s="37" t="n">
        <x:f>'Family Register'!I51</x:f>
        <x:v>1.3</x:v>
      </x:c>
      <x:c r="G272" s="37" t="n">
        <x:f>MIN(Scenarios!E8:L8)</x:f>
        <x:v>0.95</x:v>
      </x:c>
      <x:c r="H272" s="37" t="n">
        <x:f>'Family Register'!G51*F272*G272</x:f>
        <x:v>9.879999999999999</x:v>
      </x:c>
      <x:c r="I272" s="37" t="n">
        <x:f>MIN(E272,H272)</x:f>
        <x:v>2.8</x:v>
      </x:c>
      <x:c r="J272" s="37" t="n">
        <x:f>IF(E272&gt;0,I272/E272,0)</x:f>
        <x:v>1</x:v>
      </x:c>
      <x:c r="K272" s="23" t="str">
        <x:f>IF(J272&gt;=1,"ADEQUATE","GAP")</x:f>
        <x:v>ADEQUATE</x:v>
      </x:c>
    </x:row>
    <x:row r="273">
      <x:c r="B273" s="21" t="str">
        <x:v>SR-0267</x:v>
      </x:c>
      <x:c r="C273" s="21" t="str">
        <x:v>F45</x:v>
      </x:c>
      <x:c r="D273" s="21" t="str">
        <x:v>M03</x:v>
      </x:c>
      <x:c r="E273" s="37" t="n">
        <x:f>'Family Register'!G51*Scenarios!D9</x:f>
        <x:v>4.4</x:v>
      </x:c>
      <x:c r="F273" s="37" t="n">
        <x:f>'Family Register'!I51</x:f>
        <x:v>1.3</x:v>
      </x:c>
      <x:c r="G273" s="37" t="n">
        <x:f>MIN(Scenarios!E9:L9)</x:f>
        <x:v>0.9</x:v>
      </x:c>
      <x:c r="H273" s="37" t="n">
        <x:f>'Family Register'!G51*F273*G273</x:f>
        <x:v>9.360000000000001</x:v>
      </x:c>
      <x:c r="I273" s="37" t="n">
        <x:f>MIN(E273,H273)</x:f>
        <x:v>4.4</x:v>
      </x:c>
      <x:c r="J273" s="37" t="n">
        <x:f>IF(E273&gt;0,I273/E273,0)</x:f>
        <x:v>1</x:v>
      </x:c>
      <x:c r="K273" s="23" t="str">
        <x:f>IF(J273&gt;=1,"ADEQUATE","GAP")</x:f>
        <x:v>ADEQUATE</x:v>
      </x:c>
    </x:row>
    <x:row r="274">
      <x:c r="B274" s="21" t="str">
        <x:v>SR-0268</x:v>
      </x:c>
      <x:c r="C274" s="21" t="str">
        <x:v>F45</x:v>
      </x:c>
      <x:c r="D274" s="21" t="str">
        <x:v>M04</x:v>
      </x:c>
      <x:c r="E274" s="37" t="n">
        <x:f>'Family Register'!G51*Scenarios!D10</x:f>
        <x:v>6.4</x:v>
      </x:c>
      <x:c r="F274" s="37" t="n">
        <x:f>'Family Register'!I51</x:f>
        <x:v>1.3</x:v>
      </x:c>
      <x:c r="G274" s="37" t="n">
        <x:f>MIN(Scenarios!E10:L10)</x:f>
        <x:v>0.85</x:v>
      </x:c>
      <x:c r="H274" s="37" t="n">
        <x:f>'Family Register'!G51*F274*G274</x:f>
        <x:v>8.84</x:v>
      </x:c>
      <x:c r="I274" s="37" t="n">
        <x:f>MIN(E274,H274)</x:f>
        <x:v>6.4</x:v>
      </x:c>
      <x:c r="J274" s="37" t="n">
        <x:f>IF(E274&gt;0,I274/E274,0)</x:f>
        <x:v>1</x:v>
      </x:c>
      <x:c r="K274" s="23" t="str">
        <x:f>IF(J274&gt;=1,"ADEQUATE","GAP")</x:f>
        <x:v>ADEQUATE</x:v>
      </x:c>
    </x:row>
    <x:row r="275">
      <x:c r="B275" s="21" t="str">
        <x:v>SR-0269</x:v>
      </x:c>
      <x:c r="C275" s="21" t="str">
        <x:v>F45</x:v>
      </x:c>
      <x:c r="D275" s="21" t="str">
        <x:v>M05</x:v>
      </x:c>
      <x:c r="E275" s="37" t="n">
        <x:f>'Family Register'!G51*Scenarios!D11</x:f>
        <x:v>8</x:v>
      </x:c>
      <x:c r="F275" s="37" t="n">
        <x:f>'Family Register'!I51</x:f>
        <x:v>1.3</x:v>
      </x:c>
      <x:c r="G275" s="37" t="n">
        <x:f>MIN(Scenarios!E11:L11)</x:f>
        <x:v>0.65</x:v>
      </x:c>
      <x:c r="H275" s="37" t="n">
        <x:f>'Family Register'!G51*F275*G275</x:f>
        <x:v>6.760000000000001</x:v>
      </x:c>
      <x:c r="I275" s="37" t="n">
        <x:f>MIN(E275,H275)</x:f>
        <x:v>6.760000000000001</x:v>
      </x:c>
      <x:c r="J275" s="37" t="n">
        <x:f>IF(E275&gt;0,I275/E275,0)</x:f>
        <x:v>0.8450000000000001</x:v>
      </x:c>
      <x:c r="K275" s="23" t="str">
        <x:f>IF(J275&gt;=1,"ADEQUATE","GAP")</x:f>
        <x:v>GAP</x:v>
      </x:c>
    </x:row>
    <x:row r="276">
      <x:c r="B276" s="21" t="str">
        <x:v>SR-0270</x:v>
      </x:c>
      <x:c r="C276" s="21" t="str">
        <x:v>F45</x:v>
      </x:c>
      <x:c r="D276" s="21" t="str">
        <x:v>M06</x:v>
      </x:c>
      <x:c r="E276" s="37" t="n">
        <x:f>'Family Register'!G51*Scenarios!D12</x:f>
        <x:v>10</x:v>
      </x:c>
      <x:c r="F276" s="37" t="n">
        <x:f>'Family Register'!I51</x:f>
        <x:v>1.3</x:v>
      </x:c>
      <x:c r="G276" s="37" t="n">
        <x:f>MIN(Scenarios!E12:L12)</x:f>
        <x:v>0.5</x:v>
      </x:c>
      <x:c r="H276" s="37" t="n">
        <x:f>'Family Register'!G51*F276*G276</x:f>
        <x:v>5.2</x:v>
      </x:c>
      <x:c r="I276" s="37" t="n">
        <x:f>MIN(E276,H276)</x:f>
        <x:v>5.2</x:v>
      </x:c>
      <x:c r="J276" s="37" t="n">
        <x:f>IF(E276&gt;0,I276/E276,0)</x:f>
        <x:v>0.52</x:v>
      </x:c>
      <x:c r="K276" s="23" t="str">
        <x:f>IF(J276&gt;=1,"ADEQUATE","GAP")</x:f>
        <x:v>GAP</x:v>
      </x:c>
    </x:row>
    <x:row r="277">
      <x:c r="B277" s="21" t="str">
        <x:v>SR-0271</x:v>
      </x:c>
      <x:c r="C277" s="21" t="str">
        <x:v>F46</x:v>
      </x:c>
      <x:c r="D277" s="21" t="str">
        <x:v>M01</x:v>
      </x:c>
      <x:c r="E277" s="37" t="n">
        <x:f>'Family Register'!G52*Scenarios!D7</x:f>
        <x:v>0.8</x:v>
      </x:c>
      <x:c r="F277" s="37" t="n">
        <x:f>'Family Register'!I52</x:f>
        <x:v>1.45</x:v>
      </x:c>
      <x:c r="G277" s="37" t="n">
        <x:f>MIN(Scenarios!E7:L7)</x:f>
        <x:v>1</x:v>
      </x:c>
      <x:c r="H277" s="37" t="n">
        <x:f>'Family Register'!G52*F277*G277</x:f>
        <x:v>11.6</x:v>
      </x:c>
      <x:c r="I277" s="37" t="n">
        <x:f>MIN(E277,H277)</x:f>
        <x:v>0.8</x:v>
      </x:c>
      <x:c r="J277" s="37" t="n">
        <x:f>IF(E277&gt;0,I277/E277,0)</x:f>
        <x:v>1</x:v>
      </x:c>
      <x:c r="K277" s="23" t="str">
        <x:f>IF(J277&gt;=1,"ADEQUATE","GAP")</x:f>
        <x:v>ADEQUATE</x:v>
      </x:c>
    </x:row>
    <x:row r="278">
      <x:c r="B278" s="21" t="str">
        <x:v>SR-0272</x:v>
      </x:c>
      <x:c r="C278" s="21" t="str">
        <x:v>F46</x:v>
      </x:c>
      <x:c r="D278" s="21" t="str">
        <x:v>M02</x:v>
      </x:c>
      <x:c r="E278" s="37" t="n">
        <x:f>'Family Register'!G52*Scenarios!D8</x:f>
        <x:v>2.8</x:v>
      </x:c>
      <x:c r="F278" s="37" t="n">
        <x:f>'Family Register'!I52</x:f>
        <x:v>1.45</x:v>
      </x:c>
      <x:c r="G278" s="37" t="n">
        <x:f>MIN(Scenarios!E8:L8)</x:f>
        <x:v>0.95</x:v>
      </x:c>
      <x:c r="H278" s="37" t="n">
        <x:f>'Family Register'!G52*F278*G278</x:f>
        <x:v>11.02</x:v>
      </x:c>
      <x:c r="I278" s="37" t="n">
        <x:f>MIN(E278,H278)</x:f>
        <x:v>2.8</x:v>
      </x:c>
      <x:c r="J278" s="37" t="n">
        <x:f>IF(E278&gt;0,I278/E278,0)</x:f>
        <x:v>1</x:v>
      </x:c>
      <x:c r="K278" s="23" t="str">
        <x:f>IF(J278&gt;=1,"ADEQUATE","GAP")</x:f>
        <x:v>ADEQUATE</x:v>
      </x:c>
    </x:row>
    <x:row r="279">
      <x:c r="B279" s="21" t="str">
        <x:v>SR-0273</x:v>
      </x:c>
      <x:c r="C279" s="21" t="str">
        <x:v>F46</x:v>
      </x:c>
      <x:c r="D279" s="21" t="str">
        <x:v>M03</x:v>
      </x:c>
      <x:c r="E279" s="37" t="n">
        <x:f>'Family Register'!G52*Scenarios!D9</x:f>
        <x:v>4.4</x:v>
      </x:c>
      <x:c r="F279" s="37" t="n">
        <x:f>'Family Register'!I52</x:f>
        <x:v>1.45</x:v>
      </x:c>
      <x:c r="G279" s="37" t="n">
        <x:f>MIN(Scenarios!E9:L9)</x:f>
        <x:v>0.9</x:v>
      </x:c>
      <x:c r="H279" s="37" t="n">
        <x:f>'Family Register'!G52*F279*G279</x:f>
        <x:v>10.44</x:v>
      </x:c>
      <x:c r="I279" s="37" t="n">
        <x:f>MIN(E279,H279)</x:f>
        <x:v>4.4</x:v>
      </x:c>
      <x:c r="J279" s="37" t="n">
        <x:f>IF(E279&gt;0,I279/E279,0)</x:f>
        <x:v>1</x:v>
      </x:c>
      <x:c r="K279" s="23" t="str">
        <x:f>IF(J279&gt;=1,"ADEQUATE","GAP")</x:f>
        <x:v>ADEQUATE</x:v>
      </x:c>
    </x:row>
    <x:row r="280">
      <x:c r="B280" s="21" t="str">
        <x:v>SR-0274</x:v>
      </x:c>
      <x:c r="C280" s="21" t="str">
        <x:v>F46</x:v>
      </x:c>
      <x:c r="D280" s="21" t="str">
        <x:v>M04</x:v>
      </x:c>
      <x:c r="E280" s="37" t="n">
        <x:f>'Family Register'!G52*Scenarios!D10</x:f>
        <x:v>6.4</x:v>
      </x:c>
      <x:c r="F280" s="37" t="n">
        <x:f>'Family Register'!I52</x:f>
        <x:v>1.45</x:v>
      </x:c>
      <x:c r="G280" s="37" t="n">
        <x:f>MIN(Scenarios!E10:L10)</x:f>
        <x:v>0.85</x:v>
      </x:c>
      <x:c r="H280" s="37" t="n">
        <x:f>'Family Register'!G52*F280*G280</x:f>
        <x:v>9.86</x:v>
      </x:c>
      <x:c r="I280" s="37" t="n">
        <x:f>MIN(E280,H280)</x:f>
        <x:v>6.4</x:v>
      </x:c>
      <x:c r="J280" s="37" t="n">
        <x:f>IF(E280&gt;0,I280/E280,0)</x:f>
        <x:v>1</x:v>
      </x:c>
      <x:c r="K280" s="23" t="str">
        <x:f>IF(J280&gt;=1,"ADEQUATE","GAP")</x:f>
        <x:v>ADEQUATE</x:v>
      </x:c>
    </x:row>
    <x:row r="281">
      <x:c r="B281" s="21" t="str">
        <x:v>SR-0275</x:v>
      </x:c>
      <x:c r="C281" s="21" t="str">
        <x:v>F46</x:v>
      </x:c>
      <x:c r="D281" s="21" t="str">
        <x:v>M05</x:v>
      </x:c>
      <x:c r="E281" s="37" t="n">
        <x:f>'Family Register'!G52*Scenarios!D11</x:f>
        <x:v>8</x:v>
      </x:c>
      <x:c r="F281" s="37" t="n">
        <x:f>'Family Register'!I52</x:f>
        <x:v>1.45</x:v>
      </x:c>
      <x:c r="G281" s="37" t="n">
        <x:f>MIN(Scenarios!E11:L11)</x:f>
        <x:v>0.65</x:v>
      </x:c>
      <x:c r="H281" s="37" t="n">
        <x:f>'Family Register'!G52*F281*G281</x:f>
        <x:v>7.54</x:v>
      </x:c>
      <x:c r="I281" s="37" t="n">
        <x:f>MIN(E281,H281)</x:f>
        <x:v>7.54</x:v>
      </x:c>
      <x:c r="J281" s="37" t="n">
        <x:f>IF(E281&gt;0,I281/E281,0)</x:f>
        <x:v>0.9425</x:v>
      </x:c>
      <x:c r="K281" s="23" t="str">
        <x:f>IF(J281&gt;=1,"ADEQUATE","GAP")</x:f>
        <x:v>GAP</x:v>
      </x:c>
    </x:row>
    <x:row r="282">
      <x:c r="B282" s="21" t="str">
        <x:v>SR-0276</x:v>
      </x:c>
      <x:c r="C282" s="21" t="str">
        <x:v>F46</x:v>
      </x:c>
      <x:c r="D282" s="21" t="str">
        <x:v>M06</x:v>
      </x:c>
      <x:c r="E282" s="37" t="n">
        <x:f>'Family Register'!G52*Scenarios!D12</x:f>
        <x:v>10</x:v>
      </x:c>
      <x:c r="F282" s="37" t="n">
        <x:f>'Family Register'!I52</x:f>
        <x:v>1.45</x:v>
      </x:c>
      <x:c r="G282" s="37" t="n">
        <x:f>MIN(Scenarios!E12:L12)</x:f>
        <x:v>0.5</x:v>
      </x:c>
      <x:c r="H282" s="37" t="n">
        <x:f>'Family Register'!G52*F282*G282</x:f>
        <x:v>5.8</x:v>
      </x:c>
      <x:c r="I282" s="37" t="n">
        <x:f>MIN(E282,H282)</x:f>
        <x:v>5.8</x:v>
      </x:c>
      <x:c r="J282" s="37" t="n">
        <x:f>IF(E282&gt;0,I282/E282,0)</x:f>
        <x:v>0.58</x:v>
      </x:c>
      <x:c r="K282" s="23" t="str">
        <x:f>IF(J282&gt;=1,"ADEQUATE","GAP")</x:f>
        <x:v>GAP</x:v>
      </x:c>
    </x:row>
    <x:row r="283">
      <x:c r="B283" s="21" t="str">
        <x:v>SR-0277</x:v>
      </x:c>
      <x:c r="C283" s="21" t="str">
        <x:v>F47</x:v>
      </x:c>
      <x:c r="D283" s="21" t="str">
        <x:v>M01</x:v>
      </x:c>
      <x:c r="E283" s="37" t="n">
        <x:f>'Family Register'!G53*Scenarios!D7</x:f>
        <x:v>1.2000000000000002</x:v>
      </x:c>
      <x:c r="F283" s="37" t="n">
        <x:f>'Family Register'!I53</x:f>
        <x:v>1.45</x:v>
      </x:c>
      <x:c r="G283" s="37" t="n">
        <x:f>MIN(Scenarios!E7:L7)</x:f>
        <x:v>1</x:v>
      </x:c>
      <x:c r="H283" s="37" t="n">
        <x:f>'Family Register'!G53*F283*G283</x:f>
        <x:v>17.4</x:v>
      </x:c>
      <x:c r="I283" s="37" t="n">
        <x:f>MIN(E283,H283)</x:f>
        <x:v>1.2000000000000002</x:v>
      </x:c>
      <x:c r="J283" s="37" t="n">
        <x:f>IF(E283&gt;0,I283/E283,0)</x:f>
        <x:v>1</x:v>
      </x:c>
      <x:c r="K283" s="23" t="str">
        <x:f>IF(J283&gt;=1,"ADEQUATE","GAP")</x:f>
        <x:v>ADEQUATE</x:v>
      </x:c>
    </x:row>
    <x:row r="284">
      <x:c r="B284" s="21" t="str">
        <x:v>SR-0278</x:v>
      </x:c>
      <x:c r="C284" s="21" t="str">
        <x:v>F47</x:v>
      </x:c>
      <x:c r="D284" s="21" t="str">
        <x:v>M02</x:v>
      </x:c>
      <x:c r="E284" s="37" t="n">
        <x:f>'Family Register'!G53*Scenarios!D8</x:f>
        <x:v>4.199999999999999</x:v>
      </x:c>
      <x:c r="F284" s="37" t="n">
        <x:f>'Family Register'!I53</x:f>
        <x:v>1.45</x:v>
      </x:c>
      <x:c r="G284" s="37" t="n">
        <x:f>MIN(Scenarios!E8:L8)</x:f>
        <x:v>0.95</x:v>
      </x:c>
      <x:c r="H284" s="37" t="n">
        <x:f>'Family Register'!G53*F284*G284</x:f>
        <x:v>16.529999999999998</x:v>
      </x:c>
      <x:c r="I284" s="37" t="n">
        <x:f>MIN(E284,H284)</x:f>
        <x:v>4.199999999999999</x:v>
      </x:c>
      <x:c r="J284" s="37" t="n">
        <x:f>IF(E284&gt;0,I284/E284,0)</x:f>
        <x:v>1</x:v>
      </x:c>
      <x:c r="K284" s="23" t="str">
        <x:f>IF(J284&gt;=1,"ADEQUATE","GAP")</x:f>
        <x:v>ADEQUATE</x:v>
      </x:c>
    </x:row>
    <x:row r="285">
      <x:c r="B285" s="21" t="str">
        <x:v>SR-0279</x:v>
      </x:c>
      <x:c r="C285" s="21" t="str">
        <x:v>F47</x:v>
      </x:c>
      <x:c r="D285" s="21" t="str">
        <x:v>M03</x:v>
      </x:c>
      <x:c r="E285" s="37" t="n">
        <x:f>'Family Register'!G53*Scenarios!D9</x:f>
        <x:v>6.6000000000000005</x:v>
      </x:c>
      <x:c r="F285" s="37" t="n">
        <x:f>'Family Register'!I53</x:f>
        <x:v>1.45</x:v>
      </x:c>
      <x:c r="G285" s="37" t="n">
        <x:f>MIN(Scenarios!E9:L9)</x:f>
        <x:v>0.9</x:v>
      </x:c>
      <x:c r="H285" s="37" t="n">
        <x:f>'Family Register'!G53*F285*G285</x:f>
        <x:v>15.659999999999998</x:v>
      </x:c>
      <x:c r="I285" s="37" t="n">
        <x:f>MIN(E285,H285)</x:f>
        <x:v>6.6000000000000005</x:v>
      </x:c>
      <x:c r="J285" s="37" t="n">
        <x:f>IF(E285&gt;0,I285/E285,0)</x:f>
        <x:v>1</x:v>
      </x:c>
      <x:c r="K285" s="23" t="str">
        <x:f>IF(J285&gt;=1,"ADEQUATE","GAP")</x:f>
        <x:v>ADEQUATE</x:v>
      </x:c>
    </x:row>
    <x:row r="286">
      <x:c r="B286" s="21" t="str">
        <x:v>SR-0280</x:v>
      </x:c>
      <x:c r="C286" s="21" t="str">
        <x:v>F47</x:v>
      </x:c>
      <x:c r="D286" s="21" t="str">
        <x:v>M04</x:v>
      </x:c>
      <x:c r="E286" s="37" t="n">
        <x:f>'Family Register'!G53*Scenarios!D10</x:f>
        <x:v>9.600000000000001</x:v>
      </x:c>
      <x:c r="F286" s="37" t="n">
        <x:f>'Family Register'!I53</x:f>
        <x:v>1.45</x:v>
      </x:c>
      <x:c r="G286" s="37" t="n">
        <x:f>MIN(Scenarios!E10:L10)</x:f>
        <x:v>0.85</x:v>
      </x:c>
      <x:c r="H286" s="37" t="n">
        <x:f>'Family Register'!G53*F286*G286</x:f>
        <x:v>14.79</x:v>
      </x:c>
      <x:c r="I286" s="37" t="n">
        <x:f>MIN(E286,H286)</x:f>
        <x:v>9.600000000000001</x:v>
      </x:c>
      <x:c r="J286" s="37" t="n">
        <x:f>IF(E286&gt;0,I286/E286,0)</x:f>
        <x:v>1</x:v>
      </x:c>
      <x:c r="K286" s="23" t="str">
        <x:f>IF(J286&gt;=1,"ADEQUATE","GAP")</x:f>
        <x:v>ADEQUATE</x:v>
      </x:c>
    </x:row>
    <x:row r="287">
      <x:c r="B287" s="21" t="str">
        <x:v>SR-0281</x:v>
      </x:c>
      <x:c r="C287" s="21" t="str">
        <x:v>F47</x:v>
      </x:c>
      <x:c r="D287" s="21" t="str">
        <x:v>M05</x:v>
      </x:c>
      <x:c r="E287" s="37" t="n">
        <x:f>'Family Register'!G53*Scenarios!D11</x:f>
        <x:v>12</x:v>
      </x:c>
      <x:c r="F287" s="37" t="n">
        <x:f>'Family Register'!I53</x:f>
        <x:v>1.45</x:v>
      </x:c>
      <x:c r="G287" s="37" t="n">
        <x:f>MIN(Scenarios!E11:L11)</x:f>
        <x:v>0.65</x:v>
      </x:c>
      <x:c r="H287" s="37" t="n">
        <x:f>'Family Register'!G53*F287*G287</x:f>
        <x:v>11.309999999999999</x:v>
      </x:c>
      <x:c r="I287" s="37" t="n">
        <x:f>MIN(E287,H287)</x:f>
        <x:v>11.309999999999999</x:v>
      </x:c>
      <x:c r="J287" s="37" t="n">
        <x:f>IF(E287&gt;0,I287/E287,0)</x:f>
        <x:v>0.9424999999999999</x:v>
      </x:c>
      <x:c r="K287" s="23" t="str">
        <x:f>IF(J287&gt;=1,"ADEQUATE","GAP")</x:f>
        <x:v>GAP</x:v>
      </x:c>
    </x:row>
    <x:row r="288">
      <x:c r="B288" s="21" t="str">
        <x:v>SR-0282</x:v>
      </x:c>
      <x:c r="C288" s="21" t="str">
        <x:v>F47</x:v>
      </x:c>
      <x:c r="D288" s="21" t="str">
        <x:v>M06</x:v>
      </x:c>
      <x:c r="E288" s="37" t="n">
        <x:f>'Family Register'!G53*Scenarios!D12</x:f>
        <x:v>15</x:v>
      </x:c>
      <x:c r="F288" s="37" t="n">
        <x:f>'Family Register'!I53</x:f>
        <x:v>1.45</x:v>
      </x:c>
      <x:c r="G288" s="37" t="n">
        <x:f>MIN(Scenarios!E12:L12)</x:f>
        <x:v>0.5</x:v>
      </x:c>
      <x:c r="H288" s="37" t="n">
        <x:f>'Family Register'!G53*F288*G288</x:f>
        <x:v>8.7</x:v>
      </x:c>
      <x:c r="I288" s="37" t="n">
        <x:f>MIN(E288,H288)</x:f>
        <x:v>8.7</x:v>
      </x:c>
      <x:c r="J288" s="37" t="n">
        <x:f>IF(E288&gt;0,I288/E288,0)</x:f>
        <x:v>0.58</x:v>
      </x:c>
      <x:c r="K288" s="23" t="str">
        <x:f>IF(J288&gt;=1,"ADEQUATE","GAP")</x:f>
        <x:v>GAP</x:v>
      </x:c>
    </x:row>
    <x:row r="289">
      <x:c r="B289" s="21" t="str">
        <x:v>SR-0283</x:v>
      </x:c>
      <x:c r="C289" s="21" t="str">
        <x:v>F48</x:v>
      </x:c>
      <x:c r="D289" s="21" t="str">
        <x:v>M01</x:v>
      </x:c>
      <x:c r="E289" s="37" t="n">
        <x:f>'Family Register'!G54*Scenarios!D7</x:f>
        <x:v>1.2000000000000002</x:v>
      </x:c>
      <x:c r="F289" s="37" t="n">
        <x:f>'Family Register'!I54</x:f>
        <x:v>1.6</x:v>
      </x:c>
      <x:c r="G289" s="37" t="n">
        <x:f>MIN(Scenarios!E7:L7)</x:f>
        <x:v>1</x:v>
      </x:c>
      <x:c r="H289" s="37" t="n">
        <x:f>'Family Register'!G54*F289*G289</x:f>
        <x:v>19.200000000000003</x:v>
      </x:c>
      <x:c r="I289" s="37" t="n">
        <x:f>MIN(E289,H289)</x:f>
        <x:v>1.2000000000000002</x:v>
      </x:c>
      <x:c r="J289" s="37" t="n">
        <x:f>IF(E289&gt;0,I289/E289,0)</x:f>
        <x:v>1</x:v>
      </x:c>
      <x:c r="K289" s="23" t="str">
        <x:f>IF(J289&gt;=1,"ADEQUATE","GAP")</x:f>
        <x:v>ADEQUATE</x:v>
      </x:c>
    </x:row>
    <x:row r="290">
      <x:c r="B290" s="21" t="str">
        <x:v>SR-0284</x:v>
      </x:c>
      <x:c r="C290" s="21" t="str">
        <x:v>F48</x:v>
      </x:c>
      <x:c r="D290" s="21" t="str">
        <x:v>M02</x:v>
      </x:c>
      <x:c r="E290" s="37" t="n">
        <x:f>'Family Register'!G54*Scenarios!D8</x:f>
        <x:v>4.199999999999999</x:v>
      </x:c>
      <x:c r="F290" s="37" t="n">
        <x:f>'Family Register'!I54</x:f>
        <x:v>1.6</x:v>
      </x:c>
      <x:c r="G290" s="37" t="n">
        <x:f>MIN(Scenarios!E8:L8)</x:f>
        <x:v>0.95</x:v>
      </x:c>
      <x:c r="H290" s="37" t="n">
        <x:f>'Family Register'!G54*F290*G290</x:f>
        <x:v>18.240000000000002</x:v>
      </x:c>
      <x:c r="I290" s="37" t="n">
        <x:f>MIN(E290,H290)</x:f>
        <x:v>4.199999999999999</x:v>
      </x:c>
      <x:c r="J290" s="37" t="n">
        <x:f>IF(E290&gt;0,I290/E290,0)</x:f>
        <x:v>1</x:v>
      </x:c>
      <x:c r="K290" s="23" t="str">
        <x:f>IF(J290&gt;=1,"ADEQUATE","GAP")</x:f>
        <x:v>ADEQUATE</x:v>
      </x:c>
    </x:row>
    <x:row r="291">
      <x:c r="B291" s="21" t="str">
        <x:v>SR-0285</x:v>
      </x:c>
      <x:c r="C291" s="21" t="str">
        <x:v>F48</x:v>
      </x:c>
      <x:c r="D291" s="21" t="str">
        <x:v>M03</x:v>
      </x:c>
      <x:c r="E291" s="37" t="n">
        <x:f>'Family Register'!G54*Scenarios!D9</x:f>
        <x:v>6.6000000000000005</x:v>
      </x:c>
      <x:c r="F291" s="37" t="n">
        <x:f>'Family Register'!I54</x:f>
        <x:v>1.6</x:v>
      </x:c>
      <x:c r="G291" s="37" t="n">
        <x:f>MIN(Scenarios!E9:L9)</x:f>
        <x:v>0.9</x:v>
      </x:c>
      <x:c r="H291" s="37" t="n">
        <x:f>'Family Register'!G54*F291*G291</x:f>
        <x:v>17.280000000000005</x:v>
      </x:c>
      <x:c r="I291" s="37" t="n">
        <x:f>MIN(E291,H291)</x:f>
        <x:v>6.6000000000000005</x:v>
      </x:c>
      <x:c r="J291" s="37" t="n">
        <x:f>IF(E291&gt;0,I291/E291,0)</x:f>
        <x:v>1</x:v>
      </x:c>
      <x:c r="K291" s="23" t="str">
        <x:f>IF(J291&gt;=1,"ADEQUATE","GAP")</x:f>
        <x:v>ADEQUATE</x:v>
      </x:c>
    </x:row>
    <x:row r="292">
      <x:c r="B292" s="21" t="str">
        <x:v>SR-0286</x:v>
      </x:c>
      <x:c r="C292" s="21" t="str">
        <x:v>F48</x:v>
      </x:c>
      <x:c r="D292" s="21" t="str">
        <x:v>M04</x:v>
      </x:c>
      <x:c r="E292" s="37" t="n">
        <x:f>'Family Register'!G54*Scenarios!D10</x:f>
        <x:v>9.600000000000001</x:v>
      </x:c>
      <x:c r="F292" s="37" t="n">
        <x:f>'Family Register'!I54</x:f>
        <x:v>1.6</x:v>
      </x:c>
      <x:c r="G292" s="37" t="n">
        <x:f>MIN(Scenarios!E10:L10)</x:f>
        <x:v>0.85</x:v>
      </x:c>
      <x:c r="H292" s="37" t="n">
        <x:f>'Family Register'!G54*F292*G292</x:f>
        <x:v>16.32</x:v>
      </x:c>
      <x:c r="I292" s="37" t="n">
        <x:f>MIN(E292,H292)</x:f>
        <x:v>9.600000000000001</x:v>
      </x:c>
      <x:c r="J292" s="37" t="n">
        <x:f>IF(E292&gt;0,I292/E292,0)</x:f>
        <x:v>1</x:v>
      </x:c>
      <x:c r="K292" s="23" t="str">
        <x:f>IF(J292&gt;=1,"ADEQUATE","GAP")</x:f>
        <x:v>ADEQUATE</x:v>
      </x:c>
    </x:row>
    <x:row r="293">
      <x:c r="B293" s="21" t="str">
        <x:v>SR-0287</x:v>
      </x:c>
      <x:c r="C293" s="21" t="str">
        <x:v>F48</x:v>
      </x:c>
      <x:c r="D293" s="21" t="str">
        <x:v>M05</x:v>
      </x:c>
      <x:c r="E293" s="37" t="n">
        <x:f>'Family Register'!G54*Scenarios!D11</x:f>
        <x:v>12</x:v>
      </x:c>
      <x:c r="F293" s="37" t="n">
        <x:f>'Family Register'!I54</x:f>
        <x:v>1.6</x:v>
      </x:c>
      <x:c r="G293" s="37" t="n">
        <x:f>MIN(Scenarios!E11:L11)</x:f>
        <x:v>0.65</x:v>
      </x:c>
      <x:c r="H293" s="37" t="n">
        <x:f>'Family Register'!G54*F293*G293</x:f>
        <x:v>12.480000000000002</x:v>
      </x:c>
      <x:c r="I293" s="37" t="n">
        <x:f>MIN(E293,H293)</x:f>
        <x:v>12</x:v>
      </x:c>
      <x:c r="J293" s="37" t="n">
        <x:f>IF(E293&gt;0,I293/E293,0)</x:f>
        <x:v>1</x:v>
      </x:c>
      <x:c r="K293" s="23" t="str">
        <x:f>IF(J293&gt;=1,"ADEQUATE","GAP")</x:f>
        <x:v>ADEQUATE</x:v>
      </x:c>
    </x:row>
    <x:row r="294">
      <x:c r="B294" s="24" t="str">
        <x:v>SR-0288</x:v>
      </x:c>
      <x:c r="C294" s="24" t="str">
        <x:v>F48</x:v>
      </x:c>
      <x:c r="D294" s="24" t="str">
        <x:v>M06</x:v>
      </x:c>
      <x:c r="E294" s="38" t="n">
        <x:f>'Family Register'!G54*Scenarios!D12</x:f>
        <x:v>15</x:v>
      </x:c>
      <x:c r="F294" s="38" t="n">
        <x:f>'Family Register'!I54</x:f>
        <x:v>1.6</x:v>
      </x:c>
      <x:c r="G294" s="38" t="n">
        <x:f>MIN(Scenarios!E12:L12)</x:f>
        <x:v>0.5</x:v>
      </x:c>
      <x:c r="H294" s="38" t="n">
        <x:f>'Family Register'!G54*F294*G294</x:f>
        <x:v>9.600000000000001</x:v>
      </x:c>
      <x:c r="I294" s="38" t="n">
        <x:f>MIN(E294,H294)</x:f>
        <x:v>9.600000000000001</x:v>
      </x:c>
      <x:c r="J294" s="38" t="n">
        <x:f>IF(E294&gt;0,I294/E294,0)</x:f>
        <x:v>0.6400000000000001</x:v>
      </x:c>
      <x:c r="K294" s="26" t="str">
        <x:f>IF(J294&gt;=1,"ADEQUATE","GAP")</x:f>
        <x:v>GAP</x:v>
      </x:c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</x:sheetData>
  <x:mergeCells>
    <x:mergeCell ref="B3:K3"/>
  </x:mergeCells>
  <x:conditionalFormatting sqref="K7:K294">
    <x:cfRule type="containsText" dxfId="27" priority="1" operator="containsText" text="OPEN"/>
    <x:cfRule type="containsText" dxfId="28" priority="2" operator="containsText" text="HOLD"/>
    <x:cfRule type="containsText" dxfId="29" priority="3" operator="containsText" text="BLOCKED"/>
    <x:cfRule type="containsText" dxfId="30" priority="4" operator="containsText" text="GAP"/>
    <x:cfRule type="containsText" dxfId="31" priority="5" operator="containsText" text="NOT ADMITTED"/>
    <x:cfRule type="containsText" dxfId="32" priority="6" operator="containsText" text="FAIL"/>
    <x:cfRule type="containsText" dxfId="33" priority="7" operator="containsText" text="PASS"/>
    <x:cfRule type="containsText" dxfId="34" priority="8" operator="containsText" text="ADEQUATE"/>
    <x:cfRule type="containsText" dxfId="35" priority="9" operator="containsText" text="ADMIT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0" hidden="0" customWidth="1"/>
    <x:col min="4" max="4" width="10" hidden="0" customWidth="1"/>
    <x:col min="5" max="5" width="36" hidden="0" customWidth="1"/>
    <x:col min="6" max="6" width="17" hidden="0" customWidth="1"/>
    <x:col min="7" max="7" width="19" hidden="0" customWidth="1"/>
    <x:col min="8" max="8" width="19" hidden="0" customWidth="1"/>
    <x:col min="9" max="9" width="17" hidden="0" customWidth="1"/>
    <x:col min="10" max="10" width="20" hidden="0" customWidth="1"/>
    <x:col min="11" max="11" width="17" hidden="0" customWidth="1"/>
    <x:col min="12" max="12" width="18" hidden="0" customWidth="1"/>
    <x:col min="13" max="13" width="17" hidden="0" customWidth="1"/>
    <x:col min="14" max="14" width="21" hidden="0" customWidth="1"/>
    <x:col min="15" max="15" width="18" hidden="0" customWidth="1"/>
    <x:col min="16" max="16" width="13" hidden="0" customWidth="1"/>
    <x:col min="17" max="17" width="18" hidden="0" customWidth="1"/>
    <x:col min="18" max="18" width="20" hidden="0" customWidth="1"/>
    <x:col min="19" max="19" width="18" hidden="0" customWidth="1"/>
  </x:cols>
  <x:sheetData>
    <x:row r="2">
      <x:c r="B2" s="3" t="str">
        <x:v>Twelve-stage conserved service chain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B3" s="4" t="str">
        <x:v>The active scenario flows through every family. Blue-font cells are the only observed inputs: gross lots, conforming yield, elapsed hours and evidence acceptance.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>
      <x:c r="B6" s="19" t="str">
        <x:v>Record</x:v>
      </x:c>
      <x:c r="C6" s="20" t="str">
        <x:v>Family</x:v>
      </x:c>
      <x:c r="D6" s="20" t="str">
        <x:v>Stage</x:v>
      </x:c>
      <x:c r="E6" s="20" t="str">
        <x:v>Stage name</x:v>
      </x:c>
      <x:c r="F6" s="20" t="str">
        <x:v>Required lots</x:v>
      </x:c>
      <x:c r="G6" s="20" t="str">
        <x:v>Availability factor</x:v>
      </x:c>
      <x:c r="H6" s="20" t="str">
        <x:v>Planned capacity</x:v>
      </x:c>
      <x:c r="I6" s="20" t="str">
        <x:v>Planned prior</x:v>
      </x:c>
      <x:c r="J6" s="20" t="str">
        <x:v>Planned admitted</x:v>
      </x:c>
      <x:c r="K6" s="20" t="str">
        <x:v>Observed gross</x:v>
      </x:c>
      <x:c r="L6" s="20" t="str">
        <x:v>Conforming yield</x:v>
      </x:c>
      <x:c r="M6" s="20" t="str">
        <x:v>Certified lots</x:v>
      </x:c>
      <x:c r="N6" s="20" t="str">
        <x:v>Observed elapsed hours</x:v>
      </x:c>
      <x:c r="O6" s="20" t="str">
        <x:v>Deadline hours</x:v>
      </x:c>
      <x:c r="P6" s="20" t="str">
        <x:v>Time gate</x:v>
      </x:c>
      <x:c r="Q6" s="20" t="str">
        <x:v>Evidence accepted</x:v>
      </x:c>
      <x:c r="R6" s="20" t="str">
        <x:v>Observed admitted</x:v>
      </x:c>
      <x:c r="S6" s="20" t="str">
        <x:v>Result</x:v>
      </x:c>
    </x:row>
    <x:row r="7">
      <x:c r="B7" s="21" t="str">
        <x:v>SL-0001</x:v>
      </x:c>
      <x:c r="C7" s="21" t="str">
        <x:v>F01</x:v>
      </x:c>
      <x:c r="D7" s="21" t="n">
        <x:v>1</x:v>
      </x:c>
      <x:c r="E7" s="21" t="str">
        <x:v>Alert authentication</x:v>
      </x:c>
      <x:c r="F7" s="37" t="n">
        <x:f>'Family Register'!L7</x:f>
        <x:v>12</x:v>
      </x:c>
      <x:c r="G7" s="37" t="n">
        <x:f>INDEX(Scenarios!$K$7:$K$12,Assumptions!C7)</x:f>
        <x:v>0.75</x:v>
      </x:c>
      <x:c r="H7" s="37" t="n">
        <x:f>'Family Register'!G7*'Family Register'!I7*G7</x:f>
        <x:v>14.400000000000002</x:v>
      </x:c>
      <x:c r="I7" s="37" t="n">
        <x:f>F7</x:f>
        <x:v>12</x:v>
      </x:c>
      <x:c r="J7" s="37" t="n">
        <x:f>MIN(F7,H7,I7)</x:f>
        <x:v>12</x:v>
      </x:c>
      <x:c r="K7" s="22" t="n">
        <x:v>0</x:v>
      </x:c>
      <x:c r="L7" s="22" t="n">
        <x:v>0</x:v>
      </x:c>
      <x:c r="M7" s="37" t="n">
        <x:f>K7*L7</x:f>
        <x:v>0</x:v>
      </x:c>
      <x:c r="N7" s="22" t="n">
        <x:v>0</x:v>
      </x:c>
      <x:c r="O7" s="37" t="n">
        <x:f>2</x:f>
        <x:v>2</x:v>
      </x:c>
      <x:c r="P7" s="37" t="n">
        <x:f>IF(AND(N7&gt;0,N7&lt;=O7),1,0)</x:f>
        <x:v>0</x:v>
      </x:c>
      <x:c r="Q7" s="22" t="n">
        <x:v>0</x:v>
      </x:c>
      <x:c r="R7" s="37" t="n">
        <x:f>IF(AND(P7=1,Q7=1),MIN(F7,M7),0)</x:f>
        <x:v>0</x:v>
      </x:c>
      <x:c r="S7" s="23" t="str">
        <x:f>IF(R7&gt;=F7,"ADMITTED","NOT ADMITTED")</x:f>
        <x:v>NOT ADMITTED</x:v>
      </x:c>
    </x:row>
    <x:row r="8">
      <x:c r="B8" s="21" t="str">
        <x:v>SL-0002</x:v>
      </x:c>
      <x:c r="C8" s="21" t="str">
        <x:v>F01</x:v>
      </x:c>
      <x:c r="D8" s="21" t="n">
        <x:v>2</x:v>
      </x:c>
      <x:c r="E8" s="21" t="str">
        <x:v>Workforce muster</x:v>
      </x:c>
      <x:c r="F8" s="37" t="n">
        <x:f>'Family Register'!L7</x:f>
        <x:v>12</x:v>
      </x:c>
      <x:c r="G8" s="37" t="n">
        <x:f>INDEX(Scenarios!$J$7:$J$12,Assumptions!C7)</x:f>
        <x:v>0.8</x:v>
      </x:c>
      <x:c r="H8" s="37" t="n">
        <x:f>'Family Register'!G7*'Family Register'!I7*G8</x:f>
        <x:v>15.360000000000003</x:v>
      </x:c>
      <x:c r="I8" s="37" t="n">
        <x:f>J7</x:f>
        <x:v>12</x:v>
      </x:c>
      <x:c r="J8" s="37" t="n">
        <x:f>MIN(F8,H8,I8)</x:f>
        <x:v>12</x:v>
      </x:c>
      <x:c r="K8" s="22" t="n">
        <x:v>0</x:v>
      </x:c>
      <x:c r="L8" s="22" t="n">
        <x:v>0</x:v>
      </x:c>
      <x:c r="M8" s="37" t="n">
        <x:f>K8*L8</x:f>
        <x:v>0</x:v>
      </x:c>
      <x:c r="N8" s="22" t="n">
        <x:v>0</x:v>
      </x:c>
      <x:c r="O8" s="37" t="n">
        <x:f>12</x:f>
        <x:v>12</x:v>
      </x:c>
      <x:c r="P8" s="37" t="n">
        <x:f>IF(AND(N8&gt;0,N8&lt;=O8),1,0)</x:f>
        <x:v>0</x:v>
      </x:c>
      <x:c r="Q8" s="22" t="n">
        <x:v>0</x:v>
      </x:c>
      <x:c r="R8" s="37" t="n">
        <x:f>IF(AND(P8=1,Q8=1),MIN(F8,M8,R7),0)</x:f>
        <x:v>0</x:v>
      </x:c>
      <x:c r="S8" s="23" t="str">
        <x:f>IF(R8&gt;=F8,"ADMITTED","NOT ADMITTED")</x:f>
        <x:v>NOT ADMITTED</x:v>
      </x:c>
    </x:row>
    <x:row r="9">
      <x:c r="B9" s="21" t="str">
        <x:v>SL-0003</x:v>
      </x:c>
      <x:c r="C9" s="21" t="str">
        <x:v>F01</x:v>
      </x:c>
      <x:c r="D9" s="21" t="n">
        <x:v>3</x:v>
      </x:c>
      <x:c r="E9" s="21" t="str">
        <x:v>Facility utility and safe start</x:v>
      </x:c>
      <x:c r="F9" s="37" t="n">
        <x:f>'Family Register'!L7</x:f>
        <x:v>12</x:v>
      </x:c>
      <x:c r="G9" s="37" t="n">
        <x:f>INDEX(Scenarios!$G$7:$G$12,Assumptions!C7)</x:f>
        <x:v>0.7</x:v>
      </x:c>
      <x:c r="H9" s="37" t="n">
        <x:f>'Family Register'!G7*'Family Register'!I7*G9</x:f>
        <x:v>13.440000000000001</x:v>
      </x:c>
      <x:c r="I9" s="37" t="n">
        <x:f>J8</x:f>
        <x:v>12</x:v>
      </x:c>
      <x:c r="J9" s="37" t="n">
        <x:f>MIN(F9,H9,I9)</x:f>
        <x:v>12</x:v>
      </x:c>
      <x:c r="K9" s="22" t="n">
        <x:v>0</x:v>
      </x:c>
      <x:c r="L9" s="22" t="n">
        <x:v>0</x:v>
      </x:c>
      <x:c r="M9" s="37" t="n">
        <x:f>K9*L9</x:f>
        <x:v>0</x:v>
      </x:c>
      <x:c r="N9" s="22" t="n">
        <x:v>0</x:v>
      </x:c>
      <x:c r="O9" s="37" t="n">
        <x:f>24</x:f>
        <x:v>24</x:v>
      </x:c>
      <x:c r="P9" s="37" t="n">
        <x:f>IF(AND(N9&gt;0,N9&lt;=O9),1,0)</x:f>
        <x:v>0</x:v>
      </x:c>
      <x:c r="Q9" s="22" t="n">
        <x:v>0</x:v>
      </x:c>
      <x:c r="R9" s="37" t="n">
        <x:f>IF(AND(P9=1,Q9=1),MIN(F9,M9,R8),0)</x:f>
        <x:v>0</x:v>
      </x:c>
      <x:c r="S9" s="23" t="str">
        <x:f>IF(R9&gt;=F9,"ADMITTED","NOT ADMITTED")</x:f>
        <x:v>NOT ADMITTED</x:v>
      </x:c>
    </x:row>
    <x:row r="10">
      <x:c r="B10" s="21" t="str">
        <x:v>SL-0004</x:v>
      </x:c>
      <x:c r="C10" s="21" t="str">
        <x:v>F01</x:v>
      </x:c>
      <x:c r="D10" s="21" t="n">
        <x:v>4</x:v>
      </x:c>
      <x:c r="E10" s="21" t="str">
        <x:v>Material tooling and instrument release</x:v>
      </x:c>
      <x:c r="F10" s="37" t="n">
        <x:f>'Family Register'!L7</x:f>
        <x:v>12</x:v>
      </x:c>
      <x:c r="G10" s="37" t="n">
        <x:f>INDEX(Scenarios!$E$7:$E$12,Assumptions!C7)</x:f>
        <x:v>0.75</x:v>
      </x:c>
      <x:c r="H10" s="37" t="n">
        <x:f>'Family Register'!G7*'Family Register'!I7*G10</x:f>
        <x:v>14.400000000000002</x:v>
      </x:c>
      <x:c r="I10" s="37" t="n">
        <x:f>J9</x:f>
        <x:v>12</x:v>
      </x:c>
      <x:c r="J10" s="37" t="n">
        <x:f>MIN(F10,H10,I10)</x:f>
        <x:v>12</x:v>
      </x:c>
      <x:c r="K10" s="22" t="n">
        <x:v>0</x:v>
      </x:c>
      <x:c r="L10" s="22" t="n">
        <x:v>0</x:v>
      </x:c>
      <x:c r="M10" s="37" t="n">
        <x:f>K10*L10</x:f>
        <x:v>0</x:v>
      </x:c>
      <x:c r="N10" s="22" t="n">
        <x:v>0</x:v>
      </x:c>
      <x:c r="O10" s="37" t="n">
        <x:f>36</x:f>
        <x:v>36</x:v>
      </x:c>
      <x:c r="P10" s="37" t="n">
        <x:f>IF(AND(N10&gt;0,N10&lt;=O10),1,0)</x:f>
        <x:v>0</x:v>
      </x:c>
      <x:c r="Q10" s="22" t="n">
        <x:v>0</x:v>
      </x:c>
      <x:c r="R10" s="37" t="n">
        <x:f>IF(AND(P10=1,Q10=1),MIN(F10,M10,R9),0)</x:f>
        <x:v>0</x:v>
      </x:c>
      <x:c r="S10" s="23" t="str">
        <x:f>IF(R10&gt;=F10,"ADMITTED","NOT ADMITTED")</x:f>
        <x:v>NOT ADMITTED</x:v>
      </x:c>
    </x:row>
    <x:row r="11">
      <x:c r="B11" s="21" t="str">
        <x:v>SL-0005</x:v>
      </x:c>
      <x:c r="C11" s="21" t="str">
        <x:v>F01</x:v>
      </x:c>
      <x:c r="D11" s="21" t="n">
        <x:v>5</x:v>
      </x:c>
      <x:c r="E11" s="21" t="str">
        <x:v>Supplier and process activation</x:v>
      </x:c>
      <x:c r="F11" s="37" t="n">
        <x:f>'Family Register'!L7</x:f>
        <x:v>12</x:v>
      </x:c>
      <x:c r="G11" s="37" t="n">
        <x:f>MIN(INDEX(Scenarios!$E$7:$E$12,Assumptions!C7),INDEX(Scenarios!$F$7:$F$12,Assumptions!C7))</x:f>
        <x:v>0.7</x:v>
      </x:c>
      <x:c r="H11" s="37" t="n">
        <x:f>'Family Register'!G7*'Family Register'!I7*G11</x:f>
        <x:v>13.440000000000001</x:v>
      </x:c>
      <x:c r="I11" s="37" t="n">
        <x:f>J10</x:f>
        <x:v>12</x:v>
      </x:c>
      <x:c r="J11" s="37" t="n">
        <x:f>MIN(F11,H11,I11)</x:f>
        <x:v>12</x:v>
      </x:c>
      <x:c r="K11" s="22" t="n">
        <x:v>0</x:v>
      </x:c>
      <x:c r="L11" s="22" t="n">
        <x:v>0</x:v>
      </x:c>
      <x:c r="M11" s="37" t="n">
        <x:f>K11*L11</x:f>
        <x:v>0</x:v>
      </x:c>
      <x:c r="N11" s="22" t="n">
        <x:v>0</x:v>
      </x:c>
      <x:c r="O11" s="37" t="n">
        <x:f>48</x:f>
        <x:v>48</x:v>
      </x:c>
      <x:c r="P11" s="37" t="n">
        <x:f>IF(AND(N11&gt;0,N11&lt;=O11),1,0)</x:f>
        <x:v>0</x:v>
      </x:c>
      <x:c r="Q11" s="22" t="n">
        <x:v>0</x:v>
      </x:c>
      <x:c r="R11" s="37" t="n">
        <x:f>IF(AND(P11=1,Q11=1),MIN(F11,M11,R10),0)</x:f>
        <x:v>0</x:v>
      </x:c>
      <x:c r="S11" s="23" t="str">
        <x:f>IF(R11&gt;=F11,"ADMITTED","NOT ADMITTED")</x:f>
        <x:v>NOT ADMITTED</x:v>
      </x:c>
    </x:row>
    <x:row r="12">
      <x:c r="B12" s="21" t="str">
        <x:v>SL-0006</x:v>
      </x:c>
      <x:c r="C12" s="21" t="str">
        <x:v>F01</x:v>
      </x:c>
      <x:c r="D12" s="21" t="n">
        <x:v>6</x:v>
      </x:c>
      <x:c r="E12" s="21" t="str">
        <x:v>Conforming production</x:v>
      </x:c>
      <x:c r="F12" s="37" t="n">
        <x:f>'Family Register'!L7</x:f>
        <x:v>12</x:v>
      </x:c>
      <x:c r="G12" s="37" t="n">
        <x:f>INDEX(Scenarios!$F$7:$F$12,Assumptions!C7)</x:f>
        <x:v>0.7</x:v>
      </x:c>
      <x:c r="H12" s="37" t="n">
        <x:f>'Family Register'!G7*'Family Register'!I7*G12</x:f>
        <x:v>13.440000000000001</x:v>
      </x:c>
      <x:c r="I12" s="37" t="n">
        <x:f>J11</x:f>
        <x:v>12</x:v>
      </x:c>
      <x:c r="J12" s="37" t="n">
        <x:f>MIN(F12,H12,I12)</x:f>
        <x:v>12</x:v>
      </x:c>
      <x:c r="K12" s="22" t="n">
        <x:v>0</x:v>
      </x:c>
      <x:c r="L12" s="22" t="n">
        <x:v>0</x:v>
      </x:c>
      <x:c r="M12" s="37" t="n">
        <x:f>K12*L12</x:f>
        <x:v>0</x:v>
      </x:c>
      <x:c r="N12" s="22" t="n">
        <x:v>0</x:v>
      </x:c>
      <x:c r="O12" s="37" t="n">
        <x:f>'Family Register'!H7*0.55</x:f>
        <x:v>92.4</x:v>
      </x:c>
      <x:c r="P12" s="37" t="n">
        <x:f>IF(AND(N12&gt;0,N12&lt;=O12),1,0)</x:f>
        <x:v>0</x:v>
      </x:c>
      <x:c r="Q12" s="22" t="n">
        <x:v>0</x:v>
      </x:c>
      <x:c r="R12" s="37" t="n">
        <x:f>IF(AND(P12=1,Q12=1),MIN(F12,M12,R11),0)</x:f>
        <x:v>0</x:v>
      </x:c>
      <x:c r="S12" s="23" t="str">
        <x:f>IF(R12&gt;=F12,"ADMITTED","NOT ADMITTED")</x:f>
        <x:v>NOT ADMITTED</x:v>
      </x:c>
    </x:row>
    <x:row r="13">
      <x:c r="B13" s="21" t="str">
        <x:v>SL-0007</x:v>
      </x:c>
      <x:c r="C13" s="21" t="str">
        <x:v>F01</x:v>
      </x:c>
      <x:c r="D13" s="21" t="n">
        <x:v>7</x:v>
      </x:c>
      <x:c r="E13" s="21" t="str">
        <x:v>Independent acceptance</x:v>
      </x:c>
      <x:c r="F13" s="37" t="n">
        <x:f>'Family Register'!L7</x:f>
        <x:v>12</x:v>
      </x:c>
      <x:c r="G13" s="37" t="n">
        <x:f>INDEX(Scenarios!$L$7:$L$12,Assumptions!C7)</x:f>
        <x:v>0.8</x:v>
      </x:c>
      <x:c r="H13" s="37" t="n">
        <x:f>'Family Register'!G7*'Family Register'!I7*G13</x:f>
        <x:v>15.360000000000003</x:v>
      </x:c>
      <x:c r="I13" s="37" t="n">
        <x:f>J12</x:f>
        <x:v>12</x:v>
      </x:c>
      <x:c r="J13" s="37" t="n">
        <x:f>MIN(F13,H13,I13)</x:f>
        <x:v>12</x:v>
      </x:c>
      <x:c r="K13" s="22" t="n">
        <x:v>0</x:v>
      </x:c>
      <x:c r="L13" s="22" t="n">
        <x:v>0</x:v>
      </x:c>
      <x:c r="M13" s="37" t="n">
        <x:f>K13*L13</x:f>
        <x:v>0</x:v>
      </x:c>
      <x:c r="N13" s="22" t="n">
        <x:v>0</x:v>
      </x:c>
      <x:c r="O13" s="37" t="n">
        <x:f>'Family Register'!H7*0.65</x:f>
        <x:v>109.2</x:v>
      </x:c>
      <x:c r="P13" s="37" t="n">
        <x:f>IF(AND(N13&gt;0,N13&lt;=O13),1,0)</x:f>
        <x:v>0</x:v>
      </x:c>
      <x:c r="Q13" s="22" t="n">
        <x:v>0</x:v>
      </x:c>
      <x:c r="R13" s="37" t="n">
        <x:f>IF(AND(P13=1,Q13=1),MIN(F13,M13,R12),0)</x:f>
        <x:v>0</x:v>
      </x:c>
      <x:c r="S13" s="23" t="str">
        <x:f>IF(R13&gt;=F13,"ADMITTED","NOT ADMITTED")</x:f>
        <x:v>NOT ADMITTED</x:v>
      </x:c>
    </x:row>
    <x:row r="14">
      <x:c r="B14" s="21" t="str">
        <x:v>SL-0008</x:v>
      </x:c>
      <x:c r="C14" s="21" t="str">
        <x:v>F01</x:v>
      </x:c>
      <x:c r="D14" s="21" t="n">
        <x:v>8</x:v>
      </x:c>
      <x:c r="E14" s="21" t="str">
        <x:v>Loadout and custody transfer</x:v>
      </x:c>
      <x:c r="F14" s="37" t="n">
        <x:f>'Family Register'!L7</x:f>
        <x:v>12</x:v>
      </x:c>
      <x:c r="G14" s="37" t="n">
        <x:f>INDEX(Scenarios!$H$7:$H$12,Assumptions!C7)</x:f>
        <x:v>0.65</x:v>
      </x:c>
      <x:c r="H14" s="37" t="n">
        <x:f>'Family Register'!G7*'Family Register'!I7*G14</x:f>
        <x:v>12.480000000000002</x:v>
      </x:c>
      <x:c r="I14" s="37" t="n">
        <x:f>J13</x:f>
        <x:v>12</x:v>
      </x:c>
      <x:c r="J14" s="37" t="n">
        <x:f>MIN(F14,H14,I14)</x:f>
        <x:v>12</x:v>
      </x:c>
      <x:c r="K14" s="22" t="n">
        <x:v>0</x:v>
      </x:c>
      <x:c r="L14" s="22" t="n">
        <x:v>0</x:v>
      </x:c>
      <x:c r="M14" s="37" t="n">
        <x:f>K14*L14</x:f>
        <x:v>0</x:v>
      </x:c>
      <x:c r="N14" s="22" t="n">
        <x:v>0</x:v>
      </x:c>
      <x:c r="O14" s="37" t="n">
        <x:f>'Family Register'!H7*0.7</x:f>
        <x:v>117.6</x:v>
      </x:c>
      <x:c r="P14" s="37" t="n">
        <x:f>IF(AND(N14&gt;0,N14&lt;=O14),1,0)</x:f>
        <x:v>0</x:v>
      </x:c>
      <x:c r="Q14" s="22" t="n">
        <x:v>0</x:v>
      </x:c>
      <x:c r="R14" s="37" t="n">
        <x:f>IF(AND(P14=1,Q14=1),MIN(F14,M14,R13),0)</x:f>
        <x:v>0</x:v>
      </x:c>
      <x:c r="S14" s="23" t="str">
        <x:f>IF(R14&gt;=F14,"ADMITTED","NOT ADMITTED")</x:f>
        <x:v>NOT ADMITTED</x:v>
      </x:c>
    </x:row>
    <x:row r="15">
      <x:c r="B15" s="21" t="str">
        <x:v>SL-0009</x:v>
      </x:c>
      <x:c r="C15" s="21" t="str">
        <x:v>F01</x:v>
      </x:c>
      <x:c r="D15" s="21" t="n">
        <x:v>9</x:v>
      </x:c>
      <x:c r="E15" s="21" t="str">
        <x:v>Strategic transport</x:v>
      </x:c>
      <x:c r="F15" s="37" t="n">
        <x:f>'Family Register'!L7</x:f>
        <x:v>12</x:v>
      </x:c>
      <x:c r="G15" s="37" t="n">
        <x:f>INDEX(Scenarios!$H$7:$H$12,Assumptions!C7)</x:f>
        <x:v>0.65</x:v>
      </x:c>
      <x:c r="H15" s="37" t="n">
        <x:f>'Family Register'!G7*'Family Register'!I7*G15</x:f>
        <x:v>12.480000000000002</x:v>
      </x:c>
      <x:c r="I15" s="37" t="n">
        <x:f>J14</x:f>
        <x:v>12</x:v>
      </x:c>
      <x:c r="J15" s="37" t="n">
        <x:f>MIN(F15,H15,I15)</x:f>
        <x:v>12</x:v>
      </x:c>
      <x:c r="K15" s="22" t="n">
        <x:v>0</x:v>
      </x:c>
      <x:c r="L15" s="22" t="n">
        <x:v>0</x:v>
      </x:c>
      <x:c r="M15" s="37" t="n">
        <x:f>K15*L15</x:f>
        <x:v>0</x:v>
      </x:c>
      <x:c r="N15" s="22" t="n">
        <x:v>0</x:v>
      </x:c>
      <x:c r="O15" s="37" t="n">
        <x:f>'Family Register'!H7*0.9</x:f>
        <x:v>151.20000000000002</x:v>
      </x:c>
      <x:c r="P15" s="37" t="n">
        <x:f>IF(AND(N15&gt;0,N15&lt;=O15),1,0)</x:f>
        <x:v>0</x:v>
      </x:c>
      <x:c r="Q15" s="22" t="n">
        <x:v>0</x:v>
      </x:c>
      <x:c r="R15" s="37" t="n">
        <x:f>IF(AND(P15=1,Q15=1),MIN(F15,M15,R14),0)</x:f>
        <x:v>0</x:v>
      </x:c>
      <x:c r="S15" s="23" t="str">
        <x:f>IF(R15&gt;=F15,"ADMITTED","NOT ADMITTED")</x:f>
        <x:v>NOT ADMITTED</x:v>
      </x:c>
    </x:row>
    <x:row r="16">
      <x:c r="B16" s="21" t="str">
        <x:v>SL-0010</x:v>
      </x:c>
      <x:c r="C16" s="21" t="str">
        <x:v>F01</x:v>
      </x:c>
      <x:c r="D16" s="21" t="n">
        <x:v>10</x:v>
      </x:c>
      <x:c r="E16" s="21" t="str">
        <x:v>Receiving-node admission</x:v>
      </x:c>
      <x:c r="F16" s="37" t="n">
        <x:f>'Family Register'!L7</x:f>
        <x:v>12</x:v>
      </x:c>
      <x:c r="G16" s="37" t="n">
        <x:f>INDEX(Scenarios!$I$7:$I$12,Assumptions!C7)</x:f>
        <x:v>0.75</x:v>
      </x:c>
      <x:c r="H16" s="37" t="n">
        <x:f>'Family Register'!G7*'Family Register'!I7*G16</x:f>
        <x:v>14.400000000000002</x:v>
      </x:c>
      <x:c r="I16" s="37" t="n">
        <x:f>J15</x:f>
        <x:v>12</x:v>
      </x:c>
      <x:c r="J16" s="37" t="n">
        <x:f>MIN(F16,H16,I16)</x:f>
        <x:v>12</x:v>
      </x:c>
      <x:c r="K16" s="22" t="n">
        <x:v>0</x:v>
      </x:c>
      <x:c r="L16" s="22" t="n">
        <x:v>0</x:v>
      </x:c>
      <x:c r="M16" s="37" t="n">
        <x:f>K16*L16</x:f>
        <x:v>0</x:v>
      </x:c>
      <x:c r="N16" s="22" t="n">
        <x:v>0</x:v>
      </x:c>
      <x:c r="O16" s="37" t="n">
        <x:f>'Family Register'!H7*0.94</x:f>
        <x:v>157.92</x:v>
      </x:c>
      <x:c r="P16" s="37" t="n">
        <x:f>IF(AND(N16&gt;0,N16&lt;=O16),1,0)</x:f>
        <x:v>0</x:v>
      </x:c>
      <x:c r="Q16" s="22" t="n">
        <x:v>0</x:v>
      </x:c>
      <x:c r="R16" s="37" t="n">
        <x:f>IF(AND(P16=1,Q16=1),MIN(F16,M16,R15),0)</x:f>
        <x:v>0</x:v>
      </x:c>
      <x:c r="S16" s="23" t="str">
        <x:f>IF(R16&gt;=F16,"ADMITTED","NOT ADMITTED")</x:f>
        <x:v>NOT ADMITTED</x:v>
      </x:c>
    </x:row>
    <x:row r="17">
      <x:c r="B17" s="21" t="str">
        <x:v>SL-0011</x:v>
      </x:c>
      <x:c r="C17" s="21" t="str">
        <x:v>F01</x:v>
      </x:c>
      <x:c r="D17" s="21" t="n">
        <x:v>11</x:v>
      </x:c>
      <x:c r="E17" s="21" t="str">
        <x:v>Commissioned public service</x:v>
      </x:c>
      <x:c r="F17" s="37" t="n">
        <x:f>'Family Register'!L7</x:f>
        <x:v>12</x:v>
      </x:c>
      <x:c r="G17" s="37" t="n">
        <x:f>MIN(INDEX(Scenarios!$G$7:$G$12,Assumptions!C7),INDEX(Scenarios!$I$7:$I$12,Assumptions!C7))</x:f>
        <x:v>0.7</x:v>
      </x:c>
      <x:c r="H17" s="37" t="n">
        <x:f>'Family Register'!G7*'Family Register'!I7*G17</x:f>
        <x:v>13.440000000000001</x:v>
      </x:c>
      <x:c r="I17" s="37" t="n">
        <x:f>J16</x:f>
        <x:v>12</x:v>
      </x:c>
      <x:c r="J17" s="37" t="n">
        <x:f>MIN(F17,H17,I17)</x:f>
        <x:v>12</x:v>
      </x:c>
      <x:c r="K17" s="22" t="n">
        <x:v>0</x:v>
      </x:c>
      <x:c r="L17" s="22" t="n">
        <x:v>0</x:v>
      </x:c>
      <x:c r="M17" s="37" t="n">
        <x:f>K17*L17</x:f>
        <x:v>0</x:v>
      </x:c>
      <x:c r="N17" s="22" t="n">
        <x:v>0</x:v>
      </x:c>
      <x:c r="O17" s="37" t="n">
        <x:f>'Family Register'!H7*1</x:f>
        <x:v>168</x:v>
      </x:c>
      <x:c r="P17" s="37" t="n">
        <x:f>IF(AND(N17&gt;0,N17&lt;=O17),1,0)</x:f>
        <x:v>0</x:v>
      </x:c>
      <x:c r="Q17" s="22" t="n">
        <x:v>0</x:v>
      </x:c>
      <x:c r="R17" s="37" t="n">
        <x:f>IF(AND(P17=1,Q17=1),MIN(F17,M17,R16),0)</x:f>
        <x:v>0</x:v>
      </x:c>
      <x:c r="S17" s="23" t="str">
        <x:f>IF(R17&gt;=F17,"ADMITTED","NOT ADMITTED")</x:f>
        <x:v>NOT ADMITTED</x:v>
      </x:c>
    </x:row>
    <x:row r="18">
      <x:c r="B18" s="21" t="str">
        <x:v>SL-0012</x:v>
      </x:c>
      <x:c r="C18" s="21" t="str">
        <x:v>F01</x:v>
      </x:c>
      <x:c r="D18" s="21" t="n">
        <x:v>12</x:v>
      </x:c>
      <x:c r="E18" s="21" t="str">
        <x:v>Regeneration and replacement</x:v>
      </x:c>
      <x:c r="F18" s="37" t="n">
        <x:f>'Family Register'!L7</x:f>
        <x:v>12</x:v>
      </x:c>
      <x:c r="G18" s="37" t="n">
        <x:f>MIN(INDEX(Scenarios!$E$7:$E$12,Assumptions!C7),INDEX(Scenarios!$F$7:$F$12,Assumptions!C7))</x:f>
        <x:v>0.7</x:v>
      </x:c>
      <x:c r="H18" s="37" t="n">
        <x:f>'Family Register'!G7*'Family Register'!I7*G18</x:f>
        <x:v>13.440000000000001</x:v>
      </x:c>
      <x:c r="I18" s="37" t="n">
        <x:f>J17</x:f>
        <x:v>12</x:v>
      </x:c>
      <x:c r="J18" s="37" t="n">
        <x:f>MIN(F18,H18,I18)</x:f>
        <x:v>12</x:v>
      </x:c>
      <x:c r="K18" s="22" t="n">
        <x:v>0</x:v>
      </x:c>
      <x:c r="L18" s="22" t="n">
        <x:v>0</x:v>
      </x:c>
      <x:c r="M18" s="37" t="n">
        <x:f>K18*L18</x:f>
        <x:v>0</x:v>
      </x:c>
      <x:c r="N18" s="22" t="n">
        <x:v>0</x:v>
      </x:c>
      <x:c r="O18" s="37" t="n">
        <x:f>'Family Register'!H7+168</x:f>
        <x:v>336</x:v>
      </x:c>
      <x:c r="P18" s="37" t="n">
        <x:f>IF(AND(N18&gt;0,N18&lt;=O18),1,0)</x:f>
        <x:v>0</x:v>
      </x:c>
      <x:c r="Q18" s="22" t="n">
        <x:v>0</x:v>
      </x:c>
      <x:c r="R18" s="37" t="n">
        <x:f>IF(AND(P18=1,Q18=1),MIN(F18,M18,R17),0)</x:f>
        <x:v>0</x:v>
      </x:c>
      <x:c r="S18" s="23" t="str">
        <x:f>IF(R18&gt;=F18,"ADMITTED","NOT ADMITTED")</x:f>
        <x:v>NOT ADMITTED</x:v>
      </x:c>
    </x:row>
    <x:row r="19">
      <x:c r="B19" s="21" t="str">
        <x:v>SL-0013</x:v>
      </x:c>
      <x:c r="C19" s="21" t="str">
        <x:v>F02</x:v>
      </x:c>
      <x:c r="D19" s="21" t="n">
        <x:v>1</x:v>
      </x:c>
      <x:c r="E19" s="21" t="str">
        <x:v>Alert authentication</x:v>
      </x:c>
      <x:c r="F19" s="37" t="n">
        <x:f>'Family Register'!L8</x:f>
        <x:v>12</x:v>
      </x:c>
      <x:c r="G19" s="37" t="n">
        <x:f>INDEX(Scenarios!$K$7:$K$12,Assumptions!C7)</x:f>
        <x:v>0.75</x:v>
      </x:c>
      <x:c r="H19" s="37" t="n">
        <x:f>'Family Register'!G8*'Family Register'!I8*G19</x:f>
        <x:v>14.400000000000002</x:v>
      </x:c>
      <x:c r="I19" s="37" t="n">
        <x:f>F19</x:f>
        <x:v>12</x:v>
      </x:c>
      <x:c r="J19" s="37" t="n">
        <x:f>MIN(F19,H19,I19)</x:f>
        <x:v>12</x:v>
      </x:c>
      <x:c r="K19" s="22" t="n">
        <x:v>0</x:v>
      </x:c>
      <x:c r="L19" s="22" t="n">
        <x:v>0</x:v>
      </x:c>
      <x:c r="M19" s="37" t="n">
        <x:f>K19*L19</x:f>
        <x:v>0</x:v>
      </x:c>
      <x:c r="N19" s="22" t="n">
        <x:v>0</x:v>
      </x:c>
      <x:c r="O19" s="37" t="n">
        <x:f>2</x:f>
        <x:v>2</x:v>
      </x:c>
      <x:c r="P19" s="37" t="n">
        <x:f>IF(AND(N19&gt;0,N19&lt;=O19),1,0)</x:f>
        <x:v>0</x:v>
      </x:c>
      <x:c r="Q19" s="22" t="n">
        <x:v>0</x:v>
      </x:c>
      <x:c r="R19" s="37" t="n">
        <x:f>IF(AND(P19=1,Q19=1),MIN(F19,M19),0)</x:f>
        <x:v>0</x:v>
      </x:c>
      <x:c r="S19" s="23" t="str">
        <x:f>IF(R19&gt;=F19,"ADMITTED","NOT ADMITTED")</x:f>
        <x:v>NOT ADMITTED</x:v>
      </x:c>
    </x:row>
    <x:row r="20">
      <x:c r="B20" s="21" t="str">
        <x:v>SL-0014</x:v>
      </x:c>
      <x:c r="C20" s="21" t="str">
        <x:v>F02</x:v>
      </x:c>
      <x:c r="D20" s="21" t="n">
        <x:v>2</x:v>
      </x:c>
      <x:c r="E20" s="21" t="str">
        <x:v>Workforce muster</x:v>
      </x:c>
      <x:c r="F20" s="37" t="n">
        <x:f>'Family Register'!L8</x:f>
        <x:v>12</x:v>
      </x:c>
      <x:c r="G20" s="37" t="n">
        <x:f>INDEX(Scenarios!$J$7:$J$12,Assumptions!C7)</x:f>
        <x:v>0.8</x:v>
      </x:c>
      <x:c r="H20" s="37" t="n">
        <x:f>'Family Register'!G8*'Family Register'!I8*G20</x:f>
        <x:v>15.360000000000003</x:v>
      </x:c>
      <x:c r="I20" s="37" t="n">
        <x:f>J19</x:f>
        <x:v>12</x:v>
      </x:c>
      <x:c r="J20" s="37" t="n">
        <x:f>MIN(F20,H20,I20)</x:f>
        <x:v>12</x:v>
      </x:c>
      <x:c r="K20" s="22" t="n">
        <x:v>0</x:v>
      </x:c>
      <x:c r="L20" s="22" t="n">
        <x:v>0</x:v>
      </x:c>
      <x:c r="M20" s="37" t="n">
        <x:f>K20*L20</x:f>
        <x:v>0</x:v>
      </x:c>
      <x:c r="N20" s="22" t="n">
        <x:v>0</x:v>
      </x:c>
      <x:c r="O20" s="37" t="n">
        <x:f>12</x:f>
        <x:v>12</x:v>
      </x:c>
      <x:c r="P20" s="37" t="n">
        <x:f>IF(AND(N20&gt;0,N20&lt;=O20),1,0)</x:f>
        <x:v>0</x:v>
      </x:c>
      <x:c r="Q20" s="22" t="n">
        <x:v>0</x:v>
      </x:c>
      <x:c r="R20" s="37" t="n">
        <x:f>IF(AND(P20=1,Q20=1),MIN(F20,M20,R19),0)</x:f>
        <x:v>0</x:v>
      </x:c>
      <x:c r="S20" s="23" t="str">
        <x:f>IF(R20&gt;=F20,"ADMITTED","NOT ADMITTED")</x:f>
        <x:v>NOT ADMITTED</x:v>
      </x:c>
    </x:row>
    <x:row r="21">
      <x:c r="B21" s="21" t="str">
        <x:v>SL-0015</x:v>
      </x:c>
      <x:c r="C21" s="21" t="str">
        <x:v>F02</x:v>
      </x:c>
      <x:c r="D21" s="21" t="n">
        <x:v>3</x:v>
      </x:c>
      <x:c r="E21" s="21" t="str">
        <x:v>Facility utility and safe start</x:v>
      </x:c>
      <x:c r="F21" s="37" t="n">
        <x:f>'Family Register'!L8</x:f>
        <x:v>12</x:v>
      </x:c>
      <x:c r="G21" s="37" t="n">
        <x:f>INDEX(Scenarios!$G$7:$G$12,Assumptions!C7)</x:f>
        <x:v>0.7</x:v>
      </x:c>
      <x:c r="H21" s="37" t="n">
        <x:f>'Family Register'!G8*'Family Register'!I8*G21</x:f>
        <x:v>13.440000000000001</x:v>
      </x:c>
      <x:c r="I21" s="37" t="n">
        <x:f>J20</x:f>
        <x:v>12</x:v>
      </x:c>
      <x:c r="J21" s="37" t="n">
        <x:f>MIN(F21,H21,I21)</x:f>
        <x:v>12</x:v>
      </x:c>
      <x:c r="K21" s="22" t="n">
        <x:v>0</x:v>
      </x:c>
      <x:c r="L21" s="22" t="n">
        <x:v>0</x:v>
      </x:c>
      <x:c r="M21" s="37" t="n">
        <x:f>K21*L21</x:f>
        <x:v>0</x:v>
      </x:c>
      <x:c r="N21" s="22" t="n">
        <x:v>0</x:v>
      </x:c>
      <x:c r="O21" s="37" t="n">
        <x:f>24</x:f>
        <x:v>24</x:v>
      </x:c>
      <x:c r="P21" s="37" t="n">
        <x:f>IF(AND(N21&gt;0,N21&lt;=O21),1,0)</x:f>
        <x:v>0</x:v>
      </x:c>
      <x:c r="Q21" s="22" t="n">
        <x:v>0</x:v>
      </x:c>
      <x:c r="R21" s="37" t="n">
        <x:f>IF(AND(P21=1,Q21=1),MIN(F21,M21,R20),0)</x:f>
        <x:v>0</x:v>
      </x:c>
      <x:c r="S21" s="23" t="str">
        <x:f>IF(R21&gt;=F21,"ADMITTED","NOT ADMITTED")</x:f>
        <x:v>NOT ADMITTED</x:v>
      </x:c>
    </x:row>
    <x:row r="22">
      <x:c r="B22" s="21" t="str">
        <x:v>SL-0016</x:v>
      </x:c>
      <x:c r="C22" s="21" t="str">
        <x:v>F02</x:v>
      </x:c>
      <x:c r="D22" s="21" t="n">
        <x:v>4</x:v>
      </x:c>
      <x:c r="E22" s="21" t="str">
        <x:v>Material tooling and instrument release</x:v>
      </x:c>
      <x:c r="F22" s="37" t="n">
        <x:f>'Family Register'!L8</x:f>
        <x:v>12</x:v>
      </x:c>
      <x:c r="G22" s="37" t="n">
        <x:f>INDEX(Scenarios!$E$7:$E$12,Assumptions!C7)</x:f>
        <x:v>0.75</x:v>
      </x:c>
      <x:c r="H22" s="37" t="n">
        <x:f>'Family Register'!G8*'Family Register'!I8*G22</x:f>
        <x:v>14.400000000000002</x:v>
      </x:c>
      <x:c r="I22" s="37" t="n">
        <x:f>J21</x:f>
        <x:v>12</x:v>
      </x:c>
      <x:c r="J22" s="37" t="n">
        <x:f>MIN(F22,H22,I22)</x:f>
        <x:v>12</x:v>
      </x:c>
      <x:c r="K22" s="22" t="n">
        <x:v>0</x:v>
      </x:c>
      <x:c r="L22" s="22" t="n">
        <x:v>0</x:v>
      </x:c>
      <x:c r="M22" s="37" t="n">
        <x:f>K22*L22</x:f>
        <x:v>0</x:v>
      </x:c>
      <x:c r="N22" s="22" t="n">
        <x:v>0</x:v>
      </x:c>
      <x:c r="O22" s="37" t="n">
        <x:f>36</x:f>
        <x:v>36</x:v>
      </x:c>
      <x:c r="P22" s="37" t="n">
        <x:f>IF(AND(N22&gt;0,N22&lt;=O22),1,0)</x:f>
        <x:v>0</x:v>
      </x:c>
      <x:c r="Q22" s="22" t="n">
        <x:v>0</x:v>
      </x:c>
      <x:c r="R22" s="37" t="n">
        <x:f>IF(AND(P22=1,Q22=1),MIN(F22,M22,R21),0)</x:f>
        <x:v>0</x:v>
      </x:c>
      <x:c r="S22" s="23" t="str">
        <x:f>IF(R22&gt;=F22,"ADMITTED","NOT ADMITTED")</x:f>
        <x:v>NOT ADMITTED</x:v>
      </x:c>
    </x:row>
    <x:row r="23">
      <x:c r="B23" s="21" t="str">
        <x:v>SL-0017</x:v>
      </x:c>
      <x:c r="C23" s="21" t="str">
        <x:v>F02</x:v>
      </x:c>
      <x:c r="D23" s="21" t="n">
        <x:v>5</x:v>
      </x:c>
      <x:c r="E23" s="21" t="str">
        <x:v>Supplier and process activation</x:v>
      </x:c>
      <x:c r="F23" s="37" t="n">
        <x:f>'Family Register'!L8</x:f>
        <x:v>12</x:v>
      </x:c>
      <x:c r="G23" s="37" t="n">
        <x:f>MIN(INDEX(Scenarios!$E$7:$E$12,Assumptions!C7),INDEX(Scenarios!$F$7:$F$12,Assumptions!C7))</x:f>
        <x:v>0.7</x:v>
      </x:c>
      <x:c r="H23" s="37" t="n">
        <x:f>'Family Register'!G8*'Family Register'!I8*G23</x:f>
        <x:v>13.440000000000001</x:v>
      </x:c>
      <x:c r="I23" s="37" t="n">
        <x:f>J22</x:f>
        <x:v>12</x:v>
      </x:c>
      <x:c r="J23" s="37" t="n">
        <x:f>MIN(F23,H23,I23)</x:f>
        <x:v>12</x:v>
      </x:c>
      <x:c r="K23" s="22" t="n">
        <x:v>0</x:v>
      </x:c>
      <x:c r="L23" s="22" t="n">
        <x:v>0</x:v>
      </x:c>
      <x:c r="M23" s="37" t="n">
        <x:f>K23*L23</x:f>
        <x:v>0</x:v>
      </x:c>
      <x:c r="N23" s="22" t="n">
        <x:v>0</x:v>
      </x:c>
      <x:c r="O23" s="37" t="n">
        <x:f>48</x:f>
        <x:v>48</x:v>
      </x:c>
      <x:c r="P23" s="37" t="n">
        <x:f>IF(AND(N23&gt;0,N23&lt;=O23),1,0)</x:f>
        <x:v>0</x:v>
      </x:c>
      <x:c r="Q23" s="22" t="n">
        <x:v>0</x:v>
      </x:c>
      <x:c r="R23" s="37" t="n">
        <x:f>IF(AND(P23=1,Q23=1),MIN(F23,M23,R22),0)</x:f>
        <x:v>0</x:v>
      </x:c>
      <x:c r="S23" s="23" t="str">
        <x:f>IF(R23&gt;=F23,"ADMITTED","NOT ADMITTED")</x:f>
        <x:v>NOT ADMITTED</x:v>
      </x:c>
    </x:row>
    <x:row r="24">
      <x:c r="B24" s="21" t="str">
        <x:v>SL-0018</x:v>
      </x:c>
      <x:c r="C24" s="21" t="str">
        <x:v>F02</x:v>
      </x:c>
      <x:c r="D24" s="21" t="n">
        <x:v>6</x:v>
      </x:c>
      <x:c r="E24" s="21" t="str">
        <x:v>Conforming production</x:v>
      </x:c>
      <x:c r="F24" s="37" t="n">
        <x:f>'Family Register'!L8</x:f>
        <x:v>12</x:v>
      </x:c>
      <x:c r="G24" s="37" t="n">
        <x:f>INDEX(Scenarios!$F$7:$F$12,Assumptions!C7)</x:f>
        <x:v>0.7</x:v>
      </x:c>
      <x:c r="H24" s="37" t="n">
        <x:f>'Family Register'!G8*'Family Register'!I8*G24</x:f>
        <x:v>13.440000000000001</x:v>
      </x:c>
      <x:c r="I24" s="37" t="n">
        <x:f>J23</x:f>
        <x:v>12</x:v>
      </x:c>
      <x:c r="J24" s="37" t="n">
        <x:f>MIN(F24,H24,I24)</x:f>
        <x:v>12</x:v>
      </x:c>
      <x:c r="K24" s="22" t="n">
        <x:v>0</x:v>
      </x:c>
      <x:c r="L24" s="22" t="n">
        <x:v>0</x:v>
      </x:c>
      <x:c r="M24" s="37" t="n">
        <x:f>K24*L24</x:f>
        <x:v>0</x:v>
      </x:c>
      <x:c r="N24" s="22" t="n">
        <x:v>0</x:v>
      </x:c>
      <x:c r="O24" s="37" t="n">
        <x:f>'Family Register'!H8*0.55</x:f>
        <x:v>92.4</x:v>
      </x:c>
      <x:c r="P24" s="37" t="n">
        <x:f>IF(AND(N24&gt;0,N24&lt;=O24),1,0)</x:f>
        <x:v>0</x:v>
      </x:c>
      <x:c r="Q24" s="22" t="n">
        <x:v>0</x:v>
      </x:c>
      <x:c r="R24" s="37" t="n">
        <x:f>IF(AND(P24=1,Q24=1),MIN(F24,M24,R23),0)</x:f>
        <x:v>0</x:v>
      </x:c>
      <x:c r="S24" s="23" t="str">
        <x:f>IF(R24&gt;=F24,"ADMITTED","NOT ADMITTED")</x:f>
        <x:v>NOT ADMITTED</x:v>
      </x:c>
    </x:row>
    <x:row r="25">
      <x:c r="B25" s="21" t="str">
        <x:v>SL-0019</x:v>
      </x:c>
      <x:c r="C25" s="21" t="str">
        <x:v>F02</x:v>
      </x:c>
      <x:c r="D25" s="21" t="n">
        <x:v>7</x:v>
      </x:c>
      <x:c r="E25" s="21" t="str">
        <x:v>Independent acceptance</x:v>
      </x:c>
      <x:c r="F25" s="37" t="n">
        <x:f>'Family Register'!L8</x:f>
        <x:v>12</x:v>
      </x:c>
      <x:c r="G25" s="37" t="n">
        <x:f>INDEX(Scenarios!$L$7:$L$12,Assumptions!C7)</x:f>
        <x:v>0.8</x:v>
      </x:c>
      <x:c r="H25" s="37" t="n">
        <x:f>'Family Register'!G8*'Family Register'!I8*G25</x:f>
        <x:v>15.360000000000003</x:v>
      </x:c>
      <x:c r="I25" s="37" t="n">
        <x:f>J24</x:f>
        <x:v>12</x:v>
      </x:c>
      <x:c r="J25" s="37" t="n">
        <x:f>MIN(F25,H25,I25)</x:f>
        <x:v>12</x:v>
      </x:c>
      <x:c r="K25" s="22" t="n">
        <x:v>0</x:v>
      </x:c>
      <x:c r="L25" s="22" t="n">
        <x:v>0</x:v>
      </x:c>
      <x:c r="M25" s="37" t="n">
        <x:f>K25*L25</x:f>
        <x:v>0</x:v>
      </x:c>
      <x:c r="N25" s="22" t="n">
        <x:v>0</x:v>
      </x:c>
      <x:c r="O25" s="37" t="n">
        <x:f>'Family Register'!H8*0.65</x:f>
        <x:v>109.2</x:v>
      </x:c>
      <x:c r="P25" s="37" t="n">
        <x:f>IF(AND(N25&gt;0,N25&lt;=O25),1,0)</x:f>
        <x:v>0</x:v>
      </x:c>
      <x:c r="Q25" s="22" t="n">
        <x:v>0</x:v>
      </x:c>
      <x:c r="R25" s="37" t="n">
        <x:f>IF(AND(P25=1,Q25=1),MIN(F25,M25,R24),0)</x:f>
        <x:v>0</x:v>
      </x:c>
      <x:c r="S25" s="23" t="str">
        <x:f>IF(R25&gt;=F25,"ADMITTED","NOT ADMITTED")</x:f>
        <x:v>NOT ADMITTED</x:v>
      </x:c>
    </x:row>
    <x:row r="26">
      <x:c r="B26" s="21" t="str">
        <x:v>SL-0020</x:v>
      </x:c>
      <x:c r="C26" s="21" t="str">
        <x:v>F02</x:v>
      </x:c>
      <x:c r="D26" s="21" t="n">
        <x:v>8</x:v>
      </x:c>
      <x:c r="E26" s="21" t="str">
        <x:v>Loadout and custody transfer</x:v>
      </x:c>
      <x:c r="F26" s="37" t="n">
        <x:f>'Family Register'!L8</x:f>
        <x:v>12</x:v>
      </x:c>
      <x:c r="G26" s="37" t="n">
        <x:f>INDEX(Scenarios!$H$7:$H$12,Assumptions!C7)</x:f>
        <x:v>0.65</x:v>
      </x:c>
      <x:c r="H26" s="37" t="n">
        <x:f>'Family Register'!G8*'Family Register'!I8*G26</x:f>
        <x:v>12.480000000000002</x:v>
      </x:c>
      <x:c r="I26" s="37" t="n">
        <x:f>J25</x:f>
        <x:v>12</x:v>
      </x:c>
      <x:c r="J26" s="37" t="n">
        <x:f>MIN(F26,H26,I26)</x:f>
        <x:v>12</x:v>
      </x:c>
      <x:c r="K26" s="22" t="n">
        <x:v>0</x:v>
      </x:c>
      <x:c r="L26" s="22" t="n">
        <x:v>0</x:v>
      </x:c>
      <x:c r="M26" s="37" t="n">
        <x:f>K26*L26</x:f>
        <x:v>0</x:v>
      </x:c>
      <x:c r="N26" s="22" t="n">
        <x:v>0</x:v>
      </x:c>
      <x:c r="O26" s="37" t="n">
        <x:f>'Family Register'!H8*0.7</x:f>
        <x:v>117.6</x:v>
      </x:c>
      <x:c r="P26" s="37" t="n">
        <x:f>IF(AND(N26&gt;0,N26&lt;=O26),1,0)</x:f>
        <x:v>0</x:v>
      </x:c>
      <x:c r="Q26" s="22" t="n">
        <x:v>0</x:v>
      </x:c>
      <x:c r="R26" s="37" t="n">
        <x:f>IF(AND(P26=1,Q26=1),MIN(F26,M26,R25),0)</x:f>
        <x:v>0</x:v>
      </x:c>
      <x:c r="S26" s="23" t="str">
        <x:f>IF(R26&gt;=F26,"ADMITTED","NOT ADMITTED")</x:f>
        <x:v>NOT ADMITTED</x:v>
      </x:c>
    </x:row>
    <x:row r="27">
      <x:c r="B27" s="21" t="str">
        <x:v>SL-0021</x:v>
      </x:c>
      <x:c r="C27" s="21" t="str">
        <x:v>F02</x:v>
      </x:c>
      <x:c r="D27" s="21" t="n">
        <x:v>9</x:v>
      </x:c>
      <x:c r="E27" s="21" t="str">
        <x:v>Strategic transport</x:v>
      </x:c>
      <x:c r="F27" s="37" t="n">
        <x:f>'Family Register'!L8</x:f>
        <x:v>12</x:v>
      </x:c>
      <x:c r="G27" s="37" t="n">
        <x:f>INDEX(Scenarios!$H$7:$H$12,Assumptions!C7)</x:f>
        <x:v>0.65</x:v>
      </x:c>
      <x:c r="H27" s="37" t="n">
        <x:f>'Family Register'!G8*'Family Register'!I8*G27</x:f>
        <x:v>12.480000000000002</x:v>
      </x:c>
      <x:c r="I27" s="37" t="n">
        <x:f>J26</x:f>
        <x:v>12</x:v>
      </x:c>
      <x:c r="J27" s="37" t="n">
        <x:f>MIN(F27,H27,I27)</x:f>
        <x:v>12</x:v>
      </x:c>
      <x:c r="K27" s="22" t="n">
        <x:v>0</x:v>
      </x:c>
      <x:c r="L27" s="22" t="n">
        <x:v>0</x:v>
      </x:c>
      <x:c r="M27" s="37" t="n">
        <x:f>K27*L27</x:f>
        <x:v>0</x:v>
      </x:c>
      <x:c r="N27" s="22" t="n">
        <x:v>0</x:v>
      </x:c>
      <x:c r="O27" s="37" t="n">
        <x:f>'Family Register'!H8*0.9</x:f>
        <x:v>151.20000000000002</x:v>
      </x:c>
      <x:c r="P27" s="37" t="n">
        <x:f>IF(AND(N27&gt;0,N27&lt;=O27),1,0)</x:f>
        <x:v>0</x:v>
      </x:c>
      <x:c r="Q27" s="22" t="n">
        <x:v>0</x:v>
      </x:c>
      <x:c r="R27" s="37" t="n">
        <x:f>IF(AND(P27=1,Q27=1),MIN(F27,M27,R26),0)</x:f>
        <x:v>0</x:v>
      </x:c>
      <x:c r="S27" s="23" t="str">
        <x:f>IF(R27&gt;=F27,"ADMITTED","NOT ADMITTED")</x:f>
        <x:v>NOT ADMITTED</x:v>
      </x:c>
    </x:row>
    <x:row r="28">
      <x:c r="B28" s="21" t="str">
        <x:v>SL-0022</x:v>
      </x:c>
      <x:c r="C28" s="21" t="str">
        <x:v>F02</x:v>
      </x:c>
      <x:c r="D28" s="21" t="n">
        <x:v>10</x:v>
      </x:c>
      <x:c r="E28" s="21" t="str">
        <x:v>Receiving-node admission</x:v>
      </x:c>
      <x:c r="F28" s="37" t="n">
        <x:f>'Family Register'!L8</x:f>
        <x:v>12</x:v>
      </x:c>
      <x:c r="G28" s="37" t="n">
        <x:f>INDEX(Scenarios!$I$7:$I$12,Assumptions!C7)</x:f>
        <x:v>0.75</x:v>
      </x:c>
      <x:c r="H28" s="37" t="n">
        <x:f>'Family Register'!G8*'Family Register'!I8*G28</x:f>
        <x:v>14.400000000000002</x:v>
      </x:c>
      <x:c r="I28" s="37" t="n">
        <x:f>J27</x:f>
        <x:v>12</x:v>
      </x:c>
      <x:c r="J28" s="37" t="n">
        <x:f>MIN(F28,H28,I28)</x:f>
        <x:v>12</x:v>
      </x:c>
      <x:c r="K28" s="22" t="n">
        <x:v>0</x:v>
      </x:c>
      <x:c r="L28" s="22" t="n">
        <x:v>0</x:v>
      </x:c>
      <x:c r="M28" s="37" t="n">
        <x:f>K28*L28</x:f>
        <x:v>0</x:v>
      </x:c>
      <x:c r="N28" s="22" t="n">
        <x:v>0</x:v>
      </x:c>
      <x:c r="O28" s="37" t="n">
        <x:f>'Family Register'!H8*0.94</x:f>
        <x:v>157.92</x:v>
      </x:c>
      <x:c r="P28" s="37" t="n">
        <x:f>IF(AND(N28&gt;0,N28&lt;=O28),1,0)</x:f>
        <x:v>0</x:v>
      </x:c>
      <x:c r="Q28" s="22" t="n">
        <x:v>0</x:v>
      </x:c>
      <x:c r="R28" s="37" t="n">
        <x:f>IF(AND(P28=1,Q28=1),MIN(F28,M28,R27),0)</x:f>
        <x:v>0</x:v>
      </x:c>
      <x:c r="S28" s="23" t="str">
        <x:f>IF(R28&gt;=F28,"ADMITTED","NOT ADMITTED")</x:f>
        <x:v>NOT ADMITTED</x:v>
      </x:c>
    </x:row>
    <x:row r="29">
      <x:c r="B29" s="21" t="str">
        <x:v>SL-0023</x:v>
      </x:c>
      <x:c r="C29" s="21" t="str">
        <x:v>F02</x:v>
      </x:c>
      <x:c r="D29" s="21" t="n">
        <x:v>11</x:v>
      </x:c>
      <x:c r="E29" s="21" t="str">
        <x:v>Commissioned public service</x:v>
      </x:c>
      <x:c r="F29" s="37" t="n">
        <x:f>'Family Register'!L8</x:f>
        <x:v>12</x:v>
      </x:c>
      <x:c r="G29" s="37" t="n">
        <x:f>MIN(INDEX(Scenarios!$G$7:$G$12,Assumptions!C7),INDEX(Scenarios!$I$7:$I$12,Assumptions!C7))</x:f>
        <x:v>0.7</x:v>
      </x:c>
      <x:c r="H29" s="37" t="n">
        <x:f>'Family Register'!G8*'Family Register'!I8*G29</x:f>
        <x:v>13.440000000000001</x:v>
      </x:c>
      <x:c r="I29" s="37" t="n">
        <x:f>J28</x:f>
        <x:v>12</x:v>
      </x:c>
      <x:c r="J29" s="37" t="n">
        <x:f>MIN(F29,H29,I29)</x:f>
        <x:v>12</x:v>
      </x:c>
      <x:c r="K29" s="22" t="n">
        <x:v>0</x:v>
      </x:c>
      <x:c r="L29" s="22" t="n">
        <x:v>0</x:v>
      </x:c>
      <x:c r="M29" s="37" t="n">
        <x:f>K29*L29</x:f>
        <x:v>0</x:v>
      </x:c>
      <x:c r="N29" s="22" t="n">
        <x:v>0</x:v>
      </x:c>
      <x:c r="O29" s="37" t="n">
        <x:f>'Family Register'!H8*1</x:f>
        <x:v>168</x:v>
      </x:c>
      <x:c r="P29" s="37" t="n">
        <x:f>IF(AND(N29&gt;0,N29&lt;=O29),1,0)</x:f>
        <x:v>0</x:v>
      </x:c>
      <x:c r="Q29" s="22" t="n">
        <x:v>0</x:v>
      </x:c>
      <x:c r="R29" s="37" t="n">
        <x:f>IF(AND(P29=1,Q29=1),MIN(F29,M29,R28),0)</x:f>
        <x:v>0</x:v>
      </x:c>
      <x:c r="S29" s="23" t="str">
        <x:f>IF(R29&gt;=F29,"ADMITTED","NOT ADMITTED")</x:f>
        <x:v>NOT ADMITTED</x:v>
      </x:c>
    </x:row>
    <x:row r="30">
      <x:c r="B30" s="21" t="str">
        <x:v>SL-0024</x:v>
      </x:c>
      <x:c r="C30" s="21" t="str">
        <x:v>F02</x:v>
      </x:c>
      <x:c r="D30" s="21" t="n">
        <x:v>12</x:v>
      </x:c>
      <x:c r="E30" s="21" t="str">
        <x:v>Regeneration and replacement</x:v>
      </x:c>
      <x:c r="F30" s="37" t="n">
        <x:f>'Family Register'!L8</x:f>
        <x:v>12</x:v>
      </x:c>
      <x:c r="G30" s="37" t="n">
        <x:f>MIN(INDEX(Scenarios!$E$7:$E$12,Assumptions!C7),INDEX(Scenarios!$F$7:$F$12,Assumptions!C7))</x:f>
        <x:v>0.7</x:v>
      </x:c>
      <x:c r="H30" s="37" t="n">
        <x:f>'Family Register'!G8*'Family Register'!I8*G30</x:f>
        <x:v>13.440000000000001</x:v>
      </x:c>
      <x:c r="I30" s="37" t="n">
        <x:f>J29</x:f>
        <x:v>12</x:v>
      </x:c>
      <x:c r="J30" s="37" t="n">
        <x:f>MIN(F30,H30,I30)</x:f>
        <x:v>12</x:v>
      </x:c>
      <x:c r="K30" s="22" t="n">
        <x:v>0</x:v>
      </x:c>
      <x:c r="L30" s="22" t="n">
        <x:v>0</x:v>
      </x:c>
      <x:c r="M30" s="37" t="n">
        <x:f>K30*L30</x:f>
        <x:v>0</x:v>
      </x:c>
      <x:c r="N30" s="22" t="n">
        <x:v>0</x:v>
      </x:c>
      <x:c r="O30" s="37" t="n">
        <x:f>'Family Register'!H8+168</x:f>
        <x:v>336</x:v>
      </x:c>
      <x:c r="P30" s="37" t="n">
        <x:f>IF(AND(N30&gt;0,N30&lt;=O30),1,0)</x:f>
        <x:v>0</x:v>
      </x:c>
      <x:c r="Q30" s="22" t="n">
        <x:v>0</x:v>
      </x:c>
      <x:c r="R30" s="37" t="n">
        <x:f>IF(AND(P30=1,Q30=1),MIN(F30,M30,R29),0)</x:f>
        <x:v>0</x:v>
      </x:c>
      <x:c r="S30" s="23" t="str">
        <x:f>IF(R30&gt;=F30,"ADMITTED","NOT ADMITTED")</x:f>
        <x:v>NOT ADMITTED</x:v>
      </x:c>
    </x:row>
    <x:row r="31">
      <x:c r="B31" s="21" t="str">
        <x:v>SL-0025</x:v>
      </x:c>
      <x:c r="C31" s="21" t="str">
        <x:v>F03</x:v>
      </x:c>
      <x:c r="D31" s="21" t="n">
        <x:v>1</x:v>
      </x:c>
      <x:c r="E31" s="21" t="str">
        <x:v>Alert authentication</x:v>
      </x:c>
      <x:c r="F31" s="37" t="n">
        <x:f>'Family Register'!L9</x:f>
        <x:v>12</x:v>
      </x:c>
      <x:c r="G31" s="37" t="n">
        <x:f>INDEX(Scenarios!$K$7:$K$12,Assumptions!C7)</x:f>
        <x:v>0.75</x:v>
      </x:c>
      <x:c r="H31" s="37" t="n">
        <x:f>'Family Register'!G9*'Family Register'!I9*G31</x:f>
        <x:v>14.400000000000002</x:v>
      </x:c>
      <x:c r="I31" s="37" t="n">
        <x:f>F31</x:f>
        <x:v>12</x:v>
      </x:c>
      <x:c r="J31" s="37" t="n">
        <x:f>MIN(F31,H31,I31)</x:f>
        <x:v>12</x:v>
      </x:c>
      <x:c r="K31" s="22" t="n">
        <x:v>0</x:v>
      </x:c>
      <x:c r="L31" s="22" t="n">
        <x:v>0</x:v>
      </x:c>
      <x:c r="M31" s="37" t="n">
        <x:f>K31*L31</x:f>
        <x:v>0</x:v>
      </x:c>
      <x:c r="N31" s="22" t="n">
        <x:v>0</x:v>
      </x:c>
      <x:c r="O31" s="37" t="n">
        <x:f>2</x:f>
        <x:v>2</x:v>
      </x:c>
      <x:c r="P31" s="37" t="n">
        <x:f>IF(AND(N31&gt;0,N31&lt;=O31),1,0)</x:f>
        <x:v>0</x:v>
      </x:c>
      <x:c r="Q31" s="22" t="n">
        <x:v>0</x:v>
      </x:c>
      <x:c r="R31" s="37" t="n">
        <x:f>IF(AND(P31=1,Q31=1),MIN(F31,M31),0)</x:f>
        <x:v>0</x:v>
      </x:c>
      <x:c r="S31" s="23" t="str">
        <x:f>IF(R31&gt;=F31,"ADMITTED","NOT ADMITTED")</x:f>
        <x:v>NOT ADMITTED</x:v>
      </x:c>
    </x:row>
    <x:row r="32">
      <x:c r="B32" s="21" t="str">
        <x:v>SL-0026</x:v>
      </x:c>
      <x:c r="C32" s="21" t="str">
        <x:v>F03</x:v>
      </x:c>
      <x:c r="D32" s="21" t="n">
        <x:v>2</x:v>
      </x:c>
      <x:c r="E32" s="21" t="str">
        <x:v>Workforce muster</x:v>
      </x:c>
      <x:c r="F32" s="37" t="n">
        <x:f>'Family Register'!L9</x:f>
        <x:v>12</x:v>
      </x:c>
      <x:c r="G32" s="37" t="n">
        <x:f>INDEX(Scenarios!$J$7:$J$12,Assumptions!C7)</x:f>
        <x:v>0.8</x:v>
      </x:c>
      <x:c r="H32" s="37" t="n">
        <x:f>'Family Register'!G9*'Family Register'!I9*G32</x:f>
        <x:v>15.360000000000003</x:v>
      </x:c>
      <x:c r="I32" s="37" t="n">
        <x:f>J31</x:f>
        <x:v>12</x:v>
      </x:c>
      <x:c r="J32" s="37" t="n">
        <x:f>MIN(F32,H32,I32)</x:f>
        <x:v>12</x:v>
      </x:c>
      <x:c r="K32" s="22" t="n">
        <x:v>0</x:v>
      </x:c>
      <x:c r="L32" s="22" t="n">
        <x:v>0</x:v>
      </x:c>
      <x:c r="M32" s="37" t="n">
        <x:f>K32*L32</x:f>
        <x:v>0</x:v>
      </x:c>
      <x:c r="N32" s="22" t="n">
        <x:v>0</x:v>
      </x:c>
      <x:c r="O32" s="37" t="n">
        <x:f>12</x:f>
        <x:v>12</x:v>
      </x:c>
      <x:c r="P32" s="37" t="n">
        <x:f>IF(AND(N32&gt;0,N32&lt;=O32),1,0)</x:f>
        <x:v>0</x:v>
      </x:c>
      <x:c r="Q32" s="22" t="n">
        <x:v>0</x:v>
      </x:c>
      <x:c r="R32" s="37" t="n">
        <x:f>IF(AND(P32=1,Q32=1),MIN(F32,M32,R31),0)</x:f>
        <x:v>0</x:v>
      </x:c>
      <x:c r="S32" s="23" t="str">
        <x:f>IF(R32&gt;=F32,"ADMITTED","NOT ADMITTED")</x:f>
        <x:v>NOT ADMITTED</x:v>
      </x:c>
    </x:row>
    <x:row r="33">
      <x:c r="B33" s="21" t="str">
        <x:v>SL-0027</x:v>
      </x:c>
      <x:c r="C33" s="21" t="str">
        <x:v>F03</x:v>
      </x:c>
      <x:c r="D33" s="21" t="n">
        <x:v>3</x:v>
      </x:c>
      <x:c r="E33" s="21" t="str">
        <x:v>Facility utility and safe start</x:v>
      </x:c>
      <x:c r="F33" s="37" t="n">
        <x:f>'Family Register'!L9</x:f>
        <x:v>12</x:v>
      </x:c>
      <x:c r="G33" s="37" t="n">
        <x:f>INDEX(Scenarios!$G$7:$G$12,Assumptions!C7)</x:f>
        <x:v>0.7</x:v>
      </x:c>
      <x:c r="H33" s="37" t="n">
        <x:f>'Family Register'!G9*'Family Register'!I9*G33</x:f>
        <x:v>13.440000000000001</x:v>
      </x:c>
      <x:c r="I33" s="37" t="n">
        <x:f>J32</x:f>
        <x:v>12</x:v>
      </x:c>
      <x:c r="J33" s="37" t="n">
        <x:f>MIN(F33,H33,I33)</x:f>
        <x:v>12</x:v>
      </x:c>
      <x:c r="K33" s="22" t="n">
        <x:v>0</x:v>
      </x:c>
      <x:c r="L33" s="22" t="n">
        <x:v>0</x:v>
      </x:c>
      <x:c r="M33" s="37" t="n">
        <x:f>K33*L33</x:f>
        <x:v>0</x:v>
      </x:c>
      <x:c r="N33" s="22" t="n">
        <x:v>0</x:v>
      </x:c>
      <x:c r="O33" s="37" t="n">
        <x:f>24</x:f>
        <x:v>24</x:v>
      </x:c>
      <x:c r="P33" s="37" t="n">
        <x:f>IF(AND(N33&gt;0,N33&lt;=O33),1,0)</x:f>
        <x:v>0</x:v>
      </x:c>
      <x:c r="Q33" s="22" t="n">
        <x:v>0</x:v>
      </x:c>
      <x:c r="R33" s="37" t="n">
        <x:f>IF(AND(P33=1,Q33=1),MIN(F33,M33,R32),0)</x:f>
        <x:v>0</x:v>
      </x:c>
      <x:c r="S33" s="23" t="str">
        <x:f>IF(R33&gt;=F33,"ADMITTED","NOT ADMITTED")</x:f>
        <x:v>NOT ADMITTED</x:v>
      </x:c>
    </x:row>
    <x:row r="34">
      <x:c r="B34" s="21" t="str">
        <x:v>SL-0028</x:v>
      </x:c>
      <x:c r="C34" s="21" t="str">
        <x:v>F03</x:v>
      </x:c>
      <x:c r="D34" s="21" t="n">
        <x:v>4</x:v>
      </x:c>
      <x:c r="E34" s="21" t="str">
        <x:v>Material tooling and instrument release</x:v>
      </x:c>
      <x:c r="F34" s="37" t="n">
        <x:f>'Family Register'!L9</x:f>
        <x:v>12</x:v>
      </x:c>
      <x:c r="G34" s="37" t="n">
        <x:f>INDEX(Scenarios!$E$7:$E$12,Assumptions!C7)</x:f>
        <x:v>0.75</x:v>
      </x:c>
      <x:c r="H34" s="37" t="n">
        <x:f>'Family Register'!G9*'Family Register'!I9*G34</x:f>
        <x:v>14.400000000000002</x:v>
      </x:c>
      <x:c r="I34" s="37" t="n">
        <x:f>J33</x:f>
        <x:v>12</x:v>
      </x:c>
      <x:c r="J34" s="37" t="n">
        <x:f>MIN(F34,H34,I34)</x:f>
        <x:v>12</x:v>
      </x:c>
      <x:c r="K34" s="22" t="n">
        <x:v>0</x:v>
      </x:c>
      <x:c r="L34" s="22" t="n">
        <x:v>0</x:v>
      </x:c>
      <x:c r="M34" s="37" t="n">
        <x:f>K34*L34</x:f>
        <x:v>0</x:v>
      </x:c>
      <x:c r="N34" s="22" t="n">
        <x:v>0</x:v>
      </x:c>
      <x:c r="O34" s="37" t="n">
        <x:f>36</x:f>
        <x:v>36</x:v>
      </x:c>
      <x:c r="P34" s="37" t="n">
        <x:f>IF(AND(N34&gt;0,N34&lt;=O34),1,0)</x:f>
        <x:v>0</x:v>
      </x:c>
      <x:c r="Q34" s="22" t="n">
        <x:v>0</x:v>
      </x:c>
      <x:c r="R34" s="37" t="n">
        <x:f>IF(AND(P34=1,Q34=1),MIN(F34,M34,R33),0)</x:f>
        <x:v>0</x:v>
      </x:c>
      <x:c r="S34" s="23" t="str">
        <x:f>IF(R34&gt;=F34,"ADMITTED","NOT ADMITTED")</x:f>
        <x:v>NOT ADMITTED</x:v>
      </x:c>
    </x:row>
    <x:row r="35">
      <x:c r="B35" s="21" t="str">
        <x:v>SL-0029</x:v>
      </x:c>
      <x:c r="C35" s="21" t="str">
        <x:v>F03</x:v>
      </x:c>
      <x:c r="D35" s="21" t="n">
        <x:v>5</x:v>
      </x:c>
      <x:c r="E35" s="21" t="str">
        <x:v>Supplier and process activation</x:v>
      </x:c>
      <x:c r="F35" s="37" t="n">
        <x:f>'Family Register'!L9</x:f>
        <x:v>12</x:v>
      </x:c>
      <x:c r="G35" s="37" t="n">
        <x:f>MIN(INDEX(Scenarios!$E$7:$E$12,Assumptions!C7),INDEX(Scenarios!$F$7:$F$12,Assumptions!C7))</x:f>
        <x:v>0.7</x:v>
      </x:c>
      <x:c r="H35" s="37" t="n">
        <x:f>'Family Register'!G9*'Family Register'!I9*G35</x:f>
        <x:v>13.440000000000001</x:v>
      </x:c>
      <x:c r="I35" s="37" t="n">
        <x:f>J34</x:f>
        <x:v>12</x:v>
      </x:c>
      <x:c r="J35" s="37" t="n">
        <x:f>MIN(F35,H35,I35)</x:f>
        <x:v>12</x:v>
      </x:c>
      <x:c r="K35" s="22" t="n">
        <x:v>0</x:v>
      </x:c>
      <x:c r="L35" s="22" t="n">
        <x:v>0</x:v>
      </x:c>
      <x:c r="M35" s="37" t="n">
        <x:f>K35*L35</x:f>
        <x:v>0</x:v>
      </x:c>
      <x:c r="N35" s="22" t="n">
        <x:v>0</x:v>
      </x:c>
      <x:c r="O35" s="37" t="n">
        <x:f>48</x:f>
        <x:v>48</x:v>
      </x:c>
      <x:c r="P35" s="37" t="n">
        <x:f>IF(AND(N35&gt;0,N35&lt;=O35),1,0)</x:f>
        <x:v>0</x:v>
      </x:c>
      <x:c r="Q35" s="22" t="n">
        <x:v>0</x:v>
      </x:c>
      <x:c r="R35" s="37" t="n">
        <x:f>IF(AND(P35=1,Q35=1),MIN(F35,M35,R34),0)</x:f>
        <x:v>0</x:v>
      </x:c>
      <x:c r="S35" s="23" t="str">
        <x:f>IF(R35&gt;=F35,"ADMITTED","NOT ADMITTED")</x:f>
        <x:v>NOT ADMITTED</x:v>
      </x:c>
    </x:row>
    <x:row r="36">
      <x:c r="B36" s="21" t="str">
        <x:v>SL-0030</x:v>
      </x:c>
      <x:c r="C36" s="21" t="str">
        <x:v>F03</x:v>
      </x:c>
      <x:c r="D36" s="21" t="n">
        <x:v>6</x:v>
      </x:c>
      <x:c r="E36" s="21" t="str">
        <x:v>Conforming production</x:v>
      </x:c>
      <x:c r="F36" s="37" t="n">
        <x:f>'Family Register'!L9</x:f>
        <x:v>12</x:v>
      </x:c>
      <x:c r="G36" s="37" t="n">
        <x:f>INDEX(Scenarios!$F$7:$F$12,Assumptions!C7)</x:f>
        <x:v>0.7</x:v>
      </x:c>
      <x:c r="H36" s="37" t="n">
        <x:f>'Family Register'!G9*'Family Register'!I9*G36</x:f>
        <x:v>13.440000000000001</x:v>
      </x:c>
      <x:c r="I36" s="37" t="n">
        <x:f>J35</x:f>
        <x:v>12</x:v>
      </x:c>
      <x:c r="J36" s="37" t="n">
        <x:f>MIN(F36,H36,I36)</x:f>
        <x:v>12</x:v>
      </x:c>
      <x:c r="K36" s="22" t="n">
        <x:v>0</x:v>
      </x:c>
      <x:c r="L36" s="22" t="n">
        <x:v>0</x:v>
      </x:c>
      <x:c r="M36" s="37" t="n">
        <x:f>K36*L36</x:f>
        <x:v>0</x:v>
      </x:c>
      <x:c r="N36" s="22" t="n">
        <x:v>0</x:v>
      </x:c>
      <x:c r="O36" s="37" t="n">
        <x:f>'Family Register'!H9*0.55</x:f>
        <x:v>92.4</x:v>
      </x:c>
      <x:c r="P36" s="37" t="n">
        <x:f>IF(AND(N36&gt;0,N36&lt;=O36),1,0)</x:f>
        <x:v>0</x:v>
      </x:c>
      <x:c r="Q36" s="22" t="n">
        <x:v>0</x:v>
      </x:c>
      <x:c r="R36" s="37" t="n">
        <x:f>IF(AND(P36=1,Q36=1),MIN(F36,M36,R35),0)</x:f>
        <x:v>0</x:v>
      </x:c>
      <x:c r="S36" s="23" t="str">
        <x:f>IF(R36&gt;=F36,"ADMITTED","NOT ADMITTED")</x:f>
        <x:v>NOT ADMITTED</x:v>
      </x:c>
    </x:row>
    <x:row r="37">
      <x:c r="B37" s="21" t="str">
        <x:v>SL-0031</x:v>
      </x:c>
      <x:c r="C37" s="21" t="str">
        <x:v>F03</x:v>
      </x:c>
      <x:c r="D37" s="21" t="n">
        <x:v>7</x:v>
      </x:c>
      <x:c r="E37" s="21" t="str">
        <x:v>Independent acceptance</x:v>
      </x:c>
      <x:c r="F37" s="37" t="n">
        <x:f>'Family Register'!L9</x:f>
        <x:v>12</x:v>
      </x:c>
      <x:c r="G37" s="37" t="n">
        <x:f>INDEX(Scenarios!$L$7:$L$12,Assumptions!C7)</x:f>
        <x:v>0.8</x:v>
      </x:c>
      <x:c r="H37" s="37" t="n">
        <x:f>'Family Register'!G9*'Family Register'!I9*G37</x:f>
        <x:v>15.360000000000003</x:v>
      </x:c>
      <x:c r="I37" s="37" t="n">
        <x:f>J36</x:f>
        <x:v>12</x:v>
      </x:c>
      <x:c r="J37" s="37" t="n">
        <x:f>MIN(F37,H37,I37)</x:f>
        <x:v>12</x:v>
      </x:c>
      <x:c r="K37" s="22" t="n">
        <x:v>0</x:v>
      </x:c>
      <x:c r="L37" s="22" t="n">
        <x:v>0</x:v>
      </x:c>
      <x:c r="M37" s="37" t="n">
        <x:f>K37*L37</x:f>
        <x:v>0</x:v>
      </x:c>
      <x:c r="N37" s="22" t="n">
        <x:v>0</x:v>
      </x:c>
      <x:c r="O37" s="37" t="n">
        <x:f>'Family Register'!H9*0.65</x:f>
        <x:v>109.2</x:v>
      </x:c>
      <x:c r="P37" s="37" t="n">
        <x:f>IF(AND(N37&gt;0,N37&lt;=O37),1,0)</x:f>
        <x:v>0</x:v>
      </x:c>
      <x:c r="Q37" s="22" t="n">
        <x:v>0</x:v>
      </x:c>
      <x:c r="R37" s="37" t="n">
        <x:f>IF(AND(P37=1,Q37=1),MIN(F37,M37,R36),0)</x:f>
        <x:v>0</x:v>
      </x:c>
      <x:c r="S37" s="23" t="str">
        <x:f>IF(R37&gt;=F37,"ADMITTED","NOT ADMITTED")</x:f>
        <x:v>NOT ADMITTED</x:v>
      </x:c>
    </x:row>
    <x:row r="38">
      <x:c r="B38" s="21" t="str">
        <x:v>SL-0032</x:v>
      </x:c>
      <x:c r="C38" s="21" t="str">
        <x:v>F03</x:v>
      </x:c>
      <x:c r="D38" s="21" t="n">
        <x:v>8</x:v>
      </x:c>
      <x:c r="E38" s="21" t="str">
        <x:v>Loadout and custody transfer</x:v>
      </x:c>
      <x:c r="F38" s="37" t="n">
        <x:f>'Family Register'!L9</x:f>
        <x:v>12</x:v>
      </x:c>
      <x:c r="G38" s="37" t="n">
        <x:f>INDEX(Scenarios!$H$7:$H$12,Assumptions!C7)</x:f>
        <x:v>0.65</x:v>
      </x:c>
      <x:c r="H38" s="37" t="n">
        <x:f>'Family Register'!G9*'Family Register'!I9*G38</x:f>
        <x:v>12.480000000000002</x:v>
      </x:c>
      <x:c r="I38" s="37" t="n">
        <x:f>J37</x:f>
        <x:v>12</x:v>
      </x:c>
      <x:c r="J38" s="37" t="n">
        <x:f>MIN(F38,H38,I38)</x:f>
        <x:v>12</x:v>
      </x:c>
      <x:c r="K38" s="22" t="n">
        <x:v>0</x:v>
      </x:c>
      <x:c r="L38" s="22" t="n">
        <x:v>0</x:v>
      </x:c>
      <x:c r="M38" s="37" t="n">
        <x:f>K38*L38</x:f>
        <x:v>0</x:v>
      </x:c>
      <x:c r="N38" s="22" t="n">
        <x:v>0</x:v>
      </x:c>
      <x:c r="O38" s="37" t="n">
        <x:f>'Family Register'!H9*0.7</x:f>
        <x:v>117.6</x:v>
      </x:c>
      <x:c r="P38" s="37" t="n">
        <x:f>IF(AND(N38&gt;0,N38&lt;=O38),1,0)</x:f>
        <x:v>0</x:v>
      </x:c>
      <x:c r="Q38" s="22" t="n">
        <x:v>0</x:v>
      </x:c>
      <x:c r="R38" s="37" t="n">
        <x:f>IF(AND(P38=1,Q38=1),MIN(F38,M38,R37),0)</x:f>
        <x:v>0</x:v>
      </x:c>
      <x:c r="S38" s="23" t="str">
        <x:f>IF(R38&gt;=F38,"ADMITTED","NOT ADMITTED")</x:f>
        <x:v>NOT ADMITTED</x:v>
      </x:c>
    </x:row>
    <x:row r="39">
      <x:c r="B39" s="21" t="str">
        <x:v>SL-0033</x:v>
      </x:c>
      <x:c r="C39" s="21" t="str">
        <x:v>F03</x:v>
      </x:c>
      <x:c r="D39" s="21" t="n">
        <x:v>9</x:v>
      </x:c>
      <x:c r="E39" s="21" t="str">
        <x:v>Strategic transport</x:v>
      </x:c>
      <x:c r="F39" s="37" t="n">
        <x:f>'Family Register'!L9</x:f>
        <x:v>12</x:v>
      </x:c>
      <x:c r="G39" s="37" t="n">
        <x:f>INDEX(Scenarios!$H$7:$H$12,Assumptions!C7)</x:f>
        <x:v>0.65</x:v>
      </x:c>
      <x:c r="H39" s="37" t="n">
        <x:f>'Family Register'!G9*'Family Register'!I9*G39</x:f>
        <x:v>12.480000000000002</x:v>
      </x:c>
      <x:c r="I39" s="37" t="n">
        <x:f>J38</x:f>
        <x:v>12</x:v>
      </x:c>
      <x:c r="J39" s="37" t="n">
        <x:f>MIN(F39,H39,I39)</x:f>
        <x:v>12</x:v>
      </x:c>
      <x:c r="K39" s="22" t="n">
        <x:v>0</x:v>
      </x:c>
      <x:c r="L39" s="22" t="n">
        <x:v>0</x:v>
      </x:c>
      <x:c r="M39" s="37" t="n">
        <x:f>K39*L39</x:f>
        <x:v>0</x:v>
      </x:c>
      <x:c r="N39" s="22" t="n">
        <x:v>0</x:v>
      </x:c>
      <x:c r="O39" s="37" t="n">
        <x:f>'Family Register'!H9*0.9</x:f>
        <x:v>151.20000000000002</x:v>
      </x:c>
      <x:c r="P39" s="37" t="n">
        <x:f>IF(AND(N39&gt;0,N39&lt;=O39),1,0)</x:f>
        <x:v>0</x:v>
      </x:c>
      <x:c r="Q39" s="22" t="n">
        <x:v>0</x:v>
      </x:c>
      <x:c r="R39" s="37" t="n">
        <x:f>IF(AND(P39=1,Q39=1),MIN(F39,M39,R38),0)</x:f>
        <x:v>0</x:v>
      </x:c>
      <x:c r="S39" s="23" t="str">
        <x:f>IF(R39&gt;=F39,"ADMITTED","NOT ADMITTED")</x:f>
        <x:v>NOT ADMITTED</x:v>
      </x:c>
    </x:row>
    <x:row r="40">
      <x:c r="B40" s="21" t="str">
        <x:v>SL-0034</x:v>
      </x:c>
      <x:c r="C40" s="21" t="str">
        <x:v>F03</x:v>
      </x:c>
      <x:c r="D40" s="21" t="n">
        <x:v>10</x:v>
      </x:c>
      <x:c r="E40" s="21" t="str">
        <x:v>Receiving-node admission</x:v>
      </x:c>
      <x:c r="F40" s="37" t="n">
        <x:f>'Family Register'!L9</x:f>
        <x:v>12</x:v>
      </x:c>
      <x:c r="G40" s="37" t="n">
        <x:f>INDEX(Scenarios!$I$7:$I$12,Assumptions!C7)</x:f>
        <x:v>0.75</x:v>
      </x:c>
      <x:c r="H40" s="37" t="n">
        <x:f>'Family Register'!G9*'Family Register'!I9*G40</x:f>
        <x:v>14.400000000000002</x:v>
      </x:c>
      <x:c r="I40" s="37" t="n">
        <x:f>J39</x:f>
        <x:v>12</x:v>
      </x:c>
      <x:c r="J40" s="37" t="n">
        <x:f>MIN(F40,H40,I40)</x:f>
        <x:v>12</x:v>
      </x:c>
      <x:c r="K40" s="22" t="n">
        <x:v>0</x:v>
      </x:c>
      <x:c r="L40" s="22" t="n">
        <x:v>0</x:v>
      </x:c>
      <x:c r="M40" s="37" t="n">
        <x:f>K40*L40</x:f>
        <x:v>0</x:v>
      </x:c>
      <x:c r="N40" s="22" t="n">
        <x:v>0</x:v>
      </x:c>
      <x:c r="O40" s="37" t="n">
        <x:f>'Family Register'!H9*0.94</x:f>
        <x:v>157.92</x:v>
      </x:c>
      <x:c r="P40" s="37" t="n">
        <x:f>IF(AND(N40&gt;0,N40&lt;=O40),1,0)</x:f>
        <x:v>0</x:v>
      </x:c>
      <x:c r="Q40" s="22" t="n">
        <x:v>0</x:v>
      </x:c>
      <x:c r="R40" s="37" t="n">
        <x:f>IF(AND(P40=1,Q40=1),MIN(F40,M40,R39),0)</x:f>
        <x:v>0</x:v>
      </x:c>
      <x:c r="S40" s="23" t="str">
        <x:f>IF(R40&gt;=F40,"ADMITTED","NOT ADMITTED")</x:f>
        <x:v>NOT ADMITTED</x:v>
      </x:c>
    </x:row>
    <x:row r="41">
      <x:c r="B41" s="21" t="str">
        <x:v>SL-0035</x:v>
      </x:c>
      <x:c r="C41" s="21" t="str">
        <x:v>F03</x:v>
      </x:c>
      <x:c r="D41" s="21" t="n">
        <x:v>11</x:v>
      </x:c>
      <x:c r="E41" s="21" t="str">
        <x:v>Commissioned public service</x:v>
      </x:c>
      <x:c r="F41" s="37" t="n">
        <x:f>'Family Register'!L9</x:f>
        <x:v>12</x:v>
      </x:c>
      <x:c r="G41" s="37" t="n">
        <x:f>MIN(INDEX(Scenarios!$G$7:$G$12,Assumptions!C7),INDEX(Scenarios!$I$7:$I$12,Assumptions!C7))</x:f>
        <x:v>0.7</x:v>
      </x:c>
      <x:c r="H41" s="37" t="n">
        <x:f>'Family Register'!G9*'Family Register'!I9*G41</x:f>
        <x:v>13.440000000000001</x:v>
      </x:c>
      <x:c r="I41" s="37" t="n">
        <x:f>J40</x:f>
        <x:v>12</x:v>
      </x:c>
      <x:c r="J41" s="37" t="n">
        <x:f>MIN(F41,H41,I41)</x:f>
        <x:v>12</x:v>
      </x:c>
      <x:c r="K41" s="22" t="n">
        <x:v>0</x:v>
      </x:c>
      <x:c r="L41" s="22" t="n">
        <x:v>0</x:v>
      </x:c>
      <x:c r="M41" s="37" t="n">
        <x:f>K41*L41</x:f>
        <x:v>0</x:v>
      </x:c>
      <x:c r="N41" s="22" t="n">
        <x:v>0</x:v>
      </x:c>
      <x:c r="O41" s="37" t="n">
        <x:f>'Family Register'!H9*1</x:f>
        <x:v>168</x:v>
      </x:c>
      <x:c r="P41" s="37" t="n">
        <x:f>IF(AND(N41&gt;0,N41&lt;=O41),1,0)</x:f>
        <x:v>0</x:v>
      </x:c>
      <x:c r="Q41" s="22" t="n">
        <x:v>0</x:v>
      </x:c>
      <x:c r="R41" s="37" t="n">
        <x:f>IF(AND(P41=1,Q41=1),MIN(F41,M41,R40),0)</x:f>
        <x:v>0</x:v>
      </x:c>
      <x:c r="S41" s="23" t="str">
        <x:f>IF(R41&gt;=F41,"ADMITTED","NOT ADMITTED")</x:f>
        <x:v>NOT ADMITTED</x:v>
      </x:c>
    </x:row>
    <x:row r="42">
      <x:c r="B42" s="21" t="str">
        <x:v>SL-0036</x:v>
      </x:c>
      <x:c r="C42" s="21" t="str">
        <x:v>F03</x:v>
      </x:c>
      <x:c r="D42" s="21" t="n">
        <x:v>12</x:v>
      </x:c>
      <x:c r="E42" s="21" t="str">
        <x:v>Regeneration and replacement</x:v>
      </x:c>
      <x:c r="F42" s="37" t="n">
        <x:f>'Family Register'!L9</x:f>
        <x:v>12</x:v>
      </x:c>
      <x:c r="G42" s="37" t="n">
        <x:f>MIN(INDEX(Scenarios!$E$7:$E$12,Assumptions!C7),INDEX(Scenarios!$F$7:$F$12,Assumptions!C7))</x:f>
        <x:v>0.7</x:v>
      </x:c>
      <x:c r="H42" s="37" t="n">
        <x:f>'Family Register'!G9*'Family Register'!I9*G42</x:f>
        <x:v>13.440000000000001</x:v>
      </x:c>
      <x:c r="I42" s="37" t="n">
        <x:f>J41</x:f>
        <x:v>12</x:v>
      </x:c>
      <x:c r="J42" s="37" t="n">
        <x:f>MIN(F42,H42,I42)</x:f>
        <x:v>12</x:v>
      </x:c>
      <x:c r="K42" s="22" t="n">
        <x:v>0</x:v>
      </x:c>
      <x:c r="L42" s="22" t="n">
        <x:v>0</x:v>
      </x:c>
      <x:c r="M42" s="37" t="n">
        <x:f>K42*L42</x:f>
        <x:v>0</x:v>
      </x:c>
      <x:c r="N42" s="22" t="n">
        <x:v>0</x:v>
      </x:c>
      <x:c r="O42" s="37" t="n">
        <x:f>'Family Register'!H9+168</x:f>
        <x:v>336</x:v>
      </x:c>
      <x:c r="P42" s="37" t="n">
        <x:f>IF(AND(N42&gt;0,N42&lt;=O42),1,0)</x:f>
        <x:v>0</x:v>
      </x:c>
      <x:c r="Q42" s="22" t="n">
        <x:v>0</x:v>
      </x:c>
      <x:c r="R42" s="37" t="n">
        <x:f>IF(AND(P42=1,Q42=1),MIN(F42,M42,R41),0)</x:f>
        <x:v>0</x:v>
      </x:c>
      <x:c r="S42" s="23" t="str">
        <x:f>IF(R42&gt;=F42,"ADMITTED","NOT ADMITTED")</x:f>
        <x:v>NOT ADMITTED</x:v>
      </x:c>
    </x:row>
    <x:row r="43">
      <x:c r="B43" s="21" t="str">
        <x:v>SL-0037</x:v>
      </x:c>
      <x:c r="C43" s="21" t="str">
        <x:v>F04</x:v>
      </x:c>
      <x:c r="D43" s="21" t="n">
        <x:v>1</x:v>
      </x:c>
      <x:c r="E43" s="21" t="str">
        <x:v>Alert authentication</x:v>
      </x:c>
      <x:c r="F43" s="37" t="n">
        <x:f>'Family Register'!L10</x:f>
        <x:v>12</x:v>
      </x:c>
      <x:c r="G43" s="37" t="n">
        <x:f>INDEX(Scenarios!$K$7:$K$12,Assumptions!C7)</x:f>
        <x:v>0.75</x:v>
      </x:c>
      <x:c r="H43" s="37" t="n">
        <x:f>'Family Register'!G10*'Family Register'!I10*G43</x:f>
        <x:v>14.400000000000002</x:v>
      </x:c>
      <x:c r="I43" s="37" t="n">
        <x:f>F43</x:f>
        <x:v>12</x:v>
      </x:c>
      <x:c r="J43" s="37" t="n">
        <x:f>MIN(F43,H43,I43)</x:f>
        <x:v>12</x:v>
      </x:c>
      <x:c r="K43" s="22" t="n">
        <x:v>0</x:v>
      </x:c>
      <x:c r="L43" s="22" t="n">
        <x:v>0</x:v>
      </x:c>
      <x:c r="M43" s="37" t="n">
        <x:f>K43*L43</x:f>
        <x:v>0</x:v>
      </x:c>
      <x:c r="N43" s="22" t="n">
        <x:v>0</x:v>
      </x:c>
      <x:c r="O43" s="37" t="n">
        <x:f>2</x:f>
        <x:v>2</x:v>
      </x:c>
      <x:c r="P43" s="37" t="n">
        <x:f>IF(AND(N43&gt;0,N43&lt;=O43),1,0)</x:f>
        <x:v>0</x:v>
      </x:c>
      <x:c r="Q43" s="22" t="n">
        <x:v>0</x:v>
      </x:c>
      <x:c r="R43" s="37" t="n">
        <x:f>IF(AND(P43=1,Q43=1),MIN(F43,M43),0)</x:f>
        <x:v>0</x:v>
      </x:c>
      <x:c r="S43" s="23" t="str">
        <x:f>IF(R43&gt;=F43,"ADMITTED","NOT ADMITTED")</x:f>
        <x:v>NOT ADMITTED</x:v>
      </x:c>
    </x:row>
    <x:row r="44">
      <x:c r="B44" s="21" t="str">
        <x:v>SL-0038</x:v>
      </x:c>
      <x:c r="C44" s="21" t="str">
        <x:v>F04</x:v>
      </x:c>
      <x:c r="D44" s="21" t="n">
        <x:v>2</x:v>
      </x:c>
      <x:c r="E44" s="21" t="str">
        <x:v>Workforce muster</x:v>
      </x:c>
      <x:c r="F44" s="37" t="n">
        <x:f>'Family Register'!L10</x:f>
        <x:v>12</x:v>
      </x:c>
      <x:c r="G44" s="37" t="n">
        <x:f>INDEX(Scenarios!$J$7:$J$12,Assumptions!C7)</x:f>
        <x:v>0.8</x:v>
      </x:c>
      <x:c r="H44" s="37" t="n">
        <x:f>'Family Register'!G10*'Family Register'!I10*G44</x:f>
        <x:v>15.360000000000003</x:v>
      </x:c>
      <x:c r="I44" s="37" t="n">
        <x:f>J43</x:f>
        <x:v>12</x:v>
      </x:c>
      <x:c r="J44" s="37" t="n">
        <x:f>MIN(F44,H44,I44)</x:f>
        <x:v>12</x:v>
      </x:c>
      <x:c r="K44" s="22" t="n">
        <x:v>0</x:v>
      </x:c>
      <x:c r="L44" s="22" t="n">
        <x:v>0</x:v>
      </x:c>
      <x:c r="M44" s="37" t="n">
        <x:f>K44*L44</x:f>
        <x:v>0</x:v>
      </x:c>
      <x:c r="N44" s="22" t="n">
        <x:v>0</x:v>
      </x:c>
      <x:c r="O44" s="37" t="n">
        <x:f>12</x:f>
        <x:v>12</x:v>
      </x:c>
      <x:c r="P44" s="37" t="n">
        <x:f>IF(AND(N44&gt;0,N44&lt;=O44),1,0)</x:f>
        <x:v>0</x:v>
      </x:c>
      <x:c r="Q44" s="22" t="n">
        <x:v>0</x:v>
      </x:c>
      <x:c r="R44" s="37" t="n">
        <x:f>IF(AND(P44=1,Q44=1),MIN(F44,M44,R43),0)</x:f>
        <x:v>0</x:v>
      </x:c>
      <x:c r="S44" s="23" t="str">
        <x:f>IF(R44&gt;=F44,"ADMITTED","NOT ADMITTED")</x:f>
        <x:v>NOT ADMITTED</x:v>
      </x:c>
    </x:row>
    <x:row r="45">
      <x:c r="B45" s="21" t="str">
        <x:v>SL-0039</x:v>
      </x:c>
      <x:c r="C45" s="21" t="str">
        <x:v>F04</x:v>
      </x:c>
      <x:c r="D45" s="21" t="n">
        <x:v>3</x:v>
      </x:c>
      <x:c r="E45" s="21" t="str">
        <x:v>Facility utility and safe start</x:v>
      </x:c>
      <x:c r="F45" s="37" t="n">
        <x:f>'Family Register'!L10</x:f>
        <x:v>12</x:v>
      </x:c>
      <x:c r="G45" s="37" t="n">
        <x:f>INDEX(Scenarios!$G$7:$G$12,Assumptions!C7)</x:f>
        <x:v>0.7</x:v>
      </x:c>
      <x:c r="H45" s="37" t="n">
        <x:f>'Family Register'!G10*'Family Register'!I10*G45</x:f>
        <x:v>13.440000000000001</x:v>
      </x:c>
      <x:c r="I45" s="37" t="n">
        <x:f>J44</x:f>
        <x:v>12</x:v>
      </x:c>
      <x:c r="J45" s="37" t="n">
        <x:f>MIN(F45,H45,I45)</x:f>
        <x:v>12</x:v>
      </x:c>
      <x:c r="K45" s="22" t="n">
        <x:v>0</x:v>
      </x:c>
      <x:c r="L45" s="22" t="n">
        <x:v>0</x:v>
      </x:c>
      <x:c r="M45" s="37" t="n">
        <x:f>K45*L45</x:f>
        <x:v>0</x:v>
      </x:c>
      <x:c r="N45" s="22" t="n">
        <x:v>0</x:v>
      </x:c>
      <x:c r="O45" s="37" t="n">
        <x:f>24</x:f>
        <x:v>24</x:v>
      </x:c>
      <x:c r="P45" s="37" t="n">
        <x:f>IF(AND(N45&gt;0,N45&lt;=O45),1,0)</x:f>
        <x:v>0</x:v>
      </x:c>
      <x:c r="Q45" s="22" t="n">
        <x:v>0</x:v>
      </x:c>
      <x:c r="R45" s="37" t="n">
        <x:f>IF(AND(P45=1,Q45=1),MIN(F45,M45,R44),0)</x:f>
        <x:v>0</x:v>
      </x:c>
      <x:c r="S45" s="23" t="str">
        <x:f>IF(R45&gt;=F45,"ADMITTED","NOT ADMITTED")</x:f>
        <x:v>NOT ADMITTED</x:v>
      </x:c>
    </x:row>
    <x:row r="46">
      <x:c r="B46" s="21" t="str">
        <x:v>SL-0040</x:v>
      </x:c>
      <x:c r="C46" s="21" t="str">
        <x:v>F04</x:v>
      </x:c>
      <x:c r="D46" s="21" t="n">
        <x:v>4</x:v>
      </x:c>
      <x:c r="E46" s="21" t="str">
        <x:v>Material tooling and instrument release</x:v>
      </x:c>
      <x:c r="F46" s="37" t="n">
        <x:f>'Family Register'!L10</x:f>
        <x:v>12</x:v>
      </x:c>
      <x:c r="G46" s="37" t="n">
        <x:f>INDEX(Scenarios!$E$7:$E$12,Assumptions!C7)</x:f>
        <x:v>0.75</x:v>
      </x:c>
      <x:c r="H46" s="37" t="n">
        <x:f>'Family Register'!G10*'Family Register'!I10*G46</x:f>
        <x:v>14.400000000000002</x:v>
      </x:c>
      <x:c r="I46" s="37" t="n">
        <x:f>J45</x:f>
        <x:v>12</x:v>
      </x:c>
      <x:c r="J46" s="37" t="n">
        <x:f>MIN(F46,H46,I46)</x:f>
        <x:v>12</x:v>
      </x:c>
      <x:c r="K46" s="22" t="n">
        <x:v>0</x:v>
      </x:c>
      <x:c r="L46" s="22" t="n">
        <x:v>0</x:v>
      </x:c>
      <x:c r="M46" s="37" t="n">
        <x:f>K46*L46</x:f>
        <x:v>0</x:v>
      </x:c>
      <x:c r="N46" s="22" t="n">
        <x:v>0</x:v>
      </x:c>
      <x:c r="O46" s="37" t="n">
        <x:f>36</x:f>
        <x:v>36</x:v>
      </x:c>
      <x:c r="P46" s="37" t="n">
        <x:f>IF(AND(N46&gt;0,N46&lt;=O46),1,0)</x:f>
        <x:v>0</x:v>
      </x:c>
      <x:c r="Q46" s="22" t="n">
        <x:v>0</x:v>
      </x:c>
      <x:c r="R46" s="37" t="n">
        <x:f>IF(AND(P46=1,Q46=1),MIN(F46,M46,R45),0)</x:f>
        <x:v>0</x:v>
      </x:c>
      <x:c r="S46" s="23" t="str">
        <x:f>IF(R46&gt;=F46,"ADMITTED","NOT ADMITTED")</x:f>
        <x:v>NOT ADMITTED</x:v>
      </x:c>
    </x:row>
    <x:row r="47">
      <x:c r="B47" s="21" t="str">
        <x:v>SL-0041</x:v>
      </x:c>
      <x:c r="C47" s="21" t="str">
        <x:v>F04</x:v>
      </x:c>
      <x:c r="D47" s="21" t="n">
        <x:v>5</x:v>
      </x:c>
      <x:c r="E47" s="21" t="str">
        <x:v>Supplier and process activation</x:v>
      </x:c>
      <x:c r="F47" s="37" t="n">
        <x:f>'Family Register'!L10</x:f>
        <x:v>12</x:v>
      </x:c>
      <x:c r="G47" s="37" t="n">
        <x:f>MIN(INDEX(Scenarios!$E$7:$E$12,Assumptions!C7),INDEX(Scenarios!$F$7:$F$12,Assumptions!C7))</x:f>
        <x:v>0.7</x:v>
      </x:c>
      <x:c r="H47" s="37" t="n">
        <x:f>'Family Register'!G10*'Family Register'!I10*G47</x:f>
        <x:v>13.440000000000001</x:v>
      </x:c>
      <x:c r="I47" s="37" t="n">
        <x:f>J46</x:f>
        <x:v>12</x:v>
      </x:c>
      <x:c r="J47" s="37" t="n">
        <x:f>MIN(F47,H47,I47)</x:f>
        <x:v>12</x:v>
      </x:c>
      <x:c r="K47" s="22" t="n">
        <x:v>0</x:v>
      </x:c>
      <x:c r="L47" s="22" t="n">
        <x:v>0</x:v>
      </x:c>
      <x:c r="M47" s="37" t="n">
        <x:f>K47*L47</x:f>
        <x:v>0</x:v>
      </x:c>
      <x:c r="N47" s="22" t="n">
        <x:v>0</x:v>
      </x:c>
      <x:c r="O47" s="37" t="n">
        <x:f>48</x:f>
        <x:v>48</x:v>
      </x:c>
      <x:c r="P47" s="37" t="n">
        <x:f>IF(AND(N47&gt;0,N47&lt;=O47),1,0)</x:f>
        <x:v>0</x:v>
      </x:c>
      <x:c r="Q47" s="22" t="n">
        <x:v>0</x:v>
      </x:c>
      <x:c r="R47" s="37" t="n">
        <x:f>IF(AND(P47=1,Q47=1),MIN(F47,M47,R46),0)</x:f>
        <x:v>0</x:v>
      </x:c>
      <x:c r="S47" s="23" t="str">
        <x:f>IF(R47&gt;=F47,"ADMITTED","NOT ADMITTED")</x:f>
        <x:v>NOT ADMITTED</x:v>
      </x:c>
    </x:row>
    <x:row r="48">
      <x:c r="B48" s="21" t="str">
        <x:v>SL-0042</x:v>
      </x:c>
      <x:c r="C48" s="21" t="str">
        <x:v>F04</x:v>
      </x:c>
      <x:c r="D48" s="21" t="n">
        <x:v>6</x:v>
      </x:c>
      <x:c r="E48" s="21" t="str">
        <x:v>Conforming production</x:v>
      </x:c>
      <x:c r="F48" s="37" t="n">
        <x:f>'Family Register'!L10</x:f>
        <x:v>12</x:v>
      </x:c>
      <x:c r="G48" s="37" t="n">
        <x:f>INDEX(Scenarios!$F$7:$F$12,Assumptions!C7)</x:f>
        <x:v>0.7</x:v>
      </x:c>
      <x:c r="H48" s="37" t="n">
        <x:f>'Family Register'!G10*'Family Register'!I10*G48</x:f>
        <x:v>13.440000000000001</x:v>
      </x:c>
      <x:c r="I48" s="37" t="n">
        <x:f>J47</x:f>
        <x:v>12</x:v>
      </x:c>
      <x:c r="J48" s="37" t="n">
        <x:f>MIN(F48,H48,I48)</x:f>
        <x:v>12</x:v>
      </x:c>
      <x:c r="K48" s="22" t="n">
        <x:v>0</x:v>
      </x:c>
      <x:c r="L48" s="22" t="n">
        <x:v>0</x:v>
      </x:c>
      <x:c r="M48" s="37" t="n">
        <x:f>K48*L48</x:f>
        <x:v>0</x:v>
      </x:c>
      <x:c r="N48" s="22" t="n">
        <x:v>0</x:v>
      </x:c>
      <x:c r="O48" s="37" t="n">
        <x:f>'Family Register'!H10*0.55</x:f>
        <x:v>92.4</x:v>
      </x:c>
      <x:c r="P48" s="37" t="n">
        <x:f>IF(AND(N48&gt;0,N48&lt;=O48),1,0)</x:f>
        <x:v>0</x:v>
      </x:c>
      <x:c r="Q48" s="22" t="n">
        <x:v>0</x:v>
      </x:c>
      <x:c r="R48" s="37" t="n">
        <x:f>IF(AND(P48=1,Q48=1),MIN(F48,M48,R47),0)</x:f>
        <x:v>0</x:v>
      </x:c>
      <x:c r="S48" s="23" t="str">
        <x:f>IF(R48&gt;=F48,"ADMITTED","NOT ADMITTED")</x:f>
        <x:v>NOT ADMITTED</x:v>
      </x:c>
    </x:row>
    <x:row r="49">
      <x:c r="B49" s="21" t="str">
        <x:v>SL-0043</x:v>
      </x:c>
      <x:c r="C49" s="21" t="str">
        <x:v>F04</x:v>
      </x:c>
      <x:c r="D49" s="21" t="n">
        <x:v>7</x:v>
      </x:c>
      <x:c r="E49" s="21" t="str">
        <x:v>Independent acceptance</x:v>
      </x:c>
      <x:c r="F49" s="37" t="n">
        <x:f>'Family Register'!L10</x:f>
        <x:v>12</x:v>
      </x:c>
      <x:c r="G49" s="37" t="n">
        <x:f>INDEX(Scenarios!$L$7:$L$12,Assumptions!C7)</x:f>
        <x:v>0.8</x:v>
      </x:c>
      <x:c r="H49" s="37" t="n">
        <x:f>'Family Register'!G10*'Family Register'!I10*G49</x:f>
        <x:v>15.360000000000003</x:v>
      </x:c>
      <x:c r="I49" s="37" t="n">
        <x:f>J48</x:f>
        <x:v>12</x:v>
      </x:c>
      <x:c r="J49" s="37" t="n">
        <x:f>MIN(F49,H49,I49)</x:f>
        <x:v>12</x:v>
      </x:c>
      <x:c r="K49" s="22" t="n">
        <x:v>0</x:v>
      </x:c>
      <x:c r="L49" s="22" t="n">
        <x:v>0</x:v>
      </x:c>
      <x:c r="M49" s="37" t="n">
        <x:f>K49*L49</x:f>
        <x:v>0</x:v>
      </x:c>
      <x:c r="N49" s="22" t="n">
        <x:v>0</x:v>
      </x:c>
      <x:c r="O49" s="37" t="n">
        <x:f>'Family Register'!H10*0.65</x:f>
        <x:v>109.2</x:v>
      </x:c>
      <x:c r="P49" s="37" t="n">
        <x:f>IF(AND(N49&gt;0,N49&lt;=O49),1,0)</x:f>
        <x:v>0</x:v>
      </x:c>
      <x:c r="Q49" s="22" t="n">
        <x:v>0</x:v>
      </x:c>
      <x:c r="R49" s="37" t="n">
        <x:f>IF(AND(P49=1,Q49=1),MIN(F49,M49,R48),0)</x:f>
        <x:v>0</x:v>
      </x:c>
      <x:c r="S49" s="23" t="str">
        <x:f>IF(R49&gt;=F49,"ADMITTED","NOT ADMITTED")</x:f>
        <x:v>NOT ADMITTED</x:v>
      </x:c>
    </x:row>
    <x:row r="50">
      <x:c r="B50" s="21" t="str">
        <x:v>SL-0044</x:v>
      </x:c>
      <x:c r="C50" s="21" t="str">
        <x:v>F04</x:v>
      </x:c>
      <x:c r="D50" s="21" t="n">
        <x:v>8</x:v>
      </x:c>
      <x:c r="E50" s="21" t="str">
        <x:v>Loadout and custody transfer</x:v>
      </x:c>
      <x:c r="F50" s="37" t="n">
        <x:f>'Family Register'!L10</x:f>
        <x:v>12</x:v>
      </x:c>
      <x:c r="G50" s="37" t="n">
        <x:f>INDEX(Scenarios!$H$7:$H$12,Assumptions!C7)</x:f>
        <x:v>0.65</x:v>
      </x:c>
      <x:c r="H50" s="37" t="n">
        <x:f>'Family Register'!G10*'Family Register'!I10*G50</x:f>
        <x:v>12.480000000000002</x:v>
      </x:c>
      <x:c r="I50" s="37" t="n">
        <x:f>J49</x:f>
        <x:v>12</x:v>
      </x:c>
      <x:c r="J50" s="37" t="n">
        <x:f>MIN(F50,H50,I50)</x:f>
        <x:v>12</x:v>
      </x:c>
      <x:c r="K50" s="22" t="n">
        <x:v>0</x:v>
      </x:c>
      <x:c r="L50" s="22" t="n">
        <x:v>0</x:v>
      </x:c>
      <x:c r="M50" s="37" t="n">
        <x:f>K50*L50</x:f>
        <x:v>0</x:v>
      </x:c>
      <x:c r="N50" s="22" t="n">
        <x:v>0</x:v>
      </x:c>
      <x:c r="O50" s="37" t="n">
        <x:f>'Family Register'!H10*0.7</x:f>
        <x:v>117.6</x:v>
      </x:c>
      <x:c r="P50" s="37" t="n">
        <x:f>IF(AND(N50&gt;0,N50&lt;=O50),1,0)</x:f>
        <x:v>0</x:v>
      </x:c>
      <x:c r="Q50" s="22" t="n">
        <x:v>0</x:v>
      </x:c>
      <x:c r="R50" s="37" t="n">
        <x:f>IF(AND(P50=1,Q50=1),MIN(F50,M50,R49),0)</x:f>
        <x:v>0</x:v>
      </x:c>
      <x:c r="S50" s="23" t="str">
        <x:f>IF(R50&gt;=F50,"ADMITTED","NOT ADMITTED")</x:f>
        <x:v>NOT ADMITTED</x:v>
      </x:c>
    </x:row>
    <x:row r="51">
      <x:c r="B51" s="21" t="str">
        <x:v>SL-0045</x:v>
      </x:c>
      <x:c r="C51" s="21" t="str">
        <x:v>F04</x:v>
      </x:c>
      <x:c r="D51" s="21" t="n">
        <x:v>9</x:v>
      </x:c>
      <x:c r="E51" s="21" t="str">
        <x:v>Strategic transport</x:v>
      </x:c>
      <x:c r="F51" s="37" t="n">
        <x:f>'Family Register'!L10</x:f>
        <x:v>12</x:v>
      </x:c>
      <x:c r="G51" s="37" t="n">
        <x:f>INDEX(Scenarios!$H$7:$H$12,Assumptions!C7)</x:f>
        <x:v>0.65</x:v>
      </x:c>
      <x:c r="H51" s="37" t="n">
        <x:f>'Family Register'!G10*'Family Register'!I10*G51</x:f>
        <x:v>12.480000000000002</x:v>
      </x:c>
      <x:c r="I51" s="37" t="n">
        <x:f>J50</x:f>
        <x:v>12</x:v>
      </x:c>
      <x:c r="J51" s="37" t="n">
        <x:f>MIN(F51,H51,I51)</x:f>
        <x:v>12</x:v>
      </x:c>
      <x:c r="K51" s="22" t="n">
        <x:v>0</x:v>
      </x:c>
      <x:c r="L51" s="22" t="n">
        <x:v>0</x:v>
      </x:c>
      <x:c r="M51" s="37" t="n">
        <x:f>K51*L51</x:f>
        <x:v>0</x:v>
      </x:c>
      <x:c r="N51" s="22" t="n">
        <x:v>0</x:v>
      </x:c>
      <x:c r="O51" s="37" t="n">
        <x:f>'Family Register'!H10*0.9</x:f>
        <x:v>151.20000000000002</x:v>
      </x:c>
      <x:c r="P51" s="37" t="n">
        <x:f>IF(AND(N51&gt;0,N51&lt;=O51),1,0)</x:f>
        <x:v>0</x:v>
      </x:c>
      <x:c r="Q51" s="22" t="n">
        <x:v>0</x:v>
      </x:c>
      <x:c r="R51" s="37" t="n">
        <x:f>IF(AND(P51=1,Q51=1),MIN(F51,M51,R50),0)</x:f>
        <x:v>0</x:v>
      </x:c>
      <x:c r="S51" s="23" t="str">
        <x:f>IF(R51&gt;=F51,"ADMITTED","NOT ADMITTED")</x:f>
        <x:v>NOT ADMITTED</x:v>
      </x:c>
    </x:row>
    <x:row r="52">
      <x:c r="B52" s="21" t="str">
        <x:v>SL-0046</x:v>
      </x:c>
      <x:c r="C52" s="21" t="str">
        <x:v>F04</x:v>
      </x:c>
      <x:c r="D52" s="21" t="n">
        <x:v>10</x:v>
      </x:c>
      <x:c r="E52" s="21" t="str">
        <x:v>Receiving-node admission</x:v>
      </x:c>
      <x:c r="F52" s="37" t="n">
        <x:f>'Family Register'!L10</x:f>
        <x:v>12</x:v>
      </x:c>
      <x:c r="G52" s="37" t="n">
        <x:f>INDEX(Scenarios!$I$7:$I$12,Assumptions!C7)</x:f>
        <x:v>0.75</x:v>
      </x:c>
      <x:c r="H52" s="37" t="n">
        <x:f>'Family Register'!G10*'Family Register'!I10*G52</x:f>
        <x:v>14.400000000000002</x:v>
      </x:c>
      <x:c r="I52" s="37" t="n">
        <x:f>J51</x:f>
        <x:v>12</x:v>
      </x:c>
      <x:c r="J52" s="37" t="n">
        <x:f>MIN(F52,H52,I52)</x:f>
        <x:v>12</x:v>
      </x:c>
      <x:c r="K52" s="22" t="n">
        <x:v>0</x:v>
      </x:c>
      <x:c r="L52" s="22" t="n">
        <x:v>0</x:v>
      </x:c>
      <x:c r="M52" s="37" t="n">
        <x:f>K52*L52</x:f>
        <x:v>0</x:v>
      </x:c>
      <x:c r="N52" s="22" t="n">
        <x:v>0</x:v>
      </x:c>
      <x:c r="O52" s="37" t="n">
        <x:f>'Family Register'!H10*0.94</x:f>
        <x:v>157.92</x:v>
      </x:c>
      <x:c r="P52" s="37" t="n">
        <x:f>IF(AND(N52&gt;0,N52&lt;=O52),1,0)</x:f>
        <x:v>0</x:v>
      </x:c>
      <x:c r="Q52" s="22" t="n">
        <x:v>0</x:v>
      </x:c>
      <x:c r="R52" s="37" t="n">
        <x:f>IF(AND(P52=1,Q52=1),MIN(F52,M52,R51),0)</x:f>
        <x:v>0</x:v>
      </x:c>
      <x:c r="S52" s="23" t="str">
        <x:f>IF(R52&gt;=F52,"ADMITTED","NOT ADMITTED")</x:f>
        <x:v>NOT ADMITTED</x:v>
      </x:c>
    </x:row>
    <x:row r="53">
      <x:c r="B53" s="21" t="str">
        <x:v>SL-0047</x:v>
      </x:c>
      <x:c r="C53" s="21" t="str">
        <x:v>F04</x:v>
      </x:c>
      <x:c r="D53" s="21" t="n">
        <x:v>11</x:v>
      </x:c>
      <x:c r="E53" s="21" t="str">
        <x:v>Commissioned public service</x:v>
      </x:c>
      <x:c r="F53" s="37" t="n">
        <x:f>'Family Register'!L10</x:f>
        <x:v>12</x:v>
      </x:c>
      <x:c r="G53" s="37" t="n">
        <x:f>MIN(INDEX(Scenarios!$G$7:$G$12,Assumptions!C7),INDEX(Scenarios!$I$7:$I$12,Assumptions!C7))</x:f>
        <x:v>0.7</x:v>
      </x:c>
      <x:c r="H53" s="37" t="n">
        <x:f>'Family Register'!G10*'Family Register'!I10*G53</x:f>
        <x:v>13.440000000000001</x:v>
      </x:c>
      <x:c r="I53" s="37" t="n">
        <x:f>J52</x:f>
        <x:v>12</x:v>
      </x:c>
      <x:c r="J53" s="37" t="n">
        <x:f>MIN(F53,H53,I53)</x:f>
        <x:v>12</x:v>
      </x:c>
      <x:c r="K53" s="22" t="n">
        <x:v>0</x:v>
      </x:c>
      <x:c r="L53" s="22" t="n">
        <x:v>0</x:v>
      </x:c>
      <x:c r="M53" s="37" t="n">
        <x:f>K53*L53</x:f>
        <x:v>0</x:v>
      </x:c>
      <x:c r="N53" s="22" t="n">
        <x:v>0</x:v>
      </x:c>
      <x:c r="O53" s="37" t="n">
        <x:f>'Family Register'!H10*1</x:f>
        <x:v>168</x:v>
      </x:c>
      <x:c r="P53" s="37" t="n">
        <x:f>IF(AND(N53&gt;0,N53&lt;=O53),1,0)</x:f>
        <x:v>0</x:v>
      </x:c>
      <x:c r="Q53" s="22" t="n">
        <x:v>0</x:v>
      </x:c>
      <x:c r="R53" s="37" t="n">
        <x:f>IF(AND(P53=1,Q53=1),MIN(F53,M53,R52),0)</x:f>
        <x:v>0</x:v>
      </x:c>
      <x:c r="S53" s="23" t="str">
        <x:f>IF(R53&gt;=F53,"ADMITTED","NOT ADMITTED")</x:f>
        <x:v>NOT ADMITTED</x:v>
      </x:c>
    </x:row>
    <x:row r="54">
      <x:c r="B54" s="21" t="str">
        <x:v>SL-0048</x:v>
      </x:c>
      <x:c r="C54" s="21" t="str">
        <x:v>F04</x:v>
      </x:c>
      <x:c r="D54" s="21" t="n">
        <x:v>12</x:v>
      </x:c>
      <x:c r="E54" s="21" t="str">
        <x:v>Regeneration and replacement</x:v>
      </x:c>
      <x:c r="F54" s="37" t="n">
        <x:f>'Family Register'!L10</x:f>
        <x:v>12</x:v>
      </x:c>
      <x:c r="G54" s="37" t="n">
        <x:f>MIN(INDEX(Scenarios!$E$7:$E$12,Assumptions!C7),INDEX(Scenarios!$F$7:$F$12,Assumptions!C7))</x:f>
        <x:v>0.7</x:v>
      </x:c>
      <x:c r="H54" s="37" t="n">
        <x:f>'Family Register'!G10*'Family Register'!I10*G54</x:f>
        <x:v>13.440000000000001</x:v>
      </x:c>
      <x:c r="I54" s="37" t="n">
        <x:f>J53</x:f>
        <x:v>12</x:v>
      </x:c>
      <x:c r="J54" s="37" t="n">
        <x:f>MIN(F54,H54,I54)</x:f>
        <x:v>12</x:v>
      </x:c>
      <x:c r="K54" s="22" t="n">
        <x:v>0</x:v>
      </x:c>
      <x:c r="L54" s="22" t="n">
        <x:v>0</x:v>
      </x:c>
      <x:c r="M54" s="37" t="n">
        <x:f>K54*L54</x:f>
        <x:v>0</x:v>
      </x:c>
      <x:c r="N54" s="22" t="n">
        <x:v>0</x:v>
      </x:c>
      <x:c r="O54" s="37" t="n">
        <x:f>'Family Register'!H10+168</x:f>
        <x:v>336</x:v>
      </x:c>
      <x:c r="P54" s="37" t="n">
        <x:f>IF(AND(N54&gt;0,N54&lt;=O54),1,0)</x:f>
        <x:v>0</x:v>
      </x:c>
      <x:c r="Q54" s="22" t="n">
        <x:v>0</x:v>
      </x:c>
      <x:c r="R54" s="37" t="n">
        <x:f>IF(AND(P54=1,Q54=1),MIN(F54,M54,R53),0)</x:f>
        <x:v>0</x:v>
      </x:c>
      <x:c r="S54" s="23" t="str">
        <x:f>IF(R54&gt;=F54,"ADMITTED","NOT ADMITTED")</x:f>
        <x:v>NOT ADMITTED</x:v>
      </x:c>
    </x:row>
    <x:row r="55">
      <x:c r="B55" s="21" t="str">
        <x:v>SL-0049</x:v>
      </x:c>
      <x:c r="C55" s="21" t="str">
        <x:v>F05</x:v>
      </x:c>
      <x:c r="D55" s="21" t="n">
        <x:v>1</x:v>
      </x:c>
      <x:c r="E55" s="21" t="str">
        <x:v>Alert authentication</x:v>
      </x:c>
      <x:c r="F55" s="37" t="n">
        <x:f>'Family Register'!L11</x:f>
        <x:v>20</x:v>
      </x:c>
      <x:c r="G55" s="37" t="n">
        <x:f>INDEX(Scenarios!$K$7:$K$12,Assumptions!C7)</x:f>
        <x:v>0.75</x:v>
      </x:c>
      <x:c r="H55" s="37" t="n">
        <x:f>'Family Register'!G11*'Family Register'!I11*G55</x:f>
        <x:v>21.75</x:v>
      </x:c>
      <x:c r="I55" s="37" t="n">
        <x:f>F55</x:f>
        <x:v>20</x:v>
      </x:c>
      <x:c r="J55" s="37" t="n">
        <x:f>MIN(F55,H55,I55)</x:f>
        <x:v>20</x:v>
      </x:c>
      <x:c r="K55" s="22" t="n">
        <x:v>0</x:v>
      </x:c>
      <x:c r="L55" s="22" t="n">
        <x:v>0</x:v>
      </x:c>
      <x:c r="M55" s="37" t="n">
        <x:f>K55*L55</x:f>
        <x:v>0</x:v>
      </x:c>
      <x:c r="N55" s="22" t="n">
        <x:v>0</x:v>
      </x:c>
      <x:c r="O55" s="37" t="n">
        <x:f>2</x:f>
        <x:v>2</x:v>
      </x:c>
      <x:c r="P55" s="37" t="n">
        <x:f>IF(AND(N55&gt;0,N55&lt;=O55),1,0)</x:f>
        <x:v>0</x:v>
      </x:c>
      <x:c r="Q55" s="22" t="n">
        <x:v>0</x:v>
      </x:c>
      <x:c r="R55" s="37" t="n">
        <x:f>IF(AND(P55=1,Q55=1),MIN(F55,M55),0)</x:f>
        <x:v>0</x:v>
      </x:c>
      <x:c r="S55" s="23" t="str">
        <x:f>IF(R55&gt;=F55,"ADMITTED","NOT ADMITTED")</x:f>
        <x:v>NOT ADMITTED</x:v>
      </x:c>
    </x:row>
    <x:row r="56">
      <x:c r="B56" s="21" t="str">
        <x:v>SL-0050</x:v>
      </x:c>
      <x:c r="C56" s="21" t="str">
        <x:v>F05</x:v>
      </x:c>
      <x:c r="D56" s="21" t="n">
        <x:v>2</x:v>
      </x:c>
      <x:c r="E56" s="21" t="str">
        <x:v>Workforce muster</x:v>
      </x:c>
      <x:c r="F56" s="37" t="n">
        <x:f>'Family Register'!L11</x:f>
        <x:v>20</x:v>
      </x:c>
      <x:c r="G56" s="37" t="n">
        <x:f>INDEX(Scenarios!$J$7:$J$12,Assumptions!C7)</x:f>
        <x:v>0.8</x:v>
      </x:c>
      <x:c r="H56" s="37" t="n">
        <x:f>'Family Register'!G11*'Family Register'!I11*G56</x:f>
        <x:v>23.200000000000003</x:v>
      </x:c>
      <x:c r="I56" s="37" t="n">
        <x:f>J55</x:f>
        <x:v>20</x:v>
      </x:c>
      <x:c r="J56" s="37" t="n">
        <x:f>MIN(F56,H56,I56)</x:f>
        <x:v>20</x:v>
      </x:c>
      <x:c r="K56" s="22" t="n">
        <x:v>0</x:v>
      </x:c>
      <x:c r="L56" s="22" t="n">
        <x:v>0</x:v>
      </x:c>
      <x:c r="M56" s="37" t="n">
        <x:f>K56*L56</x:f>
        <x:v>0</x:v>
      </x:c>
      <x:c r="N56" s="22" t="n">
        <x:v>0</x:v>
      </x:c>
      <x:c r="O56" s="37" t="n">
        <x:f>12</x:f>
        <x:v>12</x:v>
      </x:c>
      <x:c r="P56" s="37" t="n">
        <x:f>IF(AND(N56&gt;0,N56&lt;=O56),1,0)</x:f>
        <x:v>0</x:v>
      </x:c>
      <x:c r="Q56" s="22" t="n">
        <x:v>0</x:v>
      </x:c>
      <x:c r="R56" s="37" t="n">
        <x:f>IF(AND(P56=1,Q56=1),MIN(F56,M56,R55),0)</x:f>
        <x:v>0</x:v>
      </x:c>
      <x:c r="S56" s="23" t="str">
        <x:f>IF(R56&gt;=F56,"ADMITTED","NOT ADMITTED")</x:f>
        <x:v>NOT ADMITTED</x:v>
      </x:c>
    </x:row>
    <x:row r="57">
      <x:c r="B57" s="21" t="str">
        <x:v>SL-0051</x:v>
      </x:c>
      <x:c r="C57" s="21" t="str">
        <x:v>F05</x:v>
      </x:c>
      <x:c r="D57" s="21" t="n">
        <x:v>3</x:v>
      </x:c>
      <x:c r="E57" s="21" t="str">
        <x:v>Facility utility and safe start</x:v>
      </x:c>
      <x:c r="F57" s="37" t="n">
        <x:f>'Family Register'!L11</x:f>
        <x:v>20</x:v>
      </x:c>
      <x:c r="G57" s="37" t="n">
        <x:f>INDEX(Scenarios!$G$7:$G$12,Assumptions!C7)</x:f>
        <x:v>0.7</x:v>
      </x:c>
      <x:c r="H57" s="37" t="n">
        <x:f>'Family Register'!G11*'Family Register'!I11*G57</x:f>
        <x:v>20.299999999999997</x:v>
      </x:c>
      <x:c r="I57" s="37" t="n">
        <x:f>J56</x:f>
        <x:v>20</x:v>
      </x:c>
      <x:c r="J57" s="37" t="n">
        <x:f>MIN(F57,H57,I57)</x:f>
        <x:v>20</x:v>
      </x:c>
      <x:c r="K57" s="22" t="n">
        <x:v>0</x:v>
      </x:c>
      <x:c r="L57" s="22" t="n">
        <x:v>0</x:v>
      </x:c>
      <x:c r="M57" s="37" t="n">
        <x:f>K57*L57</x:f>
        <x:v>0</x:v>
      </x:c>
      <x:c r="N57" s="22" t="n">
        <x:v>0</x:v>
      </x:c>
      <x:c r="O57" s="37" t="n">
        <x:f>24</x:f>
        <x:v>24</x:v>
      </x:c>
      <x:c r="P57" s="37" t="n">
        <x:f>IF(AND(N57&gt;0,N57&lt;=O57),1,0)</x:f>
        <x:v>0</x:v>
      </x:c>
      <x:c r="Q57" s="22" t="n">
        <x:v>0</x:v>
      </x:c>
      <x:c r="R57" s="37" t="n">
        <x:f>IF(AND(P57=1,Q57=1),MIN(F57,M57,R56),0)</x:f>
        <x:v>0</x:v>
      </x:c>
      <x:c r="S57" s="23" t="str">
        <x:f>IF(R57&gt;=F57,"ADMITTED","NOT ADMITTED")</x:f>
        <x:v>NOT ADMITTED</x:v>
      </x:c>
    </x:row>
    <x:row r="58">
      <x:c r="B58" s="21" t="str">
        <x:v>SL-0052</x:v>
      </x:c>
      <x:c r="C58" s="21" t="str">
        <x:v>F05</x:v>
      </x:c>
      <x:c r="D58" s="21" t="n">
        <x:v>4</x:v>
      </x:c>
      <x:c r="E58" s="21" t="str">
        <x:v>Material tooling and instrument release</x:v>
      </x:c>
      <x:c r="F58" s="37" t="n">
        <x:f>'Family Register'!L11</x:f>
        <x:v>20</x:v>
      </x:c>
      <x:c r="G58" s="37" t="n">
        <x:f>INDEX(Scenarios!$E$7:$E$12,Assumptions!C7)</x:f>
        <x:v>0.75</x:v>
      </x:c>
      <x:c r="H58" s="37" t="n">
        <x:f>'Family Register'!G11*'Family Register'!I11*G58</x:f>
        <x:v>21.75</x:v>
      </x:c>
      <x:c r="I58" s="37" t="n">
        <x:f>J57</x:f>
        <x:v>20</x:v>
      </x:c>
      <x:c r="J58" s="37" t="n">
        <x:f>MIN(F58,H58,I58)</x:f>
        <x:v>20</x:v>
      </x:c>
      <x:c r="K58" s="22" t="n">
        <x:v>0</x:v>
      </x:c>
      <x:c r="L58" s="22" t="n">
        <x:v>0</x:v>
      </x:c>
      <x:c r="M58" s="37" t="n">
        <x:f>K58*L58</x:f>
        <x:v>0</x:v>
      </x:c>
      <x:c r="N58" s="22" t="n">
        <x:v>0</x:v>
      </x:c>
      <x:c r="O58" s="37" t="n">
        <x:f>36</x:f>
        <x:v>36</x:v>
      </x:c>
      <x:c r="P58" s="37" t="n">
        <x:f>IF(AND(N58&gt;0,N58&lt;=O58),1,0)</x:f>
        <x:v>0</x:v>
      </x:c>
      <x:c r="Q58" s="22" t="n">
        <x:v>0</x:v>
      </x:c>
      <x:c r="R58" s="37" t="n">
        <x:f>IF(AND(P58=1,Q58=1),MIN(F58,M58,R57),0)</x:f>
        <x:v>0</x:v>
      </x:c>
      <x:c r="S58" s="23" t="str">
        <x:f>IF(R58&gt;=F58,"ADMITTED","NOT ADMITTED")</x:f>
        <x:v>NOT ADMITTED</x:v>
      </x:c>
    </x:row>
    <x:row r="59">
      <x:c r="B59" s="21" t="str">
        <x:v>SL-0053</x:v>
      </x:c>
      <x:c r="C59" s="21" t="str">
        <x:v>F05</x:v>
      </x:c>
      <x:c r="D59" s="21" t="n">
        <x:v>5</x:v>
      </x:c>
      <x:c r="E59" s="21" t="str">
        <x:v>Supplier and process activation</x:v>
      </x:c>
      <x:c r="F59" s="37" t="n">
        <x:f>'Family Register'!L11</x:f>
        <x:v>20</x:v>
      </x:c>
      <x:c r="G59" s="37" t="n">
        <x:f>MIN(INDEX(Scenarios!$E$7:$E$12,Assumptions!C7),INDEX(Scenarios!$F$7:$F$12,Assumptions!C7))</x:f>
        <x:v>0.7</x:v>
      </x:c>
      <x:c r="H59" s="37" t="n">
        <x:f>'Family Register'!G11*'Family Register'!I11*G59</x:f>
        <x:v>20.299999999999997</x:v>
      </x:c>
      <x:c r="I59" s="37" t="n">
        <x:f>J58</x:f>
        <x:v>20</x:v>
      </x:c>
      <x:c r="J59" s="37" t="n">
        <x:f>MIN(F59,H59,I59)</x:f>
        <x:v>20</x:v>
      </x:c>
      <x:c r="K59" s="22" t="n">
        <x:v>0</x:v>
      </x:c>
      <x:c r="L59" s="22" t="n">
        <x:v>0</x:v>
      </x:c>
      <x:c r="M59" s="37" t="n">
        <x:f>K59*L59</x:f>
        <x:v>0</x:v>
      </x:c>
      <x:c r="N59" s="22" t="n">
        <x:v>0</x:v>
      </x:c>
      <x:c r="O59" s="37" t="n">
        <x:f>48</x:f>
        <x:v>48</x:v>
      </x:c>
      <x:c r="P59" s="37" t="n">
        <x:f>IF(AND(N59&gt;0,N59&lt;=O59),1,0)</x:f>
        <x:v>0</x:v>
      </x:c>
      <x:c r="Q59" s="22" t="n">
        <x:v>0</x:v>
      </x:c>
      <x:c r="R59" s="37" t="n">
        <x:f>IF(AND(P59=1,Q59=1),MIN(F59,M59,R58),0)</x:f>
        <x:v>0</x:v>
      </x:c>
      <x:c r="S59" s="23" t="str">
        <x:f>IF(R59&gt;=F59,"ADMITTED","NOT ADMITTED")</x:f>
        <x:v>NOT ADMITTED</x:v>
      </x:c>
    </x:row>
    <x:row r="60">
      <x:c r="B60" s="21" t="str">
        <x:v>SL-0054</x:v>
      </x:c>
      <x:c r="C60" s="21" t="str">
        <x:v>F05</x:v>
      </x:c>
      <x:c r="D60" s="21" t="n">
        <x:v>6</x:v>
      </x:c>
      <x:c r="E60" s="21" t="str">
        <x:v>Conforming production</x:v>
      </x:c>
      <x:c r="F60" s="37" t="n">
        <x:f>'Family Register'!L11</x:f>
        <x:v>20</x:v>
      </x:c>
      <x:c r="G60" s="37" t="n">
        <x:f>INDEX(Scenarios!$F$7:$F$12,Assumptions!C7)</x:f>
        <x:v>0.7</x:v>
      </x:c>
      <x:c r="H60" s="37" t="n">
        <x:f>'Family Register'!G11*'Family Register'!I11*G60</x:f>
        <x:v>20.299999999999997</x:v>
      </x:c>
      <x:c r="I60" s="37" t="n">
        <x:f>J59</x:f>
        <x:v>20</x:v>
      </x:c>
      <x:c r="J60" s="37" t="n">
        <x:f>MIN(F60,H60,I60)</x:f>
        <x:v>20</x:v>
      </x:c>
      <x:c r="K60" s="22" t="n">
        <x:v>0</x:v>
      </x:c>
      <x:c r="L60" s="22" t="n">
        <x:v>0</x:v>
      </x:c>
      <x:c r="M60" s="37" t="n">
        <x:f>K60*L60</x:f>
        <x:v>0</x:v>
      </x:c>
      <x:c r="N60" s="22" t="n">
        <x:v>0</x:v>
      </x:c>
      <x:c r="O60" s="37" t="n">
        <x:f>'Family Register'!H11*0.55</x:f>
        <x:v>184.8</x:v>
      </x:c>
      <x:c r="P60" s="37" t="n">
        <x:f>IF(AND(N60&gt;0,N60&lt;=O60),1,0)</x:f>
        <x:v>0</x:v>
      </x:c>
      <x:c r="Q60" s="22" t="n">
        <x:v>0</x:v>
      </x:c>
      <x:c r="R60" s="37" t="n">
        <x:f>IF(AND(P60=1,Q60=1),MIN(F60,M60,R59),0)</x:f>
        <x:v>0</x:v>
      </x:c>
      <x:c r="S60" s="23" t="str">
        <x:f>IF(R60&gt;=F60,"ADMITTED","NOT ADMITTED")</x:f>
        <x:v>NOT ADMITTED</x:v>
      </x:c>
    </x:row>
    <x:row r="61">
      <x:c r="B61" s="21" t="str">
        <x:v>SL-0055</x:v>
      </x:c>
      <x:c r="C61" s="21" t="str">
        <x:v>F05</x:v>
      </x:c>
      <x:c r="D61" s="21" t="n">
        <x:v>7</x:v>
      </x:c>
      <x:c r="E61" s="21" t="str">
        <x:v>Independent acceptance</x:v>
      </x:c>
      <x:c r="F61" s="37" t="n">
        <x:f>'Family Register'!L11</x:f>
        <x:v>20</x:v>
      </x:c>
      <x:c r="G61" s="37" t="n">
        <x:f>INDEX(Scenarios!$L$7:$L$12,Assumptions!C7)</x:f>
        <x:v>0.8</x:v>
      </x:c>
      <x:c r="H61" s="37" t="n">
        <x:f>'Family Register'!G11*'Family Register'!I11*G61</x:f>
        <x:v>23.200000000000003</x:v>
      </x:c>
      <x:c r="I61" s="37" t="n">
        <x:f>J60</x:f>
        <x:v>20</x:v>
      </x:c>
      <x:c r="J61" s="37" t="n">
        <x:f>MIN(F61,H61,I61)</x:f>
        <x:v>20</x:v>
      </x:c>
      <x:c r="K61" s="22" t="n">
        <x:v>0</x:v>
      </x:c>
      <x:c r="L61" s="22" t="n">
        <x:v>0</x:v>
      </x:c>
      <x:c r="M61" s="37" t="n">
        <x:f>K61*L61</x:f>
        <x:v>0</x:v>
      </x:c>
      <x:c r="N61" s="22" t="n">
        <x:v>0</x:v>
      </x:c>
      <x:c r="O61" s="37" t="n">
        <x:f>'Family Register'!H11*0.65</x:f>
        <x:v>218.4</x:v>
      </x:c>
      <x:c r="P61" s="37" t="n">
        <x:f>IF(AND(N61&gt;0,N61&lt;=O61),1,0)</x:f>
        <x:v>0</x:v>
      </x:c>
      <x:c r="Q61" s="22" t="n">
        <x:v>0</x:v>
      </x:c>
      <x:c r="R61" s="37" t="n">
        <x:f>IF(AND(P61=1,Q61=1),MIN(F61,M61,R60),0)</x:f>
        <x:v>0</x:v>
      </x:c>
      <x:c r="S61" s="23" t="str">
        <x:f>IF(R61&gt;=F61,"ADMITTED","NOT ADMITTED")</x:f>
        <x:v>NOT ADMITTED</x:v>
      </x:c>
    </x:row>
    <x:row r="62">
      <x:c r="B62" s="21" t="str">
        <x:v>SL-0056</x:v>
      </x:c>
      <x:c r="C62" s="21" t="str">
        <x:v>F05</x:v>
      </x:c>
      <x:c r="D62" s="21" t="n">
        <x:v>8</x:v>
      </x:c>
      <x:c r="E62" s="21" t="str">
        <x:v>Loadout and custody transfer</x:v>
      </x:c>
      <x:c r="F62" s="37" t="n">
        <x:f>'Family Register'!L11</x:f>
        <x:v>20</x:v>
      </x:c>
      <x:c r="G62" s="37" t="n">
        <x:f>INDEX(Scenarios!$H$7:$H$12,Assumptions!C7)</x:f>
        <x:v>0.65</x:v>
      </x:c>
      <x:c r="H62" s="37" t="n">
        <x:f>'Family Register'!G11*'Family Register'!I11*G62</x:f>
        <x:v>18.85</x:v>
      </x:c>
      <x:c r="I62" s="37" t="n">
        <x:f>J61</x:f>
        <x:v>20</x:v>
      </x:c>
      <x:c r="J62" s="37" t="n">
        <x:f>MIN(F62,H62,I62)</x:f>
        <x:v>18.85</x:v>
      </x:c>
      <x:c r="K62" s="22" t="n">
        <x:v>0</x:v>
      </x:c>
      <x:c r="L62" s="22" t="n">
        <x:v>0</x:v>
      </x:c>
      <x:c r="M62" s="37" t="n">
        <x:f>K62*L62</x:f>
        <x:v>0</x:v>
      </x:c>
      <x:c r="N62" s="22" t="n">
        <x:v>0</x:v>
      </x:c>
      <x:c r="O62" s="37" t="n">
        <x:f>'Family Register'!H11*0.7</x:f>
        <x:v>235.2</x:v>
      </x:c>
      <x:c r="P62" s="37" t="n">
        <x:f>IF(AND(N62&gt;0,N62&lt;=O62),1,0)</x:f>
        <x:v>0</x:v>
      </x:c>
      <x:c r="Q62" s="22" t="n">
        <x:v>0</x:v>
      </x:c>
      <x:c r="R62" s="37" t="n">
        <x:f>IF(AND(P62=1,Q62=1),MIN(F62,M62,R61),0)</x:f>
        <x:v>0</x:v>
      </x:c>
      <x:c r="S62" s="23" t="str">
        <x:f>IF(R62&gt;=F62,"ADMITTED","NOT ADMITTED")</x:f>
        <x:v>NOT ADMITTED</x:v>
      </x:c>
    </x:row>
    <x:row r="63">
      <x:c r="B63" s="21" t="str">
        <x:v>SL-0057</x:v>
      </x:c>
      <x:c r="C63" s="21" t="str">
        <x:v>F05</x:v>
      </x:c>
      <x:c r="D63" s="21" t="n">
        <x:v>9</x:v>
      </x:c>
      <x:c r="E63" s="21" t="str">
        <x:v>Strategic transport</x:v>
      </x:c>
      <x:c r="F63" s="37" t="n">
        <x:f>'Family Register'!L11</x:f>
        <x:v>20</x:v>
      </x:c>
      <x:c r="G63" s="37" t="n">
        <x:f>INDEX(Scenarios!$H$7:$H$12,Assumptions!C7)</x:f>
        <x:v>0.65</x:v>
      </x:c>
      <x:c r="H63" s="37" t="n">
        <x:f>'Family Register'!G11*'Family Register'!I11*G63</x:f>
        <x:v>18.85</x:v>
      </x:c>
      <x:c r="I63" s="37" t="n">
        <x:f>J62</x:f>
        <x:v>18.85</x:v>
      </x:c>
      <x:c r="J63" s="37" t="n">
        <x:f>MIN(F63,H63,I63)</x:f>
        <x:v>18.85</x:v>
      </x:c>
      <x:c r="K63" s="22" t="n">
        <x:v>0</x:v>
      </x:c>
      <x:c r="L63" s="22" t="n">
        <x:v>0</x:v>
      </x:c>
      <x:c r="M63" s="37" t="n">
        <x:f>K63*L63</x:f>
        <x:v>0</x:v>
      </x:c>
      <x:c r="N63" s="22" t="n">
        <x:v>0</x:v>
      </x:c>
      <x:c r="O63" s="37" t="n">
        <x:f>'Family Register'!H11*0.9</x:f>
        <x:v>302.40000000000003</x:v>
      </x:c>
      <x:c r="P63" s="37" t="n">
        <x:f>IF(AND(N63&gt;0,N63&lt;=O63),1,0)</x:f>
        <x:v>0</x:v>
      </x:c>
      <x:c r="Q63" s="22" t="n">
        <x:v>0</x:v>
      </x:c>
      <x:c r="R63" s="37" t="n">
        <x:f>IF(AND(P63=1,Q63=1),MIN(F63,M63,R62),0)</x:f>
        <x:v>0</x:v>
      </x:c>
      <x:c r="S63" s="23" t="str">
        <x:f>IF(R63&gt;=F63,"ADMITTED","NOT ADMITTED")</x:f>
        <x:v>NOT ADMITTED</x:v>
      </x:c>
    </x:row>
    <x:row r="64">
      <x:c r="B64" s="21" t="str">
        <x:v>SL-0058</x:v>
      </x:c>
      <x:c r="C64" s="21" t="str">
        <x:v>F05</x:v>
      </x:c>
      <x:c r="D64" s="21" t="n">
        <x:v>10</x:v>
      </x:c>
      <x:c r="E64" s="21" t="str">
        <x:v>Receiving-node admission</x:v>
      </x:c>
      <x:c r="F64" s="37" t="n">
        <x:f>'Family Register'!L11</x:f>
        <x:v>20</x:v>
      </x:c>
      <x:c r="G64" s="37" t="n">
        <x:f>INDEX(Scenarios!$I$7:$I$12,Assumptions!C7)</x:f>
        <x:v>0.75</x:v>
      </x:c>
      <x:c r="H64" s="37" t="n">
        <x:f>'Family Register'!G11*'Family Register'!I11*G64</x:f>
        <x:v>21.75</x:v>
      </x:c>
      <x:c r="I64" s="37" t="n">
        <x:f>J63</x:f>
        <x:v>18.85</x:v>
      </x:c>
      <x:c r="J64" s="37" t="n">
        <x:f>MIN(F64,H64,I64)</x:f>
        <x:v>18.85</x:v>
      </x:c>
      <x:c r="K64" s="22" t="n">
        <x:v>0</x:v>
      </x:c>
      <x:c r="L64" s="22" t="n">
        <x:v>0</x:v>
      </x:c>
      <x:c r="M64" s="37" t="n">
        <x:f>K64*L64</x:f>
        <x:v>0</x:v>
      </x:c>
      <x:c r="N64" s="22" t="n">
        <x:v>0</x:v>
      </x:c>
      <x:c r="O64" s="37" t="n">
        <x:f>'Family Register'!H11*0.94</x:f>
        <x:v>315.84</x:v>
      </x:c>
      <x:c r="P64" s="37" t="n">
        <x:f>IF(AND(N64&gt;0,N64&lt;=O64),1,0)</x:f>
        <x:v>0</x:v>
      </x:c>
      <x:c r="Q64" s="22" t="n">
        <x:v>0</x:v>
      </x:c>
      <x:c r="R64" s="37" t="n">
        <x:f>IF(AND(P64=1,Q64=1),MIN(F64,M64,R63),0)</x:f>
        <x:v>0</x:v>
      </x:c>
      <x:c r="S64" s="23" t="str">
        <x:f>IF(R64&gt;=F64,"ADMITTED","NOT ADMITTED")</x:f>
        <x:v>NOT ADMITTED</x:v>
      </x:c>
    </x:row>
    <x:row r="65">
      <x:c r="B65" s="21" t="str">
        <x:v>SL-0059</x:v>
      </x:c>
      <x:c r="C65" s="21" t="str">
        <x:v>F05</x:v>
      </x:c>
      <x:c r="D65" s="21" t="n">
        <x:v>11</x:v>
      </x:c>
      <x:c r="E65" s="21" t="str">
        <x:v>Commissioned public service</x:v>
      </x:c>
      <x:c r="F65" s="37" t="n">
        <x:f>'Family Register'!L11</x:f>
        <x:v>20</x:v>
      </x:c>
      <x:c r="G65" s="37" t="n">
        <x:f>MIN(INDEX(Scenarios!$G$7:$G$12,Assumptions!C7),INDEX(Scenarios!$I$7:$I$12,Assumptions!C7))</x:f>
        <x:v>0.7</x:v>
      </x:c>
      <x:c r="H65" s="37" t="n">
        <x:f>'Family Register'!G11*'Family Register'!I11*G65</x:f>
        <x:v>20.299999999999997</x:v>
      </x:c>
      <x:c r="I65" s="37" t="n">
        <x:f>J64</x:f>
        <x:v>18.85</x:v>
      </x:c>
      <x:c r="J65" s="37" t="n">
        <x:f>MIN(F65,H65,I65)</x:f>
        <x:v>18.85</x:v>
      </x:c>
      <x:c r="K65" s="22" t="n">
        <x:v>0</x:v>
      </x:c>
      <x:c r="L65" s="22" t="n">
        <x:v>0</x:v>
      </x:c>
      <x:c r="M65" s="37" t="n">
        <x:f>K65*L65</x:f>
        <x:v>0</x:v>
      </x:c>
      <x:c r="N65" s="22" t="n">
        <x:v>0</x:v>
      </x:c>
      <x:c r="O65" s="37" t="n">
        <x:f>'Family Register'!H11*1</x:f>
        <x:v>336</x:v>
      </x:c>
      <x:c r="P65" s="37" t="n">
        <x:f>IF(AND(N65&gt;0,N65&lt;=O65),1,0)</x:f>
        <x:v>0</x:v>
      </x:c>
      <x:c r="Q65" s="22" t="n">
        <x:v>0</x:v>
      </x:c>
      <x:c r="R65" s="37" t="n">
        <x:f>IF(AND(P65=1,Q65=1),MIN(F65,M65,R64),0)</x:f>
        <x:v>0</x:v>
      </x:c>
      <x:c r="S65" s="23" t="str">
        <x:f>IF(R65&gt;=F65,"ADMITTED","NOT ADMITTED")</x:f>
        <x:v>NOT ADMITTED</x:v>
      </x:c>
    </x:row>
    <x:row r="66">
      <x:c r="B66" s="21" t="str">
        <x:v>SL-0060</x:v>
      </x:c>
      <x:c r="C66" s="21" t="str">
        <x:v>F05</x:v>
      </x:c>
      <x:c r="D66" s="21" t="n">
        <x:v>12</x:v>
      </x:c>
      <x:c r="E66" s="21" t="str">
        <x:v>Regeneration and replacement</x:v>
      </x:c>
      <x:c r="F66" s="37" t="n">
        <x:f>'Family Register'!L11</x:f>
        <x:v>20</x:v>
      </x:c>
      <x:c r="G66" s="37" t="n">
        <x:f>MIN(INDEX(Scenarios!$E$7:$E$12,Assumptions!C7),INDEX(Scenarios!$F$7:$F$12,Assumptions!C7))</x:f>
        <x:v>0.7</x:v>
      </x:c>
      <x:c r="H66" s="37" t="n">
        <x:f>'Family Register'!G11*'Family Register'!I11*G66</x:f>
        <x:v>20.299999999999997</x:v>
      </x:c>
      <x:c r="I66" s="37" t="n">
        <x:f>J65</x:f>
        <x:v>18.85</x:v>
      </x:c>
      <x:c r="J66" s="37" t="n">
        <x:f>MIN(F66,H66,I66)</x:f>
        <x:v>18.85</x:v>
      </x:c>
      <x:c r="K66" s="22" t="n">
        <x:v>0</x:v>
      </x:c>
      <x:c r="L66" s="22" t="n">
        <x:v>0</x:v>
      </x:c>
      <x:c r="M66" s="37" t="n">
        <x:f>K66*L66</x:f>
        <x:v>0</x:v>
      </x:c>
      <x:c r="N66" s="22" t="n">
        <x:v>0</x:v>
      </x:c>
      <x:c r="O66" s="37" t="n">
        <x:f>'Family Register'!H11+168</x:f>
        <x:v>504</x:v>
      </x:c>
      <x:c r="P66" s="37" t="n">
        <x:f>IF(AND(N66&gt;0,N66&lt;=O66),1,0)</x:f>
        <x:v>0</x:v>
      </x:c>
      <x:c r="Q66" s="22" t="n">
        <x:v>0</x:v>
      </x:c>
      <x:c r="R66" s="37" t="n">
        <x:f>IF(AND(P66=1,Q66=1),MIN(F66,M66,R65),0)</x:f>
        <x:v>0</x:v>
      </x:c>
      <x:c r="S66" s="23" t="str">
        <x:f>IF(R66&gt;=F66,"ADMITTED","NOT ADMITTED")</x:f>
        <x:v>NOT ADMITTED</x:v>
      </x:c>
    </x:row>
    <x:row r="67">
      <x:c r="B67" s="21" t="str">
        <x:v>SL-0061</x:v>
      </x:c>
      <x:c r="C67" s="21" t="str">
        <x:v>F06</x:v>
      </x:c>
      <x:c r="D67" s="21" t="n">
        <x:v>1</x:v>
      </x:c>
      <x:c r="E67" s="21" t="str">
        <x:v>Alert authentication</x:v>
      </x:c>
      <x:c r="F67" s="37" t="n">
        <x:f>'Family Register'!L12</x:f>
        <x:v>20</x:v>
      </x:c>
      <x:c r="G67" s="37" t="n">
        <x:f>INDEX(Scenarios!$K$7:$K$12,Assumptions!C7)</x:f>
        <x:v>0.75</x:v>
      </x:c>
      <x:c r="H67" s="37" t="n">
        <x:f>'Family Register'!G12*'Family Register'!I12*G67</x:f>
        <x:v>21.75</x:v>
      </x:c>
      <x:c r="I67" s="37" t="n">
        <x:f>F67</x:f>
        <x:v>20</x:v>
      </x:c>
      <x:c r="J67" s="37" t="n">
        <x:f>MIN(F67,H67,I67)</x:f>
        <x:v>20</x:v>
      </x:c>
      <x:c r="K67" s="22" t="n">
        <x:v>0</x:v>
      </x:c>
      <x:c r="L67" s="22" t="n">
        <x:v>0</x:v>
      </x:c>
      <x:c r="M67" s="37" t="n">
        <x:f>K67*L67</x:f>
        <x:v>0</x:v>
      </x:c>
      <x:c r="N67" s="22" t="n">
        <x:v>0</x:v>
      </x:c>
      <x:c r="O67" s="37" t="n">
        <x:f>2</x:f>
        <x:v>2</x:v>
      </x:c>
      <x:c r="P67" s="37" t="n">
        <x:f>IF(AND(N67&gt;0,N67&lt;=O67),1,0)</x:f>
        <x:v>0</x:v>
      </x:c>
      <x:c r="Q67" s="22" t="n">
        <x:v>0</x:v>
      </x:c>
      <x:c r="R67" s="37" t="n">
        <x:f>IF(AND(P67=1,Q67=1),MIN(F67,M67),0)</x:f>
        <x:v>0</x:v>
      </x:c>
      <x:c r="S67" s="23" t="str">
        <x:f>IF(R67&gt;=F67,"ADMITTED","NOT ADMITTED")</x:f>
        <x:v>NOT ADMITTED</x:v>
      </x:c>
    </x:row>
    <x:row r="68">
      <x:c r="B68" s="21" t="str">
        <x:v>SL-0062</x:v>
      </x:c>
      <x:c r="C68" s="21" t="str">
        <x:v>F06</x:v>
      </x:c>
      <x:c r="D68" s="21" t="n">
        <x:v>2</x:v>
      </x:c>
      <x:c r="E68" s="21" t="str">
        <x:v>Workforce muster</x:v>
      </x:c>
      <x:c r="F68" s="37" t="n">
        <x:f>'Family Register'!L12</x:f>
        <x:v>20</x:v>
      </x:c>
      <x:c r="G68" s="37" t="n">
        <x:f>INDEX(Scenarios!$J$7:$J$12,Assumptions!C7)</x:f>
        <x:v>0.8</x:v>
      </x:c>
      <x:c r="H68" s="37" t="n">
        <x:f>'Family Register'!G12*'Family Register'!I12*G68</x:f>
        <x:v>23.200000000000003</x:v>
      </x:c>
      <x:c r="I68" s="37" t="n">
        <x:f>J67</x:f>
        <x:v>20</x:v>
      </x:c>
      <x:c r="J68" s="37" t="n">
        <x:f>MIN(F68,H68,I68)</x:f>
        <x:v>20</x:v>
      </x:c>
      <x:c r="K68" s="22" t="n">
        <x:v>0</x:v>
      </x:c>
      <x:c r="L68" s="22" t="n">
        <x:v>0</x:v>
      </x:c>
      <x:c r="M68" s="37" t="n">
        <x:f>K68*L68</x:f>
        <x:v>0</x:v>
      </x:c>
      <x:c r="N68" s="22" t="n">
        <x:v>0</x:v>
      </x:c>
      <x:c r="O68" s="37" t="n">
        <x:f>12</x:f>
        <x:v>12</x:v>
      </x:c>
      <x:c r="P68" s="37" t="n">
        <x:f>IF(AND(N68&gt;0,N68&lt;=O68),1,0)</x:f>
        <x:v>0</x:v>
      </x:c>
      <x:c r="Q68" s="22" t="n">
        <x:v>0</x:v>
      </x:c>
      <x:c r="R68" s="37" t="n">
        <x:f>IF(AND(P68=1,Q68=1),MIN(F68,M68,R67),0)</x:f>
        <x:v>0</x:v>
      </x:c>
      <x:c r="S68" s="23" t="str">
        <x:f>IF(R68&gt;=F68,"ADMITTED","NOT ADMITTED")</x:f>
        <x:v>NOT ADMITTED</x:v>
      </x:c>
    </x:row>
    <x:row r="69">
      <x:c r="B69" s="21" t="str">
        <x:v>SL-0063</x:v>
      </x:c>
      <x:c r="C69" s="21" t="str">
        <x:v>F06</x:v>
      </x:c>
      <x:c r="D69" s="21" t="n">
        <x:v>3</x:v>
      </x:c>
      <x:c r="E69" s="21" t="str">
        <x:v>Facility utility and safe start</x:v>
      </x:c>
      <x:c r="F69" s="37" t="n">
        <x:f>'Family Register'!L12</x:f>
        <x:v>20</x:v>
      </x:c>
      <x:c r="G69" s="37" t="n">
        <x:f>INDEX(Scenarios!$G$7:$G$12,Assumptions!C7)</x:f>
        <x:v>0.7</x:v>
      </x:c>
      <x:c r="H69" s="37" t="n">
        <x:f>'Family Register'!G12*'Family Register'!I12*G69</x:f>
        <x:v>20.299999999999997</x:v>
      </x:c>
      <x:c r="I69" s="37" t="n">
        <x:f>J68</x:f>
        <x:v>20</x:v>
      </x:c>
      <x:c r="J69" s="37" t="n">
        <x:f>MIN(F69,H69,I69)</x:f>
        <x:v>20</x:v>
      </x:c>
      <x:c r="K69" s="22" t="n">
        <x:v>0</x:v>
      </x:c>
      <x:c r="L69" s="22" t="n">
        <x:v>0</x:v>
      </x:c>
      <x:c r="M69" s="37" t="n">
        <x:f>K69*L69</x:f>
        <x:v>0</x:v>
      </x:c>
      <x:c r="N69" s="22" t="n">
        <x:v>0</x:v>
      </x:c>
      <x:c r="O69" s="37" t="n">
        <x:f>24</x:f>
        <x:v>24</x:v>
      </x:c>
      <x:c r="P69" s="37" t="n">
        <x:f>IF(AND(N69&gt;0,N69&lt;=O69),1,0)</x:f>
        <x:v>0</x:v>
      </x:c>
      <x:c r="Q69" s="22" t="n">
        <x:v>0</x:v>
      </x:c>
      <x:c r="R69" s="37" t="n">
        <x:f>IF(AND(P69=1,Q69=1),MIN(F69,M69,R68),0)</x:f>
        <x:v>0</x:v>
      </x:c>
      <x:c r="S69" s="23" t="str">
        <x:f>IF(R69&gt;=F69,"ADMITTED","NOT ADMITTED")</x:f>
        <x:v>NOT ADMITTED</x:v>
      </x:c>
    </x:row>
    <x:row r="70">
      <x:c r="B70" s="21" t="str">
        <x:v>SL-0064</x:v>
      </x:c>
      <x:c r="C70" s="21" t="str">
        <x:v>F06</x:v>
      </x:c>
      <x:c r="D70" s="21" t="n">
        <x:v>4</x:v>
      </x:c>
      <x:c r="E70" s="21" t="str">
        <x:v>Material tooling and instrument release</x:v>
      </x:c>
      <x:c r="F70" s="37" t="n">
        <x:f>'Family Register'!L12</x:f>
        <x:v>20</x:v>
      </x:c>
      <x:c r="G70" s="37" t="n">
        <x:f>INDEX(Scenarios!$E$7:$E$12,Assumptions!C7)</x:f>
        <x:v>0.75</x:v>
      </x:c>
      <x:c r="H70" s="37" t="n">
        <x:f>'Family Register'!G12*'Family Register'!I12*G70</x:f>
        <x:v>21.75</x:v>
      </x:c>
      <x:c r="I70" s="37" t="n">
        <x:f>J69</x:f>
        <x:v>20</x:v>
      </x:c>
      <x:c r="J70" s="37" t="n">
        <x:f>MIN(F70,H70,I70)</x:f>
        <x:v>20</x:v>
      </x:c>
      <x:c r="K70" s="22" t="n">
        <x:v>0</x:v>
      </x:c>
      <x:c r="L70" s="22" t="n">
        <x:v>0</x:v>
      </x:c>
      <x:c r="M70" s="37" t="n">
        <x:f>K70*L70</x:f>
        <x:v>0</x:v>
      </x:c>
      <x:c r="N70" s="22" t="n">
        <x:v>0</x:v>
      </x:c>
      <x:c r="O70" s="37" t="n">
        <x:f>36</x:f>
        <x:v>36</x:v>
      </x:c>
      <x:c r="P70" s="37" t="n">
        <x:f>IF(AND(N70&gt;0,N70&lt;=O70),1,0)</x:f>
        <x:v>0</x:v>
      </x:c>
      <x:c r="Q70" s="22" t="n">
        <x:v>0</x:v>
      </x:c>
      <x:c r="R70" s="37" t="n">
        <x:f>IF(AND(P70=1,Q70=1),MIN(F70,M70,R69),0)</x:f>
        <x:v>0</x:v>
      </x:c>
      <x:c r="S70" s="23" t="str">
        <x:f>IF(R70&gt;=F70,"ADMITTED","NOT ADMITTED")</x:f>
        <x:v>NOT ADMITTED</x:v>
      </x:c>
    </x:row>
    <x:row r="71">
      <x:c r="B71" s="21" t="str">
        <x:v>SL-0065</x:v>
      </x:c>
      <x:c r="C71" s="21" t="str">
        <x:v>F06</x:v>
      </x:c>
      <x:c r="D71" s="21" t="n">
        <x:v>5</x:v>
      </x:c>
      <x:c r="E71" s="21" t="str">
        <x:v>Supplier and process activation</x:v>
      </x:c>
      <x:c r="F71" s="37" t="n">
        <x:f>'Family Register'!L12</x:f>
        <x:v>20</x:v>
      </x:c>
      <x:c r="G71" s="37" t="n">
        <x:f>MIN(INDEX(Scenarios!$E$7:$E$12,Assumptions!C7),INDEX(Scenarios!$F$7:$F$12,Assumptions!C7))</x:f>
        <x:v>0.7</x:v>
      </x:c>
      <x:c r="H71" s="37" t="n">
        <x:f>'Family Register'!G12*'Family Register'!I12*G71</x:f>
        <x:v>20.299999999999997</x:v>
      </x:c>
      <x:c r="I71" s="37" t="n">
        <x:f>J70</x:f>
        <x:v>20</x:v>
      </x:c>
      <x:c r="J71" s="37" t="n">
        <x:f>MIN(F71,H71,I71)</x:f>
        <x:v>20</x:v>
      </x:c>
      <x:c r="K71" s="22" t="n">
        <x:v>0</x:v>
      </x:c>
      <x:c r="L71" s="22" t="n">
        <x:v>0</x:v>
      </x:c>
      <x:c r="M71" s="37" t="n">
        <x:f>K71*L71</x:f>
        <x:v>0</x:v>
      </x:c>
      <x:c r="N71" s="22" t="n">
        <x:v>0</x:v>
      </x:c>
      <x:c r="O71" s="37" t="n">
        <x:f>48</x:f>
        <x:v>48</x:v>
      </x:c>
      <x:c r="P71" s="37" t="n">
        <x:f>IF(AND(N71&gt;0,N71&lt;=O71),1,0)</x:f>
        <x:v>0</x:v>
      </x:c>
      <x:c r="Q71" s="22" t="n">
        <x:v>0</x:v>
      </x:c>
      <x:c r="R71" s="37" t="n">
        <x:f>IF(AND(P71=1,Q71=1),MIN(F71,M71,R70),0)</x:f>
        <x:v>0</x:v>
      </x:c>
      <x:c r="S71" s="23" t="str">
        <x:f>IF(R71&gt;=F71,"ADMITTED","NOT ADMITTED")</x:f>
        <x:v>NOT ADMITTED</x:v>
      </x:c>
    </x:row>
    <x:row r="72">
      <x:c r="B72" s="21" t="str">
        <x:v>SL-0066</x:v>
      </x:c>
      <x:c r="C72" s="21" t="str">
        <x:v>F06</x:v>
      </x:c>
      <x:c r="D72" s="21" t="n">
        <x:v>6</x:v>
      </x:c>
      <x:c r="E72" s="21" t="str">
        <x:v>Conforming production</x:v>
      </x:c>
      <x:c r="F72" s="37" t="n">
        <x:f>'Family Register'!L12</x:f>
        <x:v>20</x:v>
      </x:c>
      <x:c r="G72" s="37" t="n">
        <x:f>INDEX(Scenarios!$F$7:$F$12,Assumptions!C7)</x:f>
        <x:v>0.7</x:v>
      </x:c>
      <x:c r="H72" s="37" t="n">
        <x:f>'Family Register'!G12*'Family Register'!I12*G72</x:f>
        <x:v>20.299999999999997</x:v>
      </x:c>
      <x:c r="I72" s="37" t="n">
        <x:f>J71</x:f>
        <x:v>20</x:v>
      </x:c>
      <x:c r="J72" s="37" t="n">
        <x:f>MIN(F72,H72,I72)</x:f>
        <x:v>20</x:v>
      </x:c>
      <x:c r="K72" s="22" t="n">
        <x:v>0</x:v>
      </x:c>
      <x:c r="L72" s="22" t="n">
        <x:v>0</x:v>
      </x:c>
      <x:c r="M72" s="37" t="n">
        <x:f>K72*L72</x:f>
        <x:v>0</x:v>
      </x:c>
      <x:c r="N72" s="22" t="n">
        <x:v>0</x:v>
      </x:c>
      <x:c r="O72" s="37" t="n">
        <x:f>'Family Register'!H12*0.55</x:f>
        <x:v>184.8</x:v>
      </x:c>
      <x:c r="P72" s="37" t="n">
        <x:f>IF(AND(N72&gt;0,N72&lt;=O72),1,0)</x:f>
        <x:v>0</x:v>
      </x:c>
      <x:c r="Q72" s="22" t="n">
        <x:v>0</x:v>
      </x:c>
      <x:c r="R72" s="37" t="n">
        <x:f>IF(AND(P72=1,Q72=1),MIN(F72,M72,R71),0)</x:f>
        <x:v>0</x:v>
      </x:c>
      <x:c r="S72" s="23" t="str">
        <x:f>IF(R72&gt;=F72,"ADMITTED","NOT ADMITTED")</x:f>
        <x:v>NOT ADMITTED</x:v>
      </x:c>
    </x:row>
    <x:row r="73">
      <x:c r="B73" s="21" t="str">
        <x:v>SL-0067</x:v>
      </x:c>
      <x:c r="C73" s="21" t="str">
        <x:v>F06</x:v>
      </x:c>
      <x:c r="D73" s="21" t="n">
        <x:v>7</x:v>
      </x:c>
      <x:c r="E73" s="21" t="str">
        <x:v>Independent acceptance</x:v>
      </x:c>
      <x:c r="F73" s="37" t="n">
        <x:f>'Family Register'!L12</x:f>
        <x:v>20</x:v>
      </x:c>
      <x:c r="G73" s="37" t="n">
        <x:f>INDEX(Scenarios!$L$7:$L$12,Assumptions!C7)</x:f>
        <x:v>0.8</x:v>
      </x:c>
      <x:c r="H73" s="37" t="n">
        <x:f>'Family Register'!G12*'Family Register'!I12*G73</x:f>
        <x:v>23.200000000000003</x:v>
      </x:c>
      <x:c r="I73" s="37" t="n">
        <x:f>J72</x:f>
        <x:v>20</x:v>
      </x:c>
      <x:c r="J73" s="37" t="n">
        <x:f>MIN(F73,H73,I73)</x:f>
        <x:v>20</x:v>
      </x:c>
      <x:c r="K73" s="22" t="n">
        <x:v>0</x:v>
      </x:c>
      <x:c r="L73" s="22" t="n">
        <x:v>0</x:v>
      </x:c>
      <x:c r="M73" s="37" t="n">
        <x:f>K73*L73</x:f>
        <x:v>0</x:v>
      </x:c>
      <x:c r="N73" s="22" t="n">
        <x:v>0</x:v>
      </x:c>
      <x:c r="O73" s="37" t="n">
        <x:f>'Family Register'!H12*0.65</x:f>
        <x:v>218.4</x:v>
      </x:c>
      <x:c r="P73" s="37" t="n">
        <x:f>IF(AND(N73&gt;0,N73&lt;=O73),1,0)</x:f>
        <x:v>0</x:v>
      </x:c>
      <x:c r="Q73" s="22" t="n">
        <x:v>0</x:v>
      </x:c>
      <x:c r="R73" s="37" t="n">
        <x:f>IF(AND(P73=1,Q73=1),MIN(F73,M73,R72),0)</x:f>
        <x:v>0</x:v>
      </x:c>
      <x:c r="S73" s="23" t="str">
        <x:f>IF(R73&gt;=F73,"ADMITTED","NOT ADMITTED")</x:f>
        <x:v>NOT ADMITTED</x:v>
      </x:c>
    </x:row>
    <x:row r="74">
      <x:c r="B74" s="21" t="str">
        <x:v>SL-0068</x:v>
      </x:c>
      <x:c r="C74" s="21" t="str">
        <x:v>F06</x:v>
      </x:c>
      <x:c r="D74" s="21" t="n">
        <x:v>8</x:v>
      </x:c>
      <x:c r="E74" s="21" t="str">
        <x:v>Loadout and custody transfer</x:v>
      </x:c>
      <x:c r="F74" s="37" t="n">
        <x:f>'Family Register'!L12</x:f>
        <x:v>20</x:v>
      </x:c>
      <x:c r="G74" s="37" t="n">
        <x:f>INDEX(Scenarios!$H$7:$H$12,Assumptions!C7)</x:f>
        <x:v>0.65</x:v>
      </x:c>
      <x:c r="H74" s="37" t="n">
        <x:f>'Family Register'!G12*'Family Register'!I12*G74</x:f>
        <x:v>18.85</x:v>
      </x:c>
      <x:c r="I74" s="37" t="n">
        <x:f>J73</x:f>
        <x:v>20</x:v>
      </x:c>
      <x:c r="J74" s="37" t="n">
        <x:f>MIN(F74,H74,I74)</x:f>
        <x:v>18.85</x:v>
      </x:c>
      <x:c r="K74" s="22" t="n">
        <x:v>0</x:v>
      </x:c>
      <x:c r="L74" s="22" t="n">
        <x:v>0</x:v>
      </x:c>
      <x:c r="M74" s="37" t="n">
        <x:f>K74*L74</x:f>
        <x:v>0</x:v>
      </x:c>
      <x:c r="N74" s="22" t="n">
        <x:v>0</x:v>
      </x:c>
      <x:c r="O74" s="37" t="n">
        <x:f>'Family Register'!H12*0.7</x:f>
        <x:v>235.2</x:v>
      </x:c>
      <x:c r="P74" s="37" t="n">
        <x:f>IF(AND(N74&gt;0,N74&lt;=O74),1,0)</x:f>
        <x:v>0</x:v>
      </x:c>
      <x:c r="Q74" s="22" t="n">
        <x:v>0</x:v>
      </x:c>
      <x:c r="R74" s="37" t="n">
        <x:f>IF(AND(P74=1,Q74=1),MIN(F74,M74,R73),0)</x:f>
        <x:v>0</x:v>
      </x:c>
      <x:c r="S74" s="23" t="str">
        <x:f>IF(R74&gt;=F74,"ADMITTED","NOT ADMITTED")</x:f>
        <x:v>NOT ADMITTED</x:v>
      </x:c>
    </x:row>
    <x:row r="75">
      <x:c r="B75" s="21" t="str">
        <x:v>SL-0069</x:v>
      </x:c>
      <x:c r="C75" s="21" t="str">
        <x:v>F06</x:v>
      </x:c>
      <x:c r="D75" s="21" t="n">
        <x:v>9</x:v>
      </x:c>
      <x:c r="E75" s="21" t="str">
        <x:v>Strategic transport</x:v>
      </x:c>
      <x:c r="F75" s="37" t="n">
        <x:f>'Family Register'!L12</x:f>
        <x:v>20</x:v>
      </x:c>
      <x:c r="G75" s="37" t="n">
        <x:f>INDEX(Scenarios!$H$7:$H$12,Assumptions!C7)</x:f>
        <x:v>0.65</x:v>
      </x:c>
      <x:c r="H75" s="37" t="n">
        <x:f>'Family Register'!G12*'Family Register'!I12*G75</x:f>
        <x:v>18.85</x:v>
      </x:c>
      <x:c r="I75" s="37" t="n">
        <x:f>J74</x:f>
        <x:v>18.85</x:v>
      </x:c>
      <x:c r="J75" s="37" t="n">
        <x:f>MIN(F75,H75,I75)</x:f>
        <x:v>18.85</x:v>
      </x:c>
      <x:c r="K75" s="22" t="n">
        <x:v>0</x:v>
      </x:c>
      <x:c r="L75" s="22" t="n">
        <x:v>0</x:v>
      </x:c>
      <x:c r="M75" s="37" t="n">
        <x:f>K75*L75</x:f>
        <x:v>0</x:v>
      </x:c>
      <x:c r="N75" s="22" t="n">
        <x:v>0</x:v>
      </x:c>
      <x:c r="O75" s="37" t="n">
        <x:f>'Family Register'!H12*0.9</x:f>
        <x:v>302.40000000000003</x:v>
      </x:c>
      <x:c r="P75" s="37" t="n">
        <x:f>IF(AND(N75&gt;0,N75&lt;=O75),1,0)</x:f>
        <x:v>0</x:v>
      </x:c>
      <x:c r="Q75" s="22" t="n">
        <x:v>0</x:v>
      </x:c>
      <x:c r="R75" s="37" t="n">
        <x:f>IF(AND(P75=1,Q75=1),MIN(F75,M75,R74),0)</x:f>
        <x:v>0</x:v>
      </x:c>
      <x:c r="S75" s="23" t="str">
        <x:f>IF(R75&gt;=F75,"ADMITTED","NOT ADMITTED")</x:f>
        <x:v>NOT ADMITTED</x:v>
      </x:c>
    </x:row>
    <x:row r="76">
      <x:c r="B76" s="21" t="str">
        <x:v>SL-0070</x:v>
      </x:c>
      <x:c r="C76" s="21" t="str">
        <x:v>F06</x:v>
      </x:c>
      <x:c r="D76" s="21" t="n">
        <x:v>10</x:v>
      </x:c>
      <x:c r="E76" s="21" t="str">
        <x:v>Receiving-node admission</x:v>
      </x:c>
      <x:c r="F76" s="37" t="n">
        <x:f>'Family Register'!L12</x:f>
        <x:v>20</x:v>
      </x:c>
      <x:c r="G76" s="37" t="n">
        <x:f>INDEX(Scenarios!$I$7:$I$12,Assumptions!C7)</x:f>
        <x:v>0.75</x:v>
      </x:c>
      <x:c r="H76" s="37" t="n">
        <x:f>'Family Register'!G12*'Family Register'!I12*G76</x:f>
        <x:v>21.75</x:v>
      </x:c>
      <x:c r="I76" s="37" t="n">
        <x:f>J75</x:f>
        <x:v>18.85</x:v>
      </x:c>
      <x:c r="J76" s="37" t="n">
        <x:f>MIN(F76,H76,I76)</x:f>
        <x:v>18.85</x:v>
      </x:c>
      <x:c r="K76" s="22" t="n">
        <x:v>0</x:v>
      </x:c>
      <x:c r="L76" s="22" t="n">
        <x:v>0</x:v>
      </x:c>
      <x:c r="M76" s="37" t="n">
        <x:f>K76*L76</x:f>
        <x:v>0</x:v>
      </x:c>
      <x:c r="N76" s="22" t="n">
        <x:v>0</x:v>
      </x:c>
      <x:c r="O76" s="37" t="n">
        <x:f>'Family Register'!H12*0.94</x:f>
        <x:v>315.84</x:v>
      </x:c>
      <x:c r="P76" s="37" t="n">
        <x:f>IF(AND(N76&gt;0,N76&lt;=O76),1,0)</x:f>
        <x:v>0</x:v>
      </x:c>
      <x:c r="Q76" s="22" t="n">
        <x:v>0</x:v>
      </x:c>
      <x:c r="R76" s="37" t="n">
        <x:f>IF(AND(P76=1,Q76=1),MIN(F76,M76,R75),0)</x:f>
        <x:v>0</x:v>
      </x:c>
      <x:c r="S76" s="23" t="str">
        <x:f>IF(R76&gt;=F76,"ADMITTED","NOT ADMITTED")</x:f>
        <x:v>NOT ADMITTED</x:v>
      </x:c>
    </x:row>
    <x:row r="77">
      <x:c r="B77" s="21" t="str">
        <x:v>SL-0071</x:v>
      </x:c>
      <x:c r="C77" s="21" t="str">
        <x:v>F06</x:v>
      </x:c>
      <x:c r="D77" s="21" t="n">
        <x:v>11</x:v>
      </x:c>
      <x:c r="E77" s="21" t="str">
        <x:v>Commissioned public service</x:v>
      </x:c>
      <x:c r="F77" s="37" t="n">
        <x:f>'Family Register'!L12</x:f>
        <x:v>20</x:v>
      </x:c>
      <x:c r="G77" s="37" t="n">
        <x:f>MIN(INDEX(Scenarios!$G$7:$G$12,Assumptions!C7),INDEX(Scenarios!$I$7:$I$12,Assumptions!C7))</x:f>
        <x:v>0.7</x:v>
      </x:c>
      <x:c r="H77" s="37" t="n">
        <x:f>'Family Register'!G12*'Family Register'!I12*G77</x:f>
        <x:v>20.299999999999997</x:v>
      </x:c>
      <x:c r="I77" s="37" t="n">
        <x:f>J76</x:f>
        <x:v>18.85</x:v>
      </x:c>
      <x:c r="J77" s="37" t="n">
        <x:f>MIN(F77,H77,I77)</x:f>
        <x:v>18.85</x:v>
      </x:c>
      <x:c r="K77" s="22" t="n">
        <x:v>0</x:v>
      </x:c>
      <x:c r="L77" s="22" t="n">
        <x:v>0</x:v>
      </x:c>
      <x:c r="M77" s="37" t="n">
        <x:f>K77*L77</x:f>
        <x:v>0</x:v>
      </x:c>
      <x:c r="N77" s="22" t="n">
        <x:v>0</x:v>
      </x:c>
      <x:c r="O77" s="37" t="n">
        <x:f>'Family Register'!H12*1</x:f>
        <x:v>336</x:v>
      </x:c>
      <x:c r="P77" s="37" t="n">
        <x:f>IF(AND(N77&gt;0,N77&lt;=O77),1,0)</x:f>
        <x:v>0</x:v>
      </x:c>
      <x:c r="Q77" s="22" t="n">
        <x:v>0</x:v>
      </x:c>
      <x:c r="R77" s="37" t="n">
        <x:f>IF(AND(P77=1,Q77=1),MIN(F77,M77,R76),0)</x:f>
        <x:v>0</x:v>
      </x:c>
      <x:c r="S77" s="23" t="str">
        <x:f>IF(R77&gt;=F77,"ADMITTED","NOT ADMITTED")</x:f>
        <x:v>NOT ADMITTED</x:v>
      </x:c>
    </x:row>
    <x:row r="78">
      <x:c r="B78" s="21" t="str">
        <x:v>SL-0072</x:v>
      </x:c>
      <x:c r="C78" s="21" t="str">
        <x:v>F06</x:v>
      </x:c>
      <x:c r="D78" s="21" t="n">
        <x:v>12</x:v>
      </x:c>
      <x:c r="E78" s="21" t="str">
        <x:v>Regeneration and replacement</x:v>
      </x:c>
      <x:c r="F78" s="37" t="n">
        <x:f>'Family Register'!L12</x:f>
        <x:v>20</x:v>
      </x:c>
      <x:c r="G78" s="37" t="n">
        <x:f>MIN(INDEX(Scenarios!$E$7:$E$12,Assumptions!C7),INDEX(Scenarios!$F$7:$F$12,Assumptions!C7))</x:f>
        <x:v>0.7</x:v>
      </x:c>
      <x:c r="H78" s="37" t="n">
        <x:f>'Family Register'!G12*'Family Register'!I12*G78</x:f>
        <x:v>20.299999999999997</x:v>
      </x:c>
      <x:c r="I78" s="37" t="n">
        <x:f>J77</x:f>
        <x:v>18.85</x:v>
      </x:c>
      <x:c r="J78" s="37" t="n">
        <x:f>MIN(F78,H78,I78)</x:f>
        <x:v>18.85</x:v>
      </x:c>
      <x:c r="K78" s="22" t="n">
        <x:v>0</x:v>
      </x:c>
      <x:c r="L78" s="22" t="n">
        <x:v>0</x:v>
      </x:c>
      <x:c r="M78" s="37" t="n">
        <x:f>K78*L78</x:f>
        <x:v>0</x:v>
      </x:c>
      <x:c r="N78" s="22" t="n">
        <x:v>0</x:v>
      </x:c>
      <x:c r="O78" s="37" t="n">
        <x:f>'Family Register'!H12+168</x:f>
        <x:v>504</x:v>
      </x:c>
      <x:c r="P78" s="37" t="n">
        <x:f>IF(AND(N78&gt;0,N78&lt;=O78),1,0)</x:f>
        <x:v>0</x:v>
      </x:c>
      <x:c r="Q78" s="22" t="n">
        <x:v>0</x:v>
      </x:c>
      <x:c r="R78" s="37" t="n">
        <x:f>IF(AND(P78=1,Q78=1),MIN(F78,M78,R77),0)</x:f>
        <x:v>0</x:v>
      </x:c>
      <x:c r="S78" s="23" t="str">
        <x:f>IF(R78&gt;=F78,"ADMITTED","NOT ADMITTED")</x:f>
        <x:v>NOT ADMITTED</x:v>
      </x:c>
    </x:row>
    <x:row r="79">
      <x:c r="B79" s="21" t="str">
        <x:v>SL-0073</x:v>
      </x:c>
      <x:c r="C79" s="21" t="str">
        <x:v>F07</x:v>
      </x:c>
      <x:c r="D79" s="21" t="n">
        <x:v>1</x:v>
      </x:c>
      <x:c r="E79" s="21" t="str">
        <x:v>Alert authentication</x:v>
      </x:c>
      <x:c r="F79" s="37" t="n">
        <x:f>'Family Register'!L13</x:f>
        <x:v>8</x:v>
      </x:c>
      <x:c r="G79" s="37" t="n">
        <x:f>INDEX(Scenarios!$K$7:$K$12,Assumptions!C7)</x:f>
        <x:v>0.75</x:v>
      </x:c>
      <x:c r="H79" s="37" t="n">
        <x:f>'Family Register'!G13*'Family Register'!I13*G79</x:f>
        <x:v>7.800000000000001</x:v>
      </x:c>
      <x:c r="I79" s="37" t="n">
        <x:f>F79</x:f>
        <x:v>8</x:v>
      </x:c>
      <x:c r="J79" s="37" t="n">
        <x:f>MIN(F79,H79,I79)</x:f>
        <x:v>7.800000000000001</x:v>
      </x:c>
      <x:c r="K79" s="22" t="n">
        <x:v>0</x:v>
      </x:c>
      <x:c r="L79" s="22" t="n">
        <x:v>0</x:v>
      </x:c>
      <x:c r="M79" s="37" t="n">
        <x:f>K79*L79</x:f>
        <x:v>0</x:v>
      </x:c>
      <x:c r="N79" s="22" t="n">
        <x:v>0</x:v>
      </x:c>
      <x:c r="O79" s="37" t="n">
        <x:f>2</x:f>
        <x:v>2</x:v>
      </x:c>
      <x:c r="P79" s="37" t="n">
        <x:f>IF(AND(N79&gt;0,N79&lt;=O79),1,0)</x:f>
        <x:v>0</x:v>
      </x:c>
      <x:c r="Q79" s="22" t="n">
        <x:v>0</x:v>
      </x:c>
      <x:c r="R79" s="37" t="n">
        <x:f>IF(AND(P79=1,Q79=1),MIN(F79,M79),0)</x:f>
        <x:v>0</x:v>
      </x:c>
      <x:c r="S79" s="23" t="str">
        <x:f>IF(R79&gt;=F79,"ADMITTED","NOT ADMITTED")</x:f>
        <x:v>NOT ADMITTED</x:v>
      </x:c>
    </x:row>
    <x:row r="80">
      <x:c r="B80" s="21" t="str">
        <x:v>SL-0074</x:v>
      </x:c>
      <x:c r="C80" s="21" t="str">
        <x:v>F07</x:v>
      </x:c>
      <x:c r="D80" s="21" t="n">
        <x:v>2</x:v>
      </x:c>
      <x:c r="E80" s="21" t="str">
        <x:v>Workforce muster</x:v>
      </x:c>
      <x:c r="F80" s="37" t="n">
        <x:f>'Family Register'!L13</x:f>
        <x:v>8</x:v>
      </x:c>
      <x:c r="G80" s="37" t="n">
        <x:f>INDEX(Scenarios!$J$7:$J$12,Assumptions!C7)</x:f>
        <x:v>0.8</x:v>
      </x:c>
      <x:c r="H80" s="37" t="n">
        <x:f>'Family Register'!G13*'Family Register'!I13*G80</x:f>
        <x:v>8.32</x:v>
      </x:c>
      <x:c r="I80" s="37" t="n">
        <x:f>J79</x:f>
        <x:v>7.800000000000001</x:v>
      </x:c>
      <x:c r="J80" s="37" t="n">
        <x:f>MIN(F80,H80,I80)</x:f>
        <x:v>7.800000000000001</x:v>
      </x:c>
      <x:c r="K80" s="22" t="n">
        <x:v>0</x:v>
      </x:c>
      <x:c r="L80" s="22" t="n">
        <x:v>0</x:v>
      </x:c>
      <x:c r="M80" s="37" t="n">
        <x:f>K80*L80</x:f>
        <x:v>0</x:v>
      </x:c>
      <x:c r="N80" s="22" t="n">
        <x:v>0</x:v>
      </x:c>
      <x:c r="O80" s="37" t="n">
        <x:f>12</x:f>
        <x:v>12</x:v>
      </x:c>
      <x:c r="P80" s="37" t="n">
        <x:f>IF(AND(N80&gt;0,N80&lt;=O80),1,0)</x:f>
        <x:v>0</x:v>
      </x:c>
      <x:c r="Q80" s="22" t="n">
        <x:v>0</x:v>
      </x:c>
      <x:c r="R80" s="37" t="n">
        <x:f>IF(AND(P80=1,Q80=1),MIN(F80,M80,R79),0)</x:f>
        <x:v>0</x:v>
      </x:c>
      <x:c r="S80" s="23" t="str">
        <x:f>IF(R80&gt;=F80,"ADMITTED","NOT ADMITTED")</x:f>
        <x:v>NOT ADMITTED</x:v>
      </x:c>
    </x:row>
    <x:row r="81">
      <x:c r="B81" s="21" t="str">
        <x:v>SL-0075</x:v>
      </x:c>
      <x:c r="C81" s="21" t="str">
        <x:v>F07</x:v>
      </x:c>
      <x:c r="D81" s="21" t="n">
        <x:v>3</x:v>
      </x:c>
      <x:c r="E81" s="21" t="str">
        <x:v>Facility utility and safe start</x:v>
      </x:c>
      <x:c r="F81" s="37" t="n">
        <x:f>'Family Register'!L13</x:f>
        <x:v>8</x:v>
      </x:c>
      <x:c r="G81" s="37" t="n">
        <x:f>INDEX(Scenarios!$G$7:$G$12,Assumptions!C7)</x:f>
        <x:v>0.7</x:v>
      </x:c>
      <x:c r="H81" s="37" t="n">
        <x:f>'Family Register'!G13*'Family Register'!I13*G81</x:f>
        <x:v>7.279999999999999</x:v>
      </x:c>
      <x:c r="I81" s="37" t="n">
        <x:f>J80</x:f>
        <x:v>7.800000000000001</x:v>
      </x:c>
      <x:c r="J81" s="37" t="n">
        <x:f>MIN(F81,H81,I81)</x:f>
        <x:v>7.279999999999999</x:v>
      </x:c>
      <x:c r="K81" s="22" t="n">
        <x:v>0</x:v>
      </x:c>
      <x:c r="L81" s="22" t="n">
        <x:v>0</x:v>
      </x:c>
      <x:c r="M81" s="37" t="n">
        <x:f>K81*L81</x:f>
        <x:v>0</x:v>
      </x:c>
      <x:c r="N81" s="22" t="n">
        <x:v>0</x:v>
      </x:c>
      <x:c r="O81" s="37" t="n">
        <x:f>24</x:f>
        <x:v>24</x:v>
      </x:c>
      <x:c r="P81" s="37" t="n">
        <x:f>IF(AND(N81&gt;0,N81&lt;=O81),1,0)</x:f>
        <x:v>0</x:v>
      </x:c>
      <x:c r="Q81" s="22" t="n">
        <x:v>0</x:v>
      </x:c>
      <x:c r="R81" s="37" t="n">
        <x:f>IF(AND(P81=1,Q81=1),MIN(F81,M81,R80),0)</x:f>
        <x:v>0</x:v>
      </x:c>
      <x:c r="S81" s="23" t="str">
        <x:f>IF(R81&gt;=F81,"ADMITTED","NOT ADMITTED")</x:f>
        <x:v>NOT ADMITTED</x:v>
      </x:c>
    </x:row>
    <x:row r="82">
      <x:c r="B82" s="21" t="str">
        <x:v>SL-0076</x:v>
      </x:c>
      <x:c r="C82" s="21" t="str">
        <x:v>F07</x:v>
      </x:c>
      <x:c r="D82" s="21" t="n">
        <x:v>4</x:v>
      </x:c>
      <x:c r="E82" s="21" t="str">
        <x:v>Material tooling and instrument release</x:v>
      </x:c>
      <x:c r="F82" s="37" t="n">
        <x:f>'Family Register'!L13</x:f>
        <x:v>8</x:v>
      </x:c>
      <x:c r="G82" s="37" t="n">
        <x:f>INDEX(Scenarios!$E$7:$E$12,Assumptions!C7)</x:f>
        <x:v>0.75</x:v>
      </x:c>
      <x:c r="H82" s="37" t="n">
        <x:f>'Family Register'!G13*'Family Register'!I13*G82</x:f>
        <x:v>7.800000000000001</x:v>
      </x:c>
      <x:c r="I82" s="37" t="n">
        <x:f>J81</x:f>
        <x:v>7.279999999999999</x:v>
      </x:c>
      <x:c r="J82" s="37" t="n">
        <x:f>MIN(F82,H82,I82)</x:f>
        <x:v>7.279999999999999</x:v>
      </x:c>
      <x:c r="K82" s="22" t="n">
        <x:v>0</x:v>
      </x:c>
      <x:c r="L82" s="22" t="n">
        <x:v>0</x:v>
      </x:c>
      <x:c r="M82" s="37" t="n">
        <x:f>K82*L82</x:f>
        <x:v>0</x:v>
      </x:c>
      <x:c r="N82" s="22" t="n">
        <x:v>0</x:v>
      </x:c>
      <x:c r="O82" s="37" t="n">
        <x:f>36</x:f>
        <x:v>36</x:v>
      </x:c>
      <x:c r="P82" s="37" t="n">
        <x:f>IF(AND(N82&gt;0,N82&lt;=O82),1,0)</x:f>
        <x:v>0</x:v>
      </x:c>
      <x:c r="Q82" s="22" t="n">
        <x:v>0</x:v>
      </x:c>
      <x:c r="R82" s="37" t="n">
        <x:f>IF(AND(P82=1,Q82=1),MIN(F82,M82,R81),0)</x:f>
        <x:v>0</x:v>
      </x:c>
      <x:c r="S82" s="23" t="str">
        <x:f>IF(R82&gt;=F82,"ADMITTED","NOT ADMITTED")</x:f>
        <x:v>NOT ADMITTED</x:v>
      </x:c>
    </x:row>
    <x:row r="83">
      <x:c r="B83" s="21" t="str">
        <x:v>SL-0077</x:v>
      </x:c>
      <x:c r="C83" s="21" t="str">
        <x:v>F07</x:v>
      </x:c>
      <x:c r="D83" s="21" t="n">
        <x:v>5</x:v>
      </x:c>
      <x:c r="E83" s="21" t="str">
        <x:v>Supplier and process activation</x:v>
      </x:c>
      <x:c r="F83" s="37" t="n">
        <x:f>'Family Register'!L13</x:f>
        <x:v>8</x:v>
      </x:c>
      <x:c r="G83" s="37" t="n">
        <x:f>MIN(INDEX(Scenarios!$E$7:$E$12,Assumptions!C7),INDEX(Scenarios!$F$7:$F$12,Assumptions!C7))</x:f>
        <x:v>0.7</x:v>
      </x:c>
      <x:c r="H83" s="37" t="n">
        <x:f>'Family Register'!G13*'Family Register'!I13*G83</x:f>
        <x:v>7.279999999999999</x:v>
      </x:c>
      <x:c r="I83" s="37" t="n">
        <x:f>J82</x:f>
        <x:v>7.279999999999999</x:v>
      </x:c>
      <x:c r="J83" s="37" t="n">
        <x:f>MIN(F83,H83,I83)</x:f>
        <x:v>7.279999999999999</x:v>
      </x:c>
      <x:c r="K83" s="22" t="n">
        <x:v>0</x:v>
      </x:c>
      <x:c r="L83" s="22" t="n">
        <x:v>0</x:v>
      </x:c>
      <x:c r="M83" s="37" t="n">
        <x:f>K83*L83</x:f>
        <x:v>0</x:v>
      </x:c>
      <x:c r="N83" s="22" t="n">
        <x:v>0</x:v>
      </x:c>
      <x:c r="O83" s="37" t="n">
        <x:f>48</x:f>
        <x:v>48</x:v>
      </x:c>
      <x:c r="P83" s="37" t="n">
        <x:f>IF(AND(N83&gt;0,N83&lt;=O83),1,0)</x:f>
        <x:v>0</x:v>
      </x:c>
      <x:c r="Q83" s="22" t="n">
        <x:v>0</x:v>
      </x:c>
      <x:c r="R83" s="37" t="n">
        <x:f>IF(AND(P83=1,Q83=1),MIN(F83,M83,R82),0)</x:f>
        <x:v>0</x:v>
      </x:c>
      <x:c r="S83" s="23" t="str">
        <x:f>IF(R83&gt;=F83,"ADMITTED","NOT ADMITTED")</x:f>
        <x:v>NOT ADMITTED</x:v>
      </x:c>
    </x:row>
    <x:row r="84">
      <x:c r="B84" s="21" t="str">
        <x:v>SL-0078</x:v>
      </x:c>
      <x:c r="C84" s="21" t="str">
        <x:v>F07</x:v>
      </x:c>
      <x:c r="D84" s="21" t="n">
        <x:v>6</x:v>
      </x:c>
      <x:c r="E84" s="21" t="str">
        <x:v>Conforming production</x:v>
      </x:c>
      <x:c r="F84" s="37" t="n">
        <x:f>'Family Register'!L13</x:f>
        <x:v>8</x:v>
      </x:c>
      <x:c r="G84" s="37" t="n">
        <x:f>INDEX(Scenarios!$F$7:$F$12,Assumptions!C7)</x:f>
        <x:v>0.7</x:v>
      </x:c>
      <x:c r="H84" s="37" t="n">
        <x:f>'Family Register'!G13*'Family Register'!I13*G84</x:f>
        <x:v>7.279999999999999</x:v>
      </x:c>
      <x:c r="I84" s="37" t="n">
        <x:f>J83</x:f>
        <x:v>7.279999999999999</x:v>
      </x:c>
      <x:c r="J84" s="37" t="n">
        <x:f>MIN(F84,H84,I84)</x:f>
        <x:v>7.279999999999999</x:v>
      </x:c>
      <x:c r="K84" s="22" t="n">
        <x:v>0</x:v>
      </x:c>
      <x:c r="L84" s="22" t="n">
        <x:v>0</x:v>
      </x:c>
      <x:c r="M84" s="37" t="n">
        <x:f>K84*L84</x:f>
        <x:v>0</x:v>
      </x:c>
      <x:c r="N84" s="22" t="n">
        <x:v>0</x:v>
      </x:c>
      <x:c r="O84" s="37" t="n">
        <x:f>'Family Register'!H13*0.55</x:f>
        <x:v>396.00000000000006</x:v>
      </x:c>
      <x:c r="P84" s="37" t="n">
        <x:f>IF(AND(N84&gt;0,N84&lt;=O84),1,0)</x:f>
        <x:v>0</x:v>
      </x:c>
      <x:c r="Q84" s="22" t="n">
        <x:v>0</x:v>
      </x:c>
      <x:c r="R84" s="37" t="n">
        <x:f>IF(AND(P84=1,Q84=1),MIN(F84,M84,R83),0)</x:f>
        <x:v>0</x:v>
      </x:c>
      <x:c r="S84" s="23" t="str">
        <x:f>IF(R84&gt;=F84,"ADMITTED","NOT ADMITTED")</x:f>
        <x:v>NOT ADMITTED</x:v>
      </x:c>
    </x:row>
    <x:row r="85">
      <x:c r="B85" s="21" t="str">
        <x:v>SL-0079</x:v>
      </x:c>
      <x:c r="C85" s="21" t="str">
        <x:v>F07</x:v>
      </x:c>
      <x:c r="D85" s="21" t="n">
        <x:v>7</x:v>
      </x:c>
      <x:c r="E85" s="21" t="str">
        <x:v>Independent acceptance</x:v>
      </x:c>
      <x:c r="F85" s="37" t="n">
        <x:f>'Family Register'!L13</x:f>
        <x:v>8</x:v>
      </x:c>
      <x:c r="G85" s="37" t="n">
        <x:f>INDEX(Scenarios!$L$7:$L$12,Assumptions!C7)</x:f>
        <x:v>0.8</x:v>
      </x:c>
      <x:c r="H85" s="37" t="n">
        <x:f>'Family Register'!G13*'Family Register'!I13*G85</x:f>
        <x:v>8.32</x:v>
      </x:c>
      <x:c r="I85" s="37" t="n">
        <x:f>J84</x:f>
        <x:v>7.279999999999999</x:v>
      </x:c>
      <x:c r="J85" s="37" t="n">
        <x:f>MIN(F85,H85,I85)</x:f>
        <x:v>7.279999999999999</x:v>
      </x:c>
      <x:c r="K85" s="22" t="n">
        <x:v>0</x:v>
      </x:c>
      <x:c r="L85" s="22" t="n">
        <x:v>0</x:v>
      </x:c>
      <x:c r="M85" s="37" t="n">
        <x:f>K85*L85</x:f>
        <x:v>0</x:v>
      </x:c>
      <x:c r="N85" s="22" t="n">
        <x:v>0</x:v>
      </x:c>
      <x:c r="O85" s="37" t="n">
        <x:f>'Family Register'!H13*0.65</x:f>
        <x:v>468</x:v>
      </x:c>
      <x:c r="P85" s="37" t="n">
        <x:f>IF(AND(N85&gt;0,N85&lt;=O85),1,0)</x:f>
        <x:v>0</x:v>
      </x:c>
      <x:c r="Q85" s="22" t="n">
        <x:v>0</x:v>
      </x:c>
      <x:c r="R85" s="37" t="n">
        <x:f>IF(AND(P85=1,Q85=1),MIN(F85,M85,R84),0)</x:f>
        <x:v>0</x:v>
      </x:c>
      <x:c r="S85" s="23" t="str">
        <x:f>IF(R85&gt;=F85,"ADMITTED","NOT ADMITTED")</x:f>
        <x:v>NOT ADMITTED</x:v>
      </x:c>
    </x:row>
    <x:row r="86">
      <x:c r="B86" s="21" t="str">
        <x:v>SL-0080</x:v>
      </x:c>
      <x:c r="C86" s="21" t="str">
        <x:v>F07</x:v>
      </x:c>
      <x:c r="D86" s="21" t="n">
        <x:v>8</x:v>
      </x:c>
      <x:c r="E86" s="21" t="str">
        <x:v>Loadout and custody transfer</x:v>
      </x:c>
      <x:c r="F86" s="37" t="n">
        <x:f>'Family Register'!L13</x:f>
        <x:v>8</x:v>
      </x:c>
      <x:c r="G86" s="37" t="n">
        <x:f>INDEX(Scenarios!$H$7:$H$12,Assumptions!C7)</x:f>
        <x:v>0.65</x:v>
      </x:c>
      <x:c r="H86" s="37" t="n">
        <x:f>'Family Register'!G13*'Family Register'!I13*G86</x:f>
        <x:v>6.760000000000001</x:v>
      </x:c>
      <x:c r="I86" s="37" t="n">
        <x:f>J85</x:f>
        <x:v>7.279999999999999</x:v>
      </x:c>
      <x:c r="J86" s="37" t="n">
        <x:f>MIN(F86,H86,I86)</x:f>
        <x:v>6.760000000000001</x:v>
      </x:c>
      <x:c r="K86" s="22" t="n">
        <x:v>0</x:v>
      </x:c>
      <x:c r="L86" s="22" t="n">
        <x:v>0</x:v>
      </x:c>
      <x:c r="M86" s="37" t="n">
        <x:f>K86*L86</x:f>
        <x:v>0</x:v>
      </x:c>
      <x:c r="N86" s="22" t="n">
        <x:v>0</x:v>
      </x:c>
      <x:c r="O86" s="37" t="n">
        <x:f>'Family Register'!H13*0.7</x:f>
        <x:v>503.99999999999994</x:v>
      </x:c>
      <x:c r="P86" s="37" t="n">
        <x:f>IF(AND(N86&gt;0,N86&lt;=O86),1,0)</x:f>
        <x:v>0</x:v>
      </x:c>
      <x:c r="Q86" s="22" t="n">
        <x:v>0</x:v>
      </x:c>
      <x:c r="R86" s="37" t="n">
        <x:f>IF(AND(P86=1,Q86=1),MIN(F86,M86,R85),0)</x:f>
        <x:v>0</x:v>
      </x:c>
      <x:c r="S86" s="23" t="str">
        <x:f>IF(R86&gt;=F86,"ADMITTED","NOT ADMITTED")</x:f>
        <x:v>NOT ADMITTED</x:v>
      </x:c>
    </x:row>
    <x:row r="87">
      <x:c r="B87" s="21" t="str">
        <x:v>SL-0081</x:v>
      </x:c>
      <x:c r="C87" s="21" t="str">
        <x:v>F07</x:v>
      </x:c>
      <x:c r="D87" s="21" t="n">
        <x:v>9</x:v>
      </x:c>
      <x:c r="E87" s="21" t="str">
        <x:v>Strategic transport</x:v>
      </x:c>
      <x:c r="F87" s="37" t="n">
        <x:f>'Family Register'!L13</x:f>
        <x:v>8</x:v>
      </x:c>
      <x:c r="G87" s="37" t="n">
        <x:f>INDEX(Scenarios!$H$7:$H$12,Assumptions!C7)</x:f>
        <x:v>0.65</x:v>
      </x:c>
      <x:c r="H87" s="37" t="n">
        <x:f>'Family Register'!G13*'Family Register'!I13*G87</x:f>
        <x:v>6.760000000000001</x:v>
      </x:c>
      <x:c r="I87" s="37" t="n">
        <x:f>J86</x:f>
        <x:v>6.760000000000001</x:v>
      </x:c>
      <x:c r="J87" s="37" t="n">
        <x:f>MIN(F87,H87,I87)</x:f>
        <x:v>6.760000000000001</x:v>
      </x:c>
      <x:c r="K87" s="22" t="n">
        <x:v>0</x:v>
      </x:c>
      <x:c r="L87" s="22" t="n">
        <x:v>0</x:v>
      </x:c>
      <x:c r="M87" s="37" t="n">
        <x:f>K87*L87</x:f>
        <x:v>0</x:v>
      </x:c>
      <x:c r="N87" s="22" t="n">
        <x:v>0</x:v>
      </x:c>
      <x:c r="O87" s="37" t="n">
        <x:f>'Family Register'!H13*0.9</x:f>
        <x:v>648</x:v>
      </x:c>
      <x:c r="P87" s="37" t="n">
        <x:f>IF(AND(N87&gt;0,N87&lt;=O87),1,0)</x:f>
        <x:v>0</x:v>
      </x:c>
      <x:c r="Q87" s="22" t="n">
        <x:v>0</x:v>
      </x:c>
      <x:c r="R87" s="37" t="n">
        <x:f>IF(AND(P87=1,Q87=1),MIN(F87,M87,R86),0)</x:f>
        <x:v>0</x:v>
      </x:c>
      <x:c r="S87" s="23" t="str">
        <x:f>IF(R87&gt;=F87,"ADMITTED","NOT ADMITTED")</x:f>
        <x:v>NOT ADMITTED</x:v>
      </x:c>
    </x:row>
    <x:row r="88">
      <x:c r="B88" s="21" t="str">
        <x:v>SL-0082</x:v>
      </x:c>
      <x:c r="C88" s="21" t="str">
        <x:v>F07</x:v>
      </x:c>
      <x:c r="D88" s="21" t="n">
        <x:v>10</x:v>
      </x:c>
      <x:c r="E88" s="21" t="str">
        <x:v>Receiving-node admission</x:v>
      </x:c>
      <x:c r="F88" s="37" t="n">
        <x:f>'Family Register'!L13</x:f>
        <x:v>8</x:v>
      </x:c>
      <x:c r="G88" s="37" t="n">
        <x:f>INDEX(Scenarios!$I$7:$I$12,Assumptions!C7)</x:f>
        <x:v>0.75</x:v>
      </x:c>
      <x:c r="H88" s="37" t="n">
        <x:f>'Family Register'!G13*'Family Register'!I13*G88</x:f>
        <x:v>7.800000000000001</x:v>
      </x:c>
      <x:c r="I88" s="37" t="n">
        <x:f>J87</x:f>
        <x:v>6.760000000000001</x:v>
      </x:c>
      <x:c r="J88" s="37" t="n">
        <x:f>MIN(F88,H88,I88)</x:f>
        <x:v>6.760000000000001</x:v>
      </x:c>
      <x:c r="K88" s="22" t="n">
        <x:v>0</x:v>
      </x:c>
      <x:c r="L88" s="22" t="n">
        <x:v>0</x:v>
      </x:c>
      <x:c r="M88" s="37" t="n">
        <x:f>K88*L88</x:f>
        <x:v>0</x:v>
      </x:c>
      <x:c r="N88" s="22" t="n">
        <x:v>0</x:v>
      </x:c>
      <x:c r="O88" s="37" t="n">
        <x:f>'Family Register'!H13*0.94</x:f>
        <x:v>676.8</x:v>
      </x:c>
      <x:c r="P88" s="37" t="n">
        <x:f>IF(AND(N88&gt;0,N88&lt;=O88),1,0)</x:f>
        <x:v>0</x:v>
      </x:c>
      <x:c r="Q88" s="22" t="n">
        <x:v>0</x:v>
      </x:c>
      <x:c r="R88" s="37" t="n">
        <x:f>IF(AND(P88=1,Q88=1),MIN(F88,M88,R87),0)</x:f>
        <x:v>0</x:v>
      </x:c>
      <x:c r="S88" s="23" t="str">
        <x:f>IF(R88&gt;=F88,"ADMITTED","NOT ADMITTED")</x:f>
        <x:v>NOT ADMITTED</x:v>
      </x:c>
    </x:row>
    <x:row r="89">
      <x:c r="B89" s="21" t="str">
        <x:v>SL-0083</x:v>
      </x:c>
      <x:c r="C89" s="21" t="str">
        <x:v>F07</x:v>
      </x:c>
      <x:c r="D89" s="21" t="n">
        <x:v>11</x:v>
      </x:c>
      <x:c r="E89" s="21" t="str">
        <x:v>Commissioned public service</x:v>
      </x:c>
      <x:c r="F89" s="37" t="n">
        <x:f>'Family Register'!L13</x:f>
        <x:v>8</x:v>
      </x:c>
      <x:c r="G89" s="37" t="n">
        <x:f>MIN(INDEX(Scenarios!$G$7:$G$12,Assumptions!C7),INDEX(Scenarios!$I$7:$I$12,Assumptions!C7))</x:f>
        <x:v>0.7</x:v>
      </x:c>
      <x:c r="H89" s="37" t="n">
        <x:f>'Family Register'!G13*'Family Register'!I13*G89</x:f>
        <x:v>7.279999999999999</x:v>
      </x:c>
      <x:c r="I89" s="37" t="n">
        <x:f>J88</x:f>
        <x:v>6.760000000000001</x:v>
      </x:c>
      <x:c r="J89" s="37" t="n">
        <x:f>MIN(F89,H89,I89)</x:f>
        <x:v>6.760000000000001</x:v>
      </x:c>
      <x:c r="K89" s="22" t="n">
        <x:v>0</x:v>
      </x:c>
      <x:c r="L89" s="22" t="n">
        <x:v>0</x:v>
      </x:c>
      <x:c r="M89" s="37" t="n">
        <x:f>K89*L89</x:f>
        <x:v>0</x:v>
      </x:c>
      <x:c r="N89" s="22" t="n">
        <x:v>0</x:v>
      </x:c>
      <x:c r="O89" s="37" t="n">
        <x:f>'Family Register'!H13*1</x:f>
        <x:v>720</x:v>
      </x:c>
      <x:c r="P89" s="37" t="n">
        <x:f>IF(AND(N89&gt;0,N89&lt;=O89),1,0)</x:f>
        <x:v>0</x:v>
      </x:c>
      <x:c r="Q89" s="22" t="n">
        <x:v>0</x:v>
      </x:c>
      <x:c r="R89" s="37" t="n">
        <x:f>IF(AND(P89=1,Q89=1),MIN(F89,M89,R88),0)</x:f>
        <x:v>0</x:v>
      </x:c>
      <x:c r="S89" s="23" t="str">
        <x:f>IF(R89&gt;=F89,"ADMITTED","NOT ADMITTED")</x:f>
        <x:v>NOT ADMITTED</x:v>
      </x:c>
    </x:row>
    <x:row r="90">
      <x:c r="B90" s="21" t="str">
        <x:v>SL-0084</x:v>
      </x:c>
      <x:c r="C90" s="21" t="str">
        <x:v>F07</x:v>
      </x:c>
      <x:c r="D90" s="21" t="n">
        <x:v>12</x:v>
      </x:c>
      <x:c r="E90" s="21" t="str">
        <x:v>Regeneration and replacement</x:v>
      </x:c>
      <x:c r="F90" s="37" t="n">
        <x:f>'Family Register'!L13</x:f>
        <x:v>8</x:v>
      </x:c>
      <x:c r="G90" s="37" t="n">
        <x:f>MIN(INDEX(Scenarios!$E$7:$E$12,Assumptions!C7),INDEX(Scenarios!$F$7:$F$12,Assumptions!C7))</x:f>
        <x:v>0.7</x:v>
      </x:c>
      <x:c r="H90" s="37" t="n">
        <x:f>'Family Register'!G13*'Family Register'!I13*G90</x:f>
        <x:v>7.279999999999999</x:v>
      </x:c>
      <x:c r="I90" s="37" t="n">
        <x:f>J89</x:f>
        <x:v>6.760000000000001</x:v>
      </x:c>
      <x:c r="J90" s="37" t="n">
        <x:f>MIN(F90,H90,I90)</x:f>
        <x:v>6.760000000000001</x:v>
      </x:c>
      <x:c r="K90" s="22" t="n">
        <x:v>0</x:v>
      </x:c>
      <x:c r="L90" s="22" t="n">
        <x:v>0</x:v>
      </x:c>
      <x:c r="M90" s="37" t="n">
        <x:f>K90*L90</x:f>
        <x:v>0</x:v>
      </x:c>
      <x:c r="N90" s="22" t="n">
        <x:v>0</x:v>
      </x:c>
      <x:c r="O90" s="37" t="n">
        <x:f>'Family Register'!H13+168</x:f>
        <x:v>888</x:v>
      </x:c>
      <x:c r="P90" s="37" t="n">
        <x:f>IF(AND(N90&gt;0,N90&lt;=O90),1,0)</x:f>
        <x:v>0</x:v>
      </x:c>
      <x:c r="Q90" s="22" t="n">
        <x:v>0</x:v>
      </x:c>
      <x:c r="R90" s="37" t="n">
        <x:f>IF(AND(P90=1,Q90=1),MIN(F90,M90,R89),0)</x:f>
        <x:v>0</x:v>
      </x:c>
      <x:c r="S90" s="23" t="str">
        <x:f>IF(R90&gt;=F90,"ADMITTED","NOT ADMITTED")</x:f>
        <x:v>NOT ADMITTED</x:v>
      </x:c>
    </x:row>
    <x:row r="91">
      <x:c r="B91" s="21" t="str">
        <x:v>SL-0085</x:v>
      </x:c>
      <x:c r="C91" s="21" t="str">
        <x:v>F08</x:v>
      </x:c>
      <x:c r="D91" s="21" t="n">
        <x:v>1</x:v>
      </x:c>
      <x:c r="E91" s="21" t="str">
        <x:v>Alert authentication</x:v>
      </x:c>
      <x:c r="F91" s="37" t="n">
        <x:f>'Family Register'!L14</x:f>
        <x:v>20</x:v>
      </x:c>
      <x:c r="G91" s="37" t="n">
        <x:f>INDEX(Scenarios!$K$7:$K$12,Assumptions!C7)</x:f>
        <x:v>0.75</x:v>
      </x:c>
      <x:c r="H91" s="37" t="n">
        <x:f>'Family Register'!G14*'Family Register'!I14*G91</x:f>
        <x:v>21.75</x:v>
      </x:c>
      <x:c r="I91" s="37" t="n">
        <x:f>F91</x:f>
        <x:v>20</x:v>
      </x:c>
      <x:c r="J91" s="37" t="n">
        <x:f>MIN(F91,H91,I91)</x:f>
        <x:v>20</x:v>
      </x:c>
      <x:c r="K91" s="22" t="n">
        <x:v>0</x:v>
      </x:c>
      <x:c r="L91" s="22" t="n">
        <x:v>0</x:v>
      </x:c>
      <x:c r="M91" s="37" t="n">
        <x:f>K91*L91</x:f>
        <x:v>0</x:v>
      </x:c>
      <x:c r="N91" s="22" t="n">
        <x:v>0</x:v>
      </x:c>
      <x:c r="O91" s="37" t="n">
        <x:f>2</x:f>
        <x:v>2</x:v>
      </x:c>
      <x:c r="P91" s="37" t="n">
        <x:f>IF(AND(N91&gt;0,N91&lt;=O91),1,0)</x:f>
        <x:v>0</x:v>
      </x:c>
      <x:c r="Q91" s="22" t="n">
        <x:v>0</x:v>
      </x:c>
      <x:c r="R91" s="37" t="n">
        <x:f>IF(AND(P91=1,Q91=1),MIN(F91,M91),0)</x:f>
        <x:v>0</x:v>
      </x:c>
      <x:c r="S91" s="23" t="str">
        <x:f>IF(R91&gt;=F91,"ADMITTED","NOT ADMITTED")</x:f>
        <x:v>NOT ADMITTED</x:v>
      </x:c>
    </x:row>
    <x:row r="92">
      <x:c r="B92" s="21" t="str">
        <x:v>SL-0086</x:v>
      </x:c>
      <x:c r="C92" s="21" t="str">
        <x:v>F08</x:v>
      </x:c>
      <x:c r="D92" s="21" t="n">
        <x:v>2</x:v>
      </x:c>
      <x:c r="E92" s="21" t="str">
        <x:v>Workforce muster</x:v>
      </x:c>
      <x:c r="F92" s="37" t="n">
        <x:f>'Family Register'!L14</x:f>
        <x:v>20</x:v>
      </x:c>
      <x:c r="G92" s="37" t="n">
        <x:f>INDEX(Scenarios!$J$7:$J$12,Assumptions!C7)</x:f>
        <x:v>0.8</x:v>
      </x:c>
      <x:c r="H92" s="37" t="n">
        <x:f>'Family Register'!G14*'Family Register'!I14*G92</x:f>
        <x:v>23.200000000000003</x:v>
      </x:c>
      <x:c r="I92" s="37" t="n">
        <x:f>J91</x:f>
        <x:v>20</x:v>
      </x:c>
      <x:c r="J92" s="37" t="n">
        <x:f>MIN(F92,H92,I92)</x:f>
        <x:v>20</x:v>
      </x:c>
      <x:c r="K92" s="22" t="n">
        <x:v>0</x:v>
      </x:c>
      <x:c r="L92" s="22" t="n">
        <x:v>0</x:v>
      </x:c>
      <x:c r="M92" s="37" t="n">
        <x:f>K92*L92</x:f>
        <x:v>0</x:v>
      </x:c>
      <x:c r="N92" s="22" t="n">
        <x:v>0</x:v>
      </x:c>
      <x:c r="O92" s="37" t="n">
        <x:f>12</x:f>
        <x:v>12</x:v>
      </x:c>
      <x:c r="P92" s="37" t="n">
        <x:f>IF(AND(N92&gt;0,N92&lt;=O92),1,0)</x:f>
        <x:v>0</x:v>
      </x:c>
      <x:c r="Q92" s="22" t="n">
        <x:v>0</x:v>
      </x:c>
      <x:c r="R92" s="37" t="n">
        <x:f>IF(AND(P92=1,Q92=1),MIN(F92,M92,R91),0)</x:f>
        <x:v>0</x:v>
      </x:c>
      <x:c r="S92" s="23" t="str">
        <x:f>IF(R92&gt;=F92,"ADMITTED","NOT ADMITTED")</x:f>
        <x:v>NOT ADMITTED</x:v>
      </x:c>
    </x:row>
    <x:row r="93">
      <x:c r="B93" s="21" t="str">
        <x:v>SL-0087</x:v>
      </x:c>
      <x:c r="C93" s="21" t="str">
        <x:v>F08</x:v>
      </x:c>
      <x:c r="D93" s="21" t="n">
        <x:v>3</x:v>
      </x:c>
      <x:c r="E93" s="21" t="str">
        <x:v>Facility utility and safe start</x:v>
      </x:c>
      <x:c r="F93" s="37" t="n">
        <x:f>'Family Register'!L14</x:f>
        <x:v>20</x:v>
      </x:c>
      <x:c r="G93" s="37" t="n">
        <x:f>INDEX(Scenarios!$G$7:$G$12,Assumptions!C7)</x:f>
        <x:v>0.7</x:v>
      </x:c>
      <x:c r="H93" s="37" t="n">
        <x:f>'Family Register'!G14*'Family Register'!I14*G93</x:f>
        <x:v>20.299999999999997</x:v>
      </x:c>
      <x:c r="I93" s="37" t="n">
        <x:f>J92</x:f>
        <x:v>20</x:v>
      </x:c>
      <x:c r="J93" s="37" t="n">
        <x:f>MIN(F93,H93,I93)</x:f>
        <x:v>20</x:v>
      </x:c>
      <x:c r="K93" s="22" t="n">
        <x:v>0</x:v>
      </x:c>
      <x:c r="L93" s="22" t="n">
        <x:v>0</x:v>
      </x:c>
      <x:c r="M93" s="37" t="n">
        <x:f>K93*L93</x:f>
        <x:v>0</x:v>
      </x:c>
      <x:c r="N93" s="22" t="n">
        <x:v>0</x:v>
      </x:c>
      <x:c r="O93" s="37" t="n">
        <x:f>24</x:f>
        <x:v>24</x:v>
      </x:c>
      <x:c r="P93" s="37" t="n">
        <x:f>IF(AND(N93&gt;0,N93&lt;=O93),1,0)</x:f>
        <x:v>0</x:v>
      </x:c>
      <x:c r="Q93" s="22" t="n">
        <x:v>0</x:v>
      </x:c>
      <x:c r="R93" s="37" t="n">
        <x:f>IF(AND(P93=1,Q93=1),MIN(F93,M93,R92),0)</x:f>
        <x:v>0</x:v>
      </x:c>
      <x:c r="S93" s="23" t="str">
        <x:f>IF(R93&gt;=F93,"ADMITTED","NOT ADMITTED")</x:f>
        <x:v>NOT ADMITTED</x:v>
      </x:c>
    </x:row>
    <x:row r="94">
      <x:c r="B94" s="21" t="str">
        <x:v>SL-0088</x:v>
      </x:c>
      <x:c r="C94" s="21" t="str">
        <x:v>F08</x:v>
      </x:c>
      <x:c r="D94" s="21" t="n">
        <x:v>4</x:v>
      </x:c>
      <x:c r="E94" s="21" t="str">
        <x:v>Material tooling and instrument release</x:v>
      </x:c>
      <x:c r="F94" s="37" t="n">
        <x:f>'Family Register'!L14</x:f>
        <x:v>20</x:v>
      </x:c>
      <x:c r="G94" s="37" t="n">
        <x:f>INDEX(Scenarios!$E$7:$E$12,Assumptions!C7)</x:f>
        <x:v>0.75</x:v>
      </x:c>
      <x:c r="H94" s="37" t="n">
        <x:f>'Family Register'!G14*'Family Register'!I14*G94</x:f>
        <x:v>21.75</x:v>
      </x:c>
      <x:c r="I94" s="37" t="n">
        <x:f>J93</x:f>
        <x:v>20</x:v>
      </x:c>
      <x:c r="J94" s="37" t="n">
        <x:f>MIN(F94,H94,I94)</x:f>
        <x:v>20</x:v>
      </x:c>
      <x:c r="K94" s="22" t="n">
        <x:v>0</x:v>
      </x:c>
      <x:c r="L94" s="22" t="n">
        <x:v>0</x:v>
      </x:c>
      <x:c r="M94" s="37" t="n">
        <x:f>K94*L94</x:f>
        <x:v>0</x:v>
      </x:c>
      <x:c r="N94" s="22" t="n">
        <x:v>0</x:v>
      </x:c>
      <x:c r="O94" s="37" t="n">
        <x:f>36</x:f>
        <x:v>36</x:v>
      </x:c>
      <x:c r="P94" s="37" t="n">
        <x:f>IF(AND(N94&gt;0,N94&lt;=O94),1,0)</x:f>
        <x:v>0</x:v>
      </x:c>
      <x:c r="Q94" s="22" t="n">
        <x:v>0</x:v>
      </x:c>
      <x:c r="R94" s="37" t="n">
        <x:f>IF(AND(P94=1,Q94=1),MIN(F94,M94,R93),0)</x:f>
        <x:v>0</x:v>
      </x:c>
      <x:c r="S94" s="23" t="str">
        <x:f>IF(R94&gt;=F94,"ADMITTED","NOT ADMITTED")</x:f>
        <x:v>NOT ADMITTED</x:v>
      </x:c>
    </x:row>
    <x:row r="95">
      <x:c r="B95" s="21" t="str">
        <x:v>SL-0089</x:v>
      </x:c>
      <x:c r="C95" s="21" t="str">
        <x:v>F08</x:v>
      </x:c>
      <x:c r="D95" s="21" t="n">
        <x:v>5</x:v>
      </x:c>
      <x:c r="E95" s="21" t="str">
        <x:v>Supplier and process activation</x:v>
      </x:c>
      <x:c r="F95" s="37" t="n">
        <x:f>'Family Register'!L14</x:f>
        <x:v>20</x:v>
      </x:c>
      <x:c r="G95" s="37" t="n">
        <x:f>MIN(INDEX(Scenarios!$E$7:$E$12,Assumptions!C7),INDEX(Scenarios!$F$7:$F$12,Assumptions!C7))</x:f>
        <x:v>0.7</x:v>
      </x:c>
      <x:c r="H95" s="37" t="n">
        <x:f>'Family Register'!G14*'Family Register'!I14*G95</x:f>
        <x:v>20.299999999999997</x:v>
      </x:c>
      <x:c r="I95" s="37" t="n">
        <x:f>J94</x:f>
        <x:v>20</x:v>
      </x:c>
      <x:c r="J95" s="37" t="n">
        <x:f>MIN(F95,H95,I95)</x:f>
        <x:v>20</x:v>
      </x:c>
      <x:c r="K95" s="22" t="n">
        <x:v>0</x:v>
      </x:c>
      <x:c r="L95" s="22" t="n">
        <x:v>0</x:v>
      </x:c>
      <x:c r="M95" s="37" t="n">
        <x:f>K95*L95</x:f>
        <x:v>0</x:v>
      </x:c>
      <x:c r="N95" s="22" t="n">
        <x:v>0</x:v>
      </x:c>
      <x:c r="O95" s="37" t="n">
        <x:f>48</x:f>
        <x:v>48</x:v>
      </x:c>
      <x:c r="P95" s="37" t="n">
        <x:f>IF(AND(N95&gt;0,N95&lt;=O95),1,0)</x:f>
        <x:v>0</x:v>
      </x:c>
      <x:c r="Q95" s="22" t="n">
        <x:v>0</x:v>
      </x:c>
      <x:c r="R95" s="37" t="n">
        <x:f>IF(AND(P95=1,Q95=1),MIN(F95,M95,R94),0)</x:f>
        <x:v>0</x:v>
      </x:c>
      <x:c r="S95" s="23" t="str">
        <x:f>IF(R95&gt;=F95,"ADMITTED","NOT ADMITTED")</x:f>
        <x:v>NOT ADMITTED</x:v>
      </x:c>
    </x:row>
    <x:row r="96">
      <x:c r="B96" s="21" t="str">
        <x:v>SL-0090</x:v>
      </x:c>
      <x:c r="C96" s="21" t="str">
        <x:v>F08</x:v>
      </x:c>
      <x:c r="D96" s="21" t="n">
        <x:v>6</x:v>
      </x:c>
      <x:c r="E96" s="21" t="str">
        <x:v>Conforming production</x:v>
      </x:c>
      <x:c r="F96" s="37" t="n">
        <x:f>'Family Register'!L14</x:f>
        <x:v>20</x:v>
      </x:c>
      <x:c r="G96" s="37" t="n">
        <x:f>INDEX(Scenarios!$F$7:$F$12,Assumptions!C7)</x:f>
        <x:v>0.7</x:v>
      </x:c>
      <x:c r="H96" s="37" t="n">
        <x:f>'Family Register'!G14*'Family Register'!I14*G96</x:f>
        <x:v>20.299999999999997</x:v>
      </x:c>
      <x:c r="I96" s="37" t="n">
        <x:f>J95</x:f>
        <x:v>20</x:v>
      </x:c>
      <x:c r="J96" s="37" t="n">
        <x:f>MIN(F96,H96,I96)</x:f>
        <x:v>20</x:v>
      </x:c>
      <x:c r="K96" s="22" t="n">
        <x:v>0</x:v>
      </x:c>
      <x:c r="L96" s="22" t="n">
        <x:v>0</x:v>
      </x:c>
      <x:c r="M96" s="37" t="n">
        <x:f>K96*L96</x:f>
        <x:v>0</x:v>
      </x:c>
      <x:c r="N96" s="22" t="n">
        <x:v>0</x:v>
      </x:c>
      <x:c r="O96" s="37" t="n">
        <x:f>'Family Register'!H14*0.55</x:f>
        <x:v>184.8</x:v>
      </x:c>
      <x:c r="P96" s="37" t="n">
        <x:f>IF(AND(N96&gt;0,N96&lt;=O96),1,0)</x:f>
        <x:v>0</x:v>
      </x:c>
      <x:c r="Q96" s="22" t="n">
        <x:v>0</x:v>
      </x:c>
      <x:c r="R96" s="37" t="n">
        <x:f>IF(AND(P96=1,Q96=1),MIN(F96,M96,R95),0)</x:f>
        <x:v>0</x:v>
      </x:c>
      <x:c r="S96" s="23" t="str">
        <x:f>IF(R96&gt;=F96,"ADMITTED","NOT ADMITTED")</x:f>
        <x:v>NOT ADMITTED</x:v>
      </x:c>
    </x:row>
    <x:row r="97">
      <x:c r="B97" s="21" t="str">
        <x:v>SL-0091</x:v>
      </x:c>
      <x:c r="C97" s="21" t="str">
        <x:v>F08</x:v>
      </x:c>
      <x:c r="D97" s="21" t="n">
        <x:v>7</x:v>
      </x:c>
      <x:c r="E97" s="21" t="str">
        <x:v>Independent acceptance</x:v>
      </x:c>
      <x:c r="F97" s="37" t="n">
        <x:f>'Family Register'!L14</x:f>
        <x:v>20</x:v>
      </x:c>
      <x:c r="G97" s="37" t="n">
        <x:f>INDEX(Scenarios!$L$7:$L$12,Assumptions!C7)</x:f>
        <x:v>0.8</x:v>
      </x:c>
      <x:c r="H97" s="37" t="n">
        <x:f>'Family Register'!G14*'Family Register'!I14*G97</x:f>
        <x:v>23.200000000000003</x:v>
      </x:c>
      <x:c r="I97" s="37" t="n">
        <x:f>J96</x:f>
        <x:v>20</x:v>
      </x:c>
      <x:c r="J97" s="37" t="n">
        <x:f>MIN(F97,H97,I97)</x:f>
        <x:v>20</x:v>
      </x:c>
      <x:c r="K97" s="22" t="n">
        <x:v>0</x:v>
      </x:c>
      <x:c r="L97" s="22" t="n">
        <x:v>0</x:v>
      </x:c>
      <x:c r="M97" s="37" t="n">
        <x:f>K97*L97</x:f>
        <x:v>0</x:v>
      </x:c>
      <x:c r="N97" s="22" t="n">
        <x:v>0</x:v>
      </x:c>
      <x:c r="O97" s="37" t="n">
        <x:f>'Family Register'!H14*0.65</x:f>
        <x:v>218.4</x:v>
      </x:c>
      <x:c r="P97" s="37" t="n">
        <x:f>IF(AND(N97&gt;0,N97&lt;=O97),1,0)</x:f>
        <x:v>0</x:v>
      </x:c>
      <x:c r="Q97" s="22" t="n">
        <x:v>0</x:v>
      </x:c>
      <x:c r="R97" s="37" t="n">
        <x:f>IF(AND(P97=1,Q97=1),MIN(F97,M97,R96),0)</x:f>
        <x:v>0</x:v>
      </x:c>
      <x:c r="S97" s="23" t="str">
        <x:f>IF(R97&gt;=F97,"ADMITTED","NOT ADMITTED")</x:f>
        <x:v>NOT ADMITTED</x:v>
      </x:c>
    </x:row>
    <x:row r="98">
      <x:c r="B98" s="21" t="str">
        <x:v>SL-0092</x:v>
      </x:c>
      <x:c r="C98" s="21" t="str">
        <x:v>F08</x:v>
      </x:c>
      <x:c r="D98" s="21" t="n">
        <x:v>8</x:v>
      </x:c>
      <x:c r="E98" s="21" t="str">
        <x:v>Loadout and custody transfer</x:v>
      </x:c>
      <x:c r="F98" s="37" t="n">
        <x:f>'Family Register'!L14</x:f>
        <x:v>20</x:v>
      </x:c>
      <x:c r="G98" s="37" t="n">
        <x:f>INDEX(Scenarios!$H$7:$H$12,Assumptions!C7)</x:f>
        <x:v>0.65</x:v>
      </x:c>
      <x:c r="H98" s="37" t="n">
        <x:f>'Family Register'!G14*'Family Register'!I14*G98</x:f>
        <x:v>18.85</x:v>
      </x:c>
      <x:c r="I98" s="37" t="n">
        <x:f>J97</x:f>
        <x:v>20</x:v>
      </x:c>
      <x:c r="J98" s="37" t="n">
        <x:f>MIN(F98,H98,I98)</x:f>
        <x:v>18.85</x:v>
      </x:c>
      <x:c r="K98" s="22" t="n">
        <x:v>0</x:v>
      </x:c>
      <x:c r="L98" s="22" t="n">
        <x:v>0</x:v>
      </x:c>
      <x:c r="M98" s="37" t="n">
        <x:f>K98*L98</x:f>
        <x:v>0</x:v>
      </x:c>
      <x:c r="N98" s="22" t="n">
        <x:v>0</x:v>
      </x:c>
      <x:c r="O98" s="37" t="n">
        <x:f>'Family Register'!H14*0.7</x:f>
        <x:v>235.2</x:v>
      </x:c>
      <x:c r="P98" s="37" t="n">
        <x:f>IF(AND(N98&gt;0,N98&lt;=O98),1,0)</x:f>
        <x:v>0</x:v>
      </x:c>
      <x:c r="Q98" s="22" t="n">
        <x:v>0</x:v>
      </x:c>
      <x:c r="R98" s="37" t="n">
        <x:f>IF(AND(P98=1,Q98=1),MIN(F98,M98,R97),0)</x:f>
        <x:v>0</x:v>
      </x:c>
      <x:c r="S98" s="23" t="str">
        <x:f>IF(R98&gt;=F98,"ADMITTED","NOT ADMITTED")</x:f>
        <x:v>NOT ADMITTED</x:v>
      </x:c>
    </x:row>
    <x:row r="99">
      <x:c r="B99" s="21" t="str">
        <x:v>SL-0093</x:v>
      </x:c>
      <x:c r="C99" s="21" t="str">
        <x:v>F08</x:v>
      </x:c>
      <x:c r="D99" s="21" t="n">
        <x:v>9</x:v>
      </x:c>
      <x:c r="E99" s="21" t="str">
        <x:v>Strategic transport</x:v>
      </x:c>
      <x:c r="F99" s="37" t="n">
        <x:f>'Family Register'!L14</x:f>
        <x:v>20</x:v>
      </x:c>
      <x:c r="G99" s="37" t="n">
        <x:f>INDEX(Scenarios!$H$7:$H$12,Assumptions!C7)</x:f>
        <x:v>0.65</x:v>
      </x:c>
      <x:c r="H99" s="37" t="n">
        <x:f>'Family Register'!G14*'Family Register'!I14*G99</x:f>
        <x:v>18.85</x:v>
      </x:c>
      <x:c r="I99" s="37" t="n">
        <x:f>J98</x:f>
        <x:v>18.85</x:v>
      </x:c>
      <x:c r="J99" s="37" t="n">
        <x:f>MIN(F99,H99,I99)</x:f>
        <x:v>18.85</x:v>
      </x:c>
      <x:c r="K99" s="22" t="n">
        <x:v>0</x:v>
      </x:c>
      <x:c r="L99" s="22" t="n">
        <x:v>0</x:v>
      </x:c>
      <x:c r="M99" s="37" t="n">
        <x:f>K99*L99</x:f>
        <x:v>0</x:v>
      </x:c>
      <x:c r="N99" s="22" t="n">
        <x:v>0</x:v>
      </x:c>
      <x:c r="O99" s="37" t="n">
        <x:f>'Family Register'!H14*0.9</x:f>
        <x:v>302.40000000000003</x:v>
      </x:c>
      <x:c r="P99" s="37" t="n">
        <x:f>IF(AND(N99&gt;0,N99&lt;=O99),1,0)</x:f>
        <x:v>0</x:v>
      </x:c>
      <x:c r="Q99" s="22" t="n">
        <x:v>0</x:v>
      </x:c>
      <x:c r="R99" s="37" t="n">
        <x:f>IF(AND(P99=1,Q99=1),MIN(F99,M99,R98),0)</x:f>
        <x:v>0</x:v>
      </x:c>
      <x:c r="S99" s="23" t="str">
        <x:f>IF(R99&gt;=F99,"ADMITTED","NOT ADMITTED")</x:f>
        <x:v>NOT ADMITTED</x:v>
      </x:c>
    </x:row>
    <x:row r="100">
      <x:c r="B100" s="21" t="str">
        <x:v>SL-0094</x:v>
      </x:c>
      <x:c r="C100" s="21" t="str">
        <x:v>F08</x:v>
      </x:c>
      <x:c r="D100" s="21" t="n">
        <x:v>10</x:v>
      </x:c>
      <x:c r="E100" s="21" t="str">
        <x:v>Receiving-node admission</x:v>
      </x:c>
      <x:c r="F100" s="37" t="n">
        <x:f>'Family Register'!L14</x:f>
        <x:v>20</x:v>
      </x:c>
      <x:c r="G100" s="37" t="n">
        <x:f>INDEX(Scenarios!$I$7:$I$12,Assumptions!C7)</x:f>
        <x:v>0.75</x:v>
      </x:c>
      <x:c r="H100" s="37" t="n">
        <x:f>'Family Register'!G14*'Family Register'!I14*G100</x:f>
        <x:v>21.75</x:v>
      </x:c>
      <x:c r="I100" s="37" t="n">
        <x:f>J99</x:f>
        <x:v>18.85</x:v>
      </x:c>
      <x:c r="J100" s="37" t="n">
        <x:f>MIN(F100,H100,I100)</x:f>
        <x:v>18.85</x:v>
      </x:c>
      <x:c r="K100" s="22" t="n">
        <x:v>0</x:v>
      </x:c>
      <x:c r="L100" s="22" t="n">
        <x:v>0</x:v>
      </x:c>
      <x:c r="M100" s="37" t="n">
        <x:f>K100*L100</x:f>
        <x:v>0</x:v>
      </x:c>
      <x:c r="N100" s="22" t="n">
        <x:v>0</x:v>
      </x:c>
      <x:c r="O100" s="37" t="n">
        <x:f>'Family Register'!H14*0.94</x:f>
        <x:v>315.84</x:v>
      </x:c>
      <x:c r="P100" s="37" t="n">
        <x:f>IF(AND(N100&gt;0,N100&lt;=O100),1,0)</x:f>
        <x:v>0</x:v>
      </x:c>
      <x:c r="Q100" s="22" t="n">
        <x:v>0</x:v>
      </x:c>
      <x:c r="R100" s="37" t="n">
        <x:f>IF(AND(P100=1,Q100=1),MIN(F100,M100,R99),0)</x:f>
        <x:v>0</x:v>
      </x:c>
      <x:c r="S100" s="23" t="str">
        <x:f>IF(R100&gt;=F100,"ADMITTED","NOT ADMITTED")</x:f>
        <x:v>NOT ADMITTED</x:v>
      </x:c>
    </x:row>
    <x:row r="101">
      <x:c r="B101" s="21" t="str">
        <x:v>SL-0095</x:v>
      </x:c>
      <x:c r="C101" s="21" t="str">
        <x:v>F08</x:v>
      </x:c>
      <x:c r="D101" s="21" t="n">
        <x:v>11</x:v>
      </x:c>
      <x:c r="E101" s="21" t="str">
        <x:v>Commissioned public service</x:v>
      </x:c>
      <x:c r="F101" s="37" t="n">
        <x:f>'Family Register'!L14</x:f>
        <x:v>20</x:v>
      </x:c>
      <x:c r="G101" s="37" t="n">
        <x:f>MIN(INDEX(Scenarios!$G$7:$G$12,Assumptions!C7),INDEX(Scenarios!$I$7:$I$12,Assumptions!C7))</x:f>
        <x:v>0.7</x:v>
      </x:c>
      <x:c r="H101" s="37" t="n">
        <x:f>'Family Register'!G14*'Family Register'!I14*G101</x:f>
        <x:v>20.299999999999997</x:v>
      </x:c>
      <x:c r="I101" s="37" t="n">
        <x:f>J100</x:f>
        <x:v>18.85</x:v>
      </x:c>
      <x:c r="J101" s="37" t="n">
        <x:f>MIN(F101,H101,I101)</x:f>
        <x:v>18.85</x:v>
      </x:c>
      <x:c r="K101" s="22" t="n">
        <x:v>0</x:v>
      </x:c>
      <x:c r="L101" s="22" t="n">
        <x:v>0</x:v>
      </x:c>
      <x:c r="M101" s="37" t="n">
        <x:f>K101*L101</x:f>
        <x:v>0</x:v>
      </x:c>
      <x:c r="N101" s="22" t="n">
        <x:v>0</x:v>
      </x:c>
      <x:c r="O101" s="37" t="n">
        <x:f>'Family Register'!H14*1</x:f>
        <x:v>336</x:v>
      </x:c>
      <x:c r="P101" s="37" t="n">
        <x:f>IF(AND(N101&gt;0,N101&lt;=O101),1,0)</x:f>
        <x:v>0</x:v>
      </x:c>
      <x:c r="Q101" s="22" t="n">
        <x:v>0</x:v>
      </x:c>
      <x:c r="R101" s="37" t="n">
        <x:f>IF(AND(P101=1,Q101=1),MIN(F101,M101,R100),0)</x:f>
        <x:v>0</x:v>
      </x:c>
      <x:c r="S101" s="23" t="str">
        <x:f>IF(R101&gt;=F101,"ADMITTED","NOT ADMITTED")</x:f>
        <x:v>NOT ADMITTED</x:v>
      </x:c>
    </x:row>
    <x:row r="102">
      <x:c r="B102" s="21" t="str">
        <x:v>SL-0096</x:v>
      </x:c>
      <x:c r="C102" s="21" t="str">
        <x:v>F08</x:v>
      </x:c>
      <x:c r="D102" s="21" t="n">
        <x:v>12</x:v>
      </x:c>
      <x:c r="E102" s="21" t="str">
        <x:v>Regeneration and replacement</x:v>
      </x:c>
      <x:c r="F102" s="37" t="n">
        <x:f>'Family Register'!L14</x:f>
        <x:v>20</x:v>
      </x:c>
      <x:c r="G102" s="37" t="n">
        <x:f>MIN(INDEX(Scenarios!$E$7:$E$12,Assumptions!C7),INDEX(Scenarios!$F$7:$F$12,Assumptions!C7))</x:f>
        <x:v>0.7</x:v>
      </x:c>
      <x:c r="H102" s="37" t="n">
        <x:f>'Family Register'!G14*'Family Register'!I14*G102</x:f>
        <x:v>20.299999999999997</x:v>
      </x:c>
      <x:c r="I102" s="37" t="n">
        <x:f>J101</x:f>
        <x:v>18.85</x:v>
      </x:c>
      <x:c r="J102" s="37" t="n">
        <x:f>MIN(F102,H102,I102)</x:f>
        <x:v>18.85</x:v>
      </x:c>
      <x:c r="K102" s="22" t="n">
        <x:v>0</x:v>
      </x:c>
      <x:c r="L102" s="22" t="n">
        <x:v>0</x:v>
      </x:c>
      <x:c r="M102" s="37" t="n">
        <x:f>K102*L102</x:f>
        <x:v>0</x:v>
      </x:c>
      <x:c r="N102" s="22" t="n">
        <x:v>0</x:v>
      </x:c>
      <x:c r="O102" s="37" t="n">
        <x:f>'Family Register'!H14+168</x:f>
        <x:v>504</x:v>
      </x:c>
      <x:c r="P102" s="37" t="n">
        <x:f>IF(AND(N102&gt;0,N102&lt;=O102),1,0)</x:f>
        <x:v>0</x:v>
      </x:c>
      <x:c r="Q102" s="22" t="n">
        <x:v>0</x:v>
      </x:c>
      <x:c r="R102" s="37" t="n">
        <x:f>IF(AND(P102=1,Q102=1),MIN(F102,M102,R101),0)</x:f>
        <x:v>0</x:v>
      </x:c>
      <x:c r="S102" s="23" t="str">
        <x:f>IF(R102&gt;=F102,"ADMITTED","NOT ADMITTED")</x:f>
        <x:v>NOT ADMITTED</x:v>
      </x:c>
    </x:row>
    <x:row r="103">
      <x:c r="B103" s="21" t="str">
        <x:v>SL-0097</x:v>
      </x:c>
      <x:c r="C103" s="21" t="str">
        <x:v>F09</x:v>
      </x:c>
      <x:c r="D103" s="21" t="n">
        <x:v>1</x:v>
      </x:c>
      <x:c r="E103" s="21" t="str">
        <x:v>Alert authentication</x:v>
      </x:c>
      <x:c r="F103" s="37" t="n">
        <x:f>'Family Register'!L15</x:f>
        <x:v>12</x:v>
      </x:c>
      <x:c r="G103" s="37" t="n">
        <x:f>INDEX(Scenarios!$K$7:$K$12,Assumptions!C7)</x:f>
        <x:v>0.75</x:v>
      </x:c>
      <x:c r="H103" s="37" t="n">
        <x:f>'Family Register'!G15*'Family Register'!I15*G103</x:f>
        <x:v>14.400000000000002</x:v>
      </x:c>
      <x:c r="I103" s="37" t="n">
        <x:f>F103</x:f>
        <x:v>12</x:v>
      </x:c>
      <x:c r="J103" s="37" t="n">
        <x:f>MIN(F103,H103,I103)</x:f>
        <x:v>12</x:v>
      </x:c>
      <x:c r="K103" s="22" t="n">
        <x:v>0</x:v>
      </x:c>
      <x:c r="L103" s="22" t="n">
        <x:v>0</x:v>
      </x:c>
      <x:c r="M103" s="37" t="n">
        <x:f>K103*L103</x:f>
        <x:v>0</x:v>
      </x:c>
      <x:c r="N103" s="22" t="n">
        <x:v>0</x:v>
      </x:c>
      <x:c r="O103" s="37" t="n">
        <x:f>2</x:f>
        <x:v>2</x:v>
      </x:c>
      <x:c r="P103" s="37" t="n">
        <x:f>IF(AND(N103&gt;0,N103&lt;=O103),1,0)</x:f>
        <x:v>0</x:v>
      </x:c>
      <x:c r="Q103" s="22" t="n">
        <x:v>0</x:v>
      </x:c>
      <x:c r="R103" s="37" t="n">
        <x:f>IF(AND(P103=1,Q103=1),MIN(F103,M103),0)</x:f>
        <x:v>0</x:v>
      </x:c>
      <x:c r="S103" s="23" t="str">
        <x:f>IF(R103&gt;=F103,"ADMITTED","NOT ADMITTED")</x:f>
        <x:v>NOT ADMITTED</x:v>
      </x:c>
    </x:row>
    <x:row r="104">
      <x:c r="B104" s="21" t="str">
        <x:v>SL-0098</x:v>
      </x:c>
      <x:c r="C104" s="21" t="str">
        <x:v>F09</x:v>
      </x:c>
      <x:c r="D104" s="21" t="n">
        <x:v>2</x:v>
      </x:c>
      <x:c r="E104" s="21" t="str">
        <x:v>Workforce muster</x:v>
      </x:c>
      <x:c r="F104" s="37" t="n">
        <x:f>'Family Register'!L15</x:f>
        <x:v>12</x:v>
      </x:c>
      <x:c r="G104" s="37" t="n">
        <x:f>INDEX(Scenarios!$J$7:$J$12,Assumptions!C7)</x:f>
        <x:v>0.8</x:v>
      </x:c>
      <x:c r="H104" s="37" t="n">
        <x:f>'Family Register'!G15*'Family Register'!I15*G104</x:f>
        <x:v>15.360000000000003</x:v>
      </x:c>
      <x:c r="I104" s="37" t="n">
        <x:f>J103</x:f>
        <x:v>12</x:v>
      </x:c>
      <x:c r="J104" s="37" t="n">
        <x:f>MIN(F104,H104,I104)</x:f>
        <x:v>12</x:v>
      </x:c>
      <x:c r="K104" s="22" t="n">
        <x:v>0</x:v>
      </x:c>
      <x:c r="L104" s="22" t="n">
        <x:v>0</x:v>
      </x:c>
      <x:c r="M104" s="37" t="n">
        <x:f>K104*L104</x:f>
        <x:v>0</x:v>
      </x:c>
      <x:c r="N104" s="22" t="n">
        <x:v>0</x:v>
      </x:c>
      <x:c r="O104" s="37" t="n">
        <x:f>12</x:f>
        <x:v>12</x:v>
      </x:c>
      <x:c r="P104" s="37" t="n">
        <x:f>IF(AND(N104&gt;0,N104&lt;=O104),1,0)</x:f>
        <x:v>0</x:v>
      </x:c>
      <x:c r="Q104" s="22" t="n">
        <x:v>0</x:v>
      </x:c>
      <x:c r="R104" s="37" t="n">
        <x:f>IF(AND(P104=1,Q104=1),MIN(F104,M104,R103),0)</x:f>
        <x:v>0</x:v>
      </x:c>
      <x:c r="S104" s="23" t="str">
        <x:f>IF(R104&gt;=F104,"ADMITTED","NOT ADMITTED")</x:f>
        <x:v>NOT ADMITTED</x:v>
      </x:c>
    </x:row>
    <x:row r="105">
      <x:c r="B105" s="21" t="str">
        <x:v>SL-0099</x:v>
      </x:c>
      <x:c r="C105" s="21" t="str">
        <x:v>F09</x:v>
      </x:c>
      <x:c r="D105" s="21" t="n">
        <x:v>3</x:v>
      </x:c>
      <x:c r="E105" s="21" t="str">
        <x:v>Facility utility and safe start</x:v>
      </x:c>
      <x:c r="F105" s="37" t="n">
        <x:f>'Family Register'!L15</x:f>
        <x:v>12</x:v>
      </x:c>
      <x:c r="G105" s="37" t="n">
        <x:f>INDEX(Scenarios!$G$7:$G$12,Assumptions!C7)</x:f>
        <x:v>0.7</x:v>
      </x:c>
      <x:c r="H105" s="37" t="n">
        <x:f>'Family Register'!G15*'Family Register'!I15*G105</x:f>
        <x:v>13.440000000000001</x:v>
      </x:c>
      <x:c r="I105" s="37" t="n">
        <x:f>J104</x:f>
        <x:v>12</x:v>
      </x:c>
      <x:c r="J105" s="37" t="n">
        <x:f>MIN(F105,H105,I105)</x:f>
        <x:v>12</x:v>
      </x:c>
      <x:c r="K105" s="22" t="n">
        <x:v>0</x:v>
      </x:c>
      <x:c r="L105" s="22" t="n">
        <x:v>0</x:v>
      </x:c>
      <x:c r="M105" s="37" t="n">
        <x:f>K105*L105</x:f>
        <x:v>0</x:v>
      </x:c>
      <x:c r="N105" s="22" t="n">
        <x:v>0</x:v>
      </x:c>
      <x:c r="O105" s="37" t="n">
        <x:f>24</x:f>
        <x:v>24</x:v>
      </x:c>
      <x:c r="P105" s="37" t="n">
        <x:f>IF(AND(N105&gt;0,N105&lt;=O105),1,0)</x:f>
        <x:v>0</x:v>
      </x:c>
      <x:c r="Q105" s="22" t="n">
        <x:v>0</x:v>
      </x:c>
      <x:c r="R105" s="37" t="n">
        <x:f>IF(AND(P105=1,Q105=1),MIN(F105,M105,R104),0)</x:f>
        <x:v>0</x:v>
      </x:c>
      <x:c r="S105" s="23" t="str">
        <x:f>IF(R105&gt;=F105,"ADMITTED","NOT ADMITTED")</x:f>
        <x:v>NOT ADMITTED</x:v>
      </x:c>
    </x:row>
    <x:row r="106">
      <x:c r="B106" s="21" t="str">
        <x:v>SL-0100</x:v>
      </x:c>
      <x:c r="C106" s="21" t="str">
        <x:v>F09</x:v>
      </x:c>
      <x:c r="D106" s="21" t="n">
        <x:v>4</x:v>
      </x:c>
      <x:c r="E106" s="21" t="str">
        <x:v>Material tooling and instrument release</x:v>
      </x:c>
      <x:c r="F106" s="37" t="n">
        <x:f>'Family Register'!L15</x:f>
        <x:v>12</x:v>
      </x:c>
      <x:c r="G106" s="37" t="n">
        <x:f>INDEX(Scenarios!$E$7:$E$12,Assumptions!C7)</x:f>
        <x:v>0.75</x:v>
      </x:c>
      <x:c r="H106" s="37" t="n">
        <x:f>'Family Register'!G15*'Family Register'!I15*G106</x:f>
        <x:v>14.400000000000002</x:v>
      </x:c>
      <x:c r="I106" s="37" t="n">
        <x:f>J105</x:f>
        <x:v>12</x:v>
      </x:c>
      <x:c r="J106" s="37" t="n">
        <x:f>MIN(F106,H106,I106)</x:f>
        <x:v>12</x:v>
      </x:c>
      <x:c r="K106" s="22" t="n">
        <x:v>0</x:v>
      </x:c>
      <x:c r="L106" s="22" t="n">
        <x:v>0</x:v>
      </x:c>
      <x:c r="M106" s="37" t="n">
        <x:f>K106*L106</x:f>
        <x:v>0</x:v>
      </x:c>
      <x:c r="N106" s="22" t="n">
        <x:v>0</x:v>
      </x:c>
      <x:c r="O106" s="37" t="n">
        <x:f>36</x:f>
        <x:v>36</x:v>
      </x:c>
      <x:c r="P106" s="37" t="n">
        <x:f>IF(AND(N106&gt;0,N106&lt;=O106),1,0)</x:f>
        <x:v>0</x:v>
      </x:c>
      <x:c r="Q106" s="22" t="n">
        <x:v>0</x:v>
      </x:c>
      <x:c r="R106" s="37" t="n">
        <x:f>IF(AND(P106=1,Q106=1),MIN(F106,M106,R105),0)</x:f>
        <x:v>0</x:v>
      </x:c>
      <x:c r="S106" s="23" t="str">
        <x:f>IF(R106&gt;=F106,"ADMITTED","NOT ADMITTED")</x:f>
        <x:v>NOT ADMITTED</x:v>
      </x:c>
    </x:row>
    <x:row r="107">
      <x:c r="B107" s="21" t="str">
        <x:v>SL-0101</x:v>
      </x:c>
      <x:c r="C107" s="21" t="str">
        <x:v>F09</x:v>
      </x:c>
      <x:c r="D107" s="21" t="n">
        <x:v>5</x:v>
      </x:c>
      <x:c r="E107" s="21" t="str">
        <x:v>Supplier and process activation</x:v>
      </x:c>
      <x:c r="F107" s="37" t="n">
        <x:f>'Family Register'!L15</x:f>
        <x:v>12</x:v>
      </x:c>
      <x:c r="G107" s="37" t="n">
        <x:f>MIN(INDEX(Scenarios!$E$7:$E$12,Assumptions!C7),INDEX(Scenarios!$F$7:$F$12,Assumptions!C7))</x:f>
        <x:v>0.7</x:v>
      </x:c>
      <x:c r="H107" s="37" t="n">
        <x:f>'Family Register'!G15*'Family Register'!I15*G107</x:f>
        <x:v>13.440000000000001</x:v>
      </x:c>
      <x:c r="I107" s="37" t="n">
        <x:f>J106</x:f>
        <x:v>12</x:v>
      </x:c>
      <x:c r="J107" s="37" t="n">
        <x:f>MIN(F107,H107,I107)</x:f>
        <x:v>12</x:v>
      </x:c>
      <x:c r="K107" s="22" t="n">
        <x:v>0</x:v>
      </x:c>
      <x:c r="L107" s="22" t="n">
        <x:v>0</x:v>
      </x:c>
      <x:c r="M107" s="37" t="n">
        <x:f>K107*L107</x:f>
        <x:v>0</x:v>
      </x:c>
      <x:c r="N107" s="22" t="n">
        <x:v>0</x:v>
      </x:c>
      <x:c r="O107" s="37" t="n">
        <x:f>48</x:f>
        <x:v>48</x:v>
      </x:c>
      <x:c r="P107" s="37" t="n">
        <x:f>IF(AND(N107&gt;0,N107&lt;=O107),1,0)</x:f>
        <x:v>0</x:v>
      </x:c>
      <x:c r="Q107" s="22" t="n">
        <x:v>0</x:v>
      </x:c>
      <x:c r="R107" s="37" t="n">
        <x:f>IF(AND(P107=1,Q107=1),MIN(F107,M107,R106),0)</x:f>
        <x:v>0</x:v>
      </x:c>
      <x:c r="S107" s="23" t="str">
        <x:f>IF(R107&gt;=F107,"ADMITTED","NOT ADMITTED")</x:f>
        <x:v>NOT ADMITTED</x:v>
      </x:c>
    </x:row>
    <x:row r="108">
      <x:c r="B108" s="21" t="str">
        <x:v>SL-0102</x:v>
      </x:c>
      <x:c r="C108" s="21" t="str">
        <x:v>F09</x:v>
      </x:c>
      <x:c r="D108" s="21" t="n">
        <x:v>6</x:v>
      </x:c>
      <x:c r="E108" s="21" t="str">
        <x:v>Conforming production</x:v>
      </x:c>
      <x:c r="F108" s="37" t="n">
        <x:f>'Family Register'!L15</x:f>
        <x:v>12</x:v>
      </x:c>
      <x:c r="G108" s="37" t="n">
        <x:f>INDEX(Scenarios!$F$7:$F$12,Assumptions!C7)</x:f>
        <x:v>0.7</x:v>
      </x:c>
      <x:c r="H108" s="37" t="n">
        <x:f>'Family Register'!G15*'Family Register'!I15*G108</x:f>
        <x:v>13.440000000000001</x:v>
      </x:c>
      <x:c r="I108" s="37" t="n">
        <x:f>J107</x:f>
        <x:v>12</x:v>
      </x:c>
      <x:c r="J108" s="37" t="n">
        <x:f>MIN(F108,H108,I108)</x:f>
        <x:v>12</x:v>
      </x:c>
      <x:c r="K108" s="22" t="n">
        <x:v>0</x:v>
      </x:c>
      <x:c r="L108" s="22" t="n">
        <x:v>0</x:v>
      </x:c>
      <x:c r="M108" s="37" t="n">
        <x:f>K108*L108</x:f>
        <x:v>0</x:v>
      </x:c>
      <x:c r="N108" s="22" t="n">
        <x:v>0</x:v>
      </x:c>
      <x:c r="O108" s="37" t="n">
        <x:f>'Family Register'!H15*0.55</x:f>
        <x:v>92.4</x:v>
      </x:c>
      <x:c r="P108" s="37" t="n">
        <x:f>IF(AND(N108&gt;0,N108&lt;=O108),1,0)</x:f>
        <x:v>0</x:v>
      </x:c>
      <x:c r="Q108" s="22" t="n">
        <x:v>0</x:v>
      </x:c>
      <x:c r="R108" s="37" t="n">
        <x:f>IF(AND(P108=1,Q108=1),MIN(F108,M108,R107),0)</x:f>
        <x:v>0</x:v>
      </x:c>
      <x:c r="S108" s="23" t="str">
        <x:f>IF(R108&gt;=F108,"ADMITTED","NOT ADMITTED")</x:f>
        <x:v>NOT ADMITTED</x:v>
      </x:c>
    </x:row>
    <x:row r="109">
      <x:c r="B109" s="21" t="str">
        <x:v>SL-0103</x:v>
      </x:c>
      <x:c r="C109" s="21" t="str">
        <x:v>F09</x:v>
      </x:c>
      <x:c r="D109" s="21" t="n">
        <x:v>7</x:v>
      </x:c>
      <x:c r="E109" s="21" t="str">
        <x:v>Independent acceptance</x:v>
      </x:c>
      <x:c r="F109" s="37" t="n">
        <x:f>'Family Register'!L15</x:f>
        <x:v>12</x:v>
      </x:c>
      <x:c r="G109" s="37" t="n">
        <x:f>INDEX(Scenarios!$L$7:$L$12,Assumptions!C7)</x:f>
        <x:v>0.8</x:v>
      </x:c>
      <x:c r="H109" s="37" t="n">
        <x:f>'Family Register'!G15*'Family Register'!I15*G109</x:f>
        <x:v>15.360000000000003</x:v>
      </x:c>
      <x:c r="I109" s="37" t="n">
        <x:f>J108</x:f>
        <x:v>12</x:v>
      </x:c>
      <x:c r="J109" s="37" t="n">
        <x:f>MIN(F109,H109,I109)</x:f>
        <x:v>12</x:v>
      </x:c>
      <x:c r="K109" s="22" t="n">
        <x:v>0</x:v>
      </x:c>
      <x:c r="L109" s="22" t="n">
        <x:v>0</x:v>
      </x:c>
      <x:c r="M109" s="37" t="n">
        <x:f>K109*L109</x:f>
        <x:v>0</x:v>
      </x:c>
      <x:c r="N109" s="22" t="n">
        <x:v>0</x:v>
      </x:c>
      <x:c r="O109" s="37" t="n">
        <x:f>'Family Register'!H15*0.65</x:f>
        <x:v>109.2</x:v>
      </x:c>
      <x:c r="P109" s="37" t="n">
        <x:f>IF(AND(N109&gt;0,N109&lt;=O109),1,0)</x:f>
        <x:v>0</x:v>
      </x:c>
      <x:c r="Q109" s="22" t="n">
        <x:v>0</x:v>
      </x:c>
      <x:c r="R109" s="37" t="n">
        <x:f>IF(AND(P109=1,Q109=1),MIN(F109,M109,R108),0)</x:f>
        <x:v>0</x:v>
      </x:c>
      <x:c r="S109" s="23" t="str">
        <x:f>IF(R109&gt;=F109,"ADMITTED","NOT ADMITTED")</x:f>
        <x:v>NOT ADMITTED</x:v>
      </x:c>
    </x:row>
    <x:row r="110">
      <x:c r="B110" s="21" t="str">
        <x:v>SL-0104</x:v>
      </x:c>
      <x:c r="C110" s="21" t="str">
        <x:v>F09</x:v>
      </x:c>
      <x:c r="D110" s="21" t="n">
        <x:v>8</x:v>
      </x:c>
      <x:c r="E110" s="21" t="str">
        <x:v>Loadout and custody transfer</x:v>
      </x:c>
      <x:c r="F110" s="37" t="n">
        <x:f>'Family Register'!L15</x:f>
        <x:v>12</x:v>
      </x:c>
      <x:c r="G110" s="37" t="n">
        <x:f>INDEX(Scenarios!$H$7:$H$12,Assumptions!C7)</x:f>
        <x:v>0.65</x:v>
      </x:c>
      <x:c r="H110" s="37" t="n">
        <x:f>'Family Register'!G15*'Family Register'!I15*G110</x:f>
        <x:v>12.480000000000002</x:v>
      </x:c>
      <x:c r="I110" s="37" t="n">
        <x:f>J109</x:f>
        <x:v>12</x:v>
      </x:c>
      <x:c r="J110" s="37" t="n">
        <x:f>MIN(F110,H110,I110)</x:f>
        <x:v>12</x:v>
      </x:c>
      <x:c r="K110" s="22" t="n">
        <x:v>0</x:v>
      </x:c>
      <x:c r="L110" s="22" t="n">
        <x:v>0</x:v>
      </x:c>
      <x:c r="M110" s="37" t="n">
        <x:f>K110*L110</x:f>
        <x:v>0</x:v>
      </x:c>
      <x:c r="N110" s="22" t="n">
        <x:v>0</x:v>
      </x:c>
      <x:c r="O110" s="37" t="n">
        <x:f>'Family Register'!H15*0.7</x:f>
        <x:v>117.6</x:v>
      </x:c>
      <x:c r="P110" s="37" t="n">
        <x:f>IF(AND(N110&gt;0,N110&lt;=O110),1,0)</x:f>
        <x:v>0</x:v>
      </x:c>
      <x:c r="Q110" s="22" t="n">
        <x:v>0</x:v>
      </x:c>
      <x:c r="R110" s="37" t="n">
        <x:f>IF(AND(P110=1,Q110=1),MIN(F110,M110,R109),0)</x:f>
        <x:v>0</x:v>
      </x:c>
      <x:c r="S110" s="23" t="str">
        <x:f>IF(R110&gt;=F110,"ADMITTED","NOT ADMITTED")</x:f>
        <x:v>NOT ADMITTED</x:v>
      </x:c>
    </x:row>
    <x:row r="111">
      <x:c r="B111" s="21" t="str">
        <x:v>SL-0105</x:v>
      </x:c>
      <x:c r="C111" s="21" t="str">
        <x:v>F09</x:v>
      </x:c>
      <x:c r="D111" s="21" t="n">
        <x:v>9</x:v>
      </x:c>
      <x:c r="E111" s="21" t="str">
        <x:v>Strategic transport</x:v>
      </x:c>
      <x:c r="F111" s="37" t="n">
        <x:f>'Family Register'!L15</x:f>
        <x:v>12</x:v>
      </x:c>
      <x:c r="G111" s="37" t="n">
        <x:f>INDEX(Scenarios!$H$7:$H$12,Assumptions!C7)</x:f>
        <x:v>0.65</x:v>
      </x:c>
      <x:c r="H111" s="37" t="n">
        <x:f>'Family Register'!G15*'Family Register'!I15*G111</x:f>
        <x:v>12.480000000000002</x:v>
      </x:c>
      <x:c r="I111" s="37" t="n">
        <x:f>J110</x:f>
        <x:v>12</x:v>
      </x:c>
      <x:c r="J111" s="37" t="n">
        <x:f>MIN(F111,H111,I111)</x:f>
        <x:v>12</x:v>
      </x:c>
      <x:c r="K111" s="22" t="n">
        <x:v>0</x:v>
      </x:c>
      <x:c r="L111" s="22" t="n">
        <x:v>0</x:v>
      </x:c>
      <x:c r="M111" s="37" t="n">
        <x:f>K111*L111</x:f>
        <x:v>0</x:v>
      </x:c>
      <x:c r="N111" s="22" t="n">
        <x:v>0</x:v>
      </x:c>
      <x:c r="O111" s="37" t="n">
        <x:f>'Family Register'!H15*0.9</x:f>
        <x:v>151.20000000000002</x:v>
      </x:c>
      <x:c r="P111" s="37" t="n">
        <x:f>IF(AND(N111&gt;0,N111&lt;=O111),1,0)</x:f>
        <x:v>0</x:v>
      </x:c>
      <x:c r="Q111" s="22" t="n">
        <x:v>0</x:v>
      </x:c>
      <x:c r="R111" s="37" t="n">
        <x:f>IF(AND(P111=1,Q111=1),MIN(F111,M111,R110),0)</x:f>
        <x:v>0</x:v>
      </x:c>
      <x:c r="S111" s="23" t="str">
        <x:f>IF(R111&gt;=F111,"ADMITTED","NOT ADMITTED")</x:f>
        <x:v>NOT ADMITTED</x:v>
      </x:c>
    </x:row>
    <x:row r="112">
      <x:c r="B112" s="21" t="str">
        <x:v>SL-0106</x:v>
      </x:c>
      <x:c r="C112" s="21" t="str">
        <x:v>F09</x:v>
      </x:c>
      <x:c r="D112" s="21" t="n">
        <x:v>10</x:v>
      </x:c>
      <x:c r="E112" s="21" t="str">
        <x:v>Receiving-node admission</x:v>
      </x:c>
      <x:c r="F112" s="37" t="n">
        <x:f>'Family Register'!L15</x:f>
        <x:v>12</x:v>
      </x:c>
      <x:c r="G112" s="37" t="n">
        <x:f>INDEX(Scenarios!$I$7:$I$12,Assumptions!C7)</x:f>
        <x:v>0.75</x:v>
      </x:c>
      <x:c r="H112" s="37" t="n">
        <x:f>'Family Register'!G15*'Family Register'!I15*G112</x:f>
        <x:v>14.400000000000002</x:v>
      </x:c>
      <x:c r="I112" s="37" t="n">
        <x:f>J111</x:f>
        <x:v>12</x:v>
      </x:c>
      <x:c r="J112" s="37" t="n">
        <x:f>MIN(F112,H112,I112)</x:f>
        <x:v>12</x:v>
      </x:c>
      <x:c r="K112" s="22" t="n">
        <x:v>0</x:v>
      </x:c>
      <x:c r="L112" s="22" t="n">
        <x:v>0</x:v>
      </x:c>
      <x:c r="M112" s="37" t="n">
        <x:f>K112*L112</x:f>
        <x:v>0</x:v>
      </x:c>
      <x:c r="N112" s="22" t="n">
        <x:v>0</x:v>
      </x:c>
      <x:c r="O112" s="37" t="n">
        <x:f>'Family Register'!H15*0.94</x:f>
        <x:v>157.92</x:v>
      </x:c>
      <x:c r="P112" s="37" t="n">
        <x:f>IF(AND(N112&gt;0,N112&lt;=O112),1,0)</x:f>
        <x:v>0</x:v>
      </x:c>
      <x:c r="Q112" s="22" t="n">
        <x:v>0</x:v>
      </x:c>
      <x:c r="R112" s="37" t="n">
        <x:f>IF(AND(P112=1,Q112=1),MIN(F112,M112,R111),0)</x:f>
        <x:v>0</x:v>
      </x:c>
      <x:c r="S112" s="23" t="str">
        <x:f>IF(R112&gt;=F112,"ADMITTED","NOT ADMITTED")</x:f>
        <x:v>NOT ADMITTED</x:v>
      </x:c>
    </x:row>
    <x:row r="113">
      <x:c r="B113" s="21" t="str">
        <x:v>SL-0107</x:v>
      </x:c>
      <x:c r="C113" s="21" t="str">
        <x:v>F09</x:v>
      </x:c>
      <x:c r="D113" s="21" t="n">
        <x:v>11</x:v>
      </x:c>
      <x:c r="E113" s="21" t="str">
        <x:v>Commissioned public service</x:v>
      </x:c>
      <x:c r="F113" s="37" t="n">
        <x:f>'Family Register'!L15</x:f>
        <x:v>12</x:v>
      </x:c>
      <x:c r="G113" s="37" t="n">
        <x:f>MIN(INDEX(Scenarios!$G$7:$G$12,Assumptions!C7),INDEX(Scenarios!$I$7:$I$12,Assumptions!C7))</x:f>
        <x:v>0.7</x:v>
      </x:c>
      <x:c r="H113" s="37" t="n">
        <x:f>'Family Register'!G15*'Family Register'!I15*G113</x:f>
        <x:v>13.440000000000001</x:v>
      </x:c>
      <x:c r="I113" s="37" t="n">
        <x:f>J112</x:f>
        <x:v>12</x:v>
      </x:c>
      <x:c r="J113" s="37" t="n">
        <x:f>MIN(F113,H113,I113)</x:f>
        <x:v>12</x:v>
      </x:c>
      <x:c r="K113" s="22" t="n">
        <x:v>0</x:v>
      </x:c>
      <x:c r="L113" s="22" t="n">
        <x:v>0</x:v>
      </x:c>
      <x:c r="M113" s="37" t="n">
        <x:f>K113*L113</x:f>
        <x:v>0</x:v>
      </x:c>
      <x:c r="N113" s="22" t="n">
        <x:v>0</x:v>
      </x:c>
      <x:c r="O113" s="37" t="n">
        <x:f>'Family Register'!H15*1</x:f>
        <x:v>168</x:v>
      </x:c>
      <x:c r="P113" s="37" t="n">
        <x:f>IF(AND(N113&gt;0,N113&lt;=O113),1,0)</x:f>
        <x:v>0</x:v>
      </x:c>
      <x:c r="Q113" s="22" t="n">
        <x:v>0</x:v>
      </x:c>
      <x:c r="R113" s="37" t="n">
        <x:f>IF(AND(P113=1,Q113=1),MIN(F113,M113,R112),0)</x:f>
        <x:v>0</x:v>
      </x:c>
      <x:c r="S113" s="23" t="str">
        <x:f>IF(R113&gt;=F113,"ADMITTED","NOT ADMITTED")</x:f>
        <x:v>NOT ADMITTED</x:v>
      </x:c>
    </x:row>
    <x:row r="114">
      <x:c r="B114" s="21" t="str">
        <x:v>SL-0108</x:v>
      </x:c>
      <x:c r="C114" s="21" t="str">
        <x:v>F09</x:v>
      </x:c>
      <x:c r="D114" s="21" t="n">
        <x:v>12</x:v>
      </x:c>
      <x:c r="E114" s="21" t="str">
        <x:v>Regeneration and replacement</x:v>
      </x:c>
      <x:c r="F114" s="37" t="n">
        <x:f>'Family Register'!L15</x:f>
        <x:v>12</x:v>
      </x:c>
      <x:c r="G114" s="37" t="n">
        <x:f>MIN(INDEX(Scenarios!$E$7:$E$12,Assumptions!C7),INDEX(Scenarios!$F$7:$F$12,Assumptions!C7))</x:f>
        <x:v>0.7</x:v>
      </x:c>
      <x:c r="H114" s="37" t="n">
        <x:f>'Family Register'!G15*'Family Register'!I15*G114</x:f>
        <x:v>13.440000000000001</x:v>
      </x:c>
      <x:c r="I114" s="37" t="n">
        <x:f>J113</x:f>
        <x:v>12</x:v>
      </x:c>
      <x:c r="J114" s="37" t="n">
        <x:f>MIN(F114,H114,I114)</x:f>
        <x:v>12</x:v>
      </x:c>
      <x:c r="K114" s="22" t="n">
        <x:v>0</x:v>
      </x:c>
      <x:c r="L114" s="22" t="n">
        <x:v>0</x:v>
      </x:c>
      <x:c r="M114" s="37" t="n">
        <x:f>K114*L114</x:f>
        <x:v>0</x:v>
      </x:c>
      <x:c r="N114" s="22" t="n">
        <x:v>0</x:v>
      </x:c>
      <x:c r="O114" s="37" t="n">
        <x:f>'Family Register'!H15+168</x:f>
        <x:v>336</x:v>
      </x:c>
      <x:c r="P114" s="37" t="n">
        <x:f>IF(AND(N114&gt;0,N114&lt;=O114),1,0)</x:f>
        <x:v>0</x:v>
      </x:c>
      <x:c r="Q114" s="22" t="n">
        <x:v>0</x:v>
      </x:c>
      <x:c r="R114" s="37" t="n">
        <x:f>IF(AND(P114=1,Q114=1),MIN(F114,M114,R113),0)</x:f>
        <x:v>0</x:v>
      </x:c>
      <x:c r="S114" s="23" t="str">
        <x:f>IF(R114&gt;=F114,"ADMITTED","NOT ADMITTED")</x:f>
        <x:v>NOT ADMITTED</x:v>
      </x:c>
    </x:row>
    <x:row r="115">
      <x:c r="B115" s="21" t="str">
        <x:v>SL-0109</x:v>
      </x:c>
      <x:c r="C115" s="21" t="str">
        <x:v>F10</x:v>
      </x:c>
      <x:c r="D115" s="21" t="n">
        <x:v>1</x:v>
      </x:c>
      <x:c r="E115" s="21" t="str">
        <x:v>Alert authentication</x:v>
      </x:c>
      <x:c r="F115" s="37" t="n">
        <x:f>'Family Register'!L16</x:f>
        <x:v>6</x:v>
      </x:c>
      <x:c r="G115" s="37" t="n">
        <x:f>INDEX(Scenarios!$K$7:$K$12,Assumptions!C7)</x:f>
        <x:v>0.75</x:v>
      </x:c>
      <x:c r="H115" s="37" t="n">
        <x:f>'Family Register'!G16*'Family Register'!I16*G115</x:f>
        <x:v>7.200000000000001</x:v>
      </x:c>
      <x:c r="I115" s="37" t="n">
        <x:f>F115</x:f>
        <x:v>6</x:v>
      </x:c>
      <x:c r="J115" s="37" t="n">
        <x:f>MIN(F115,H115,I115)</x:f>
        <x:v>6</x:v>
      </x:c>
      <x:c r="K115" s="22" t="n">
        <x:v>0</x:v>
      </x:c>
      <x:c r="L115" s="22" t="n">
        <x:v>0</x:v>
      </x:c>
      <x:c r="M115" s="37" t="n">
        <x:f>K115*L115</x:f>
        <x:v>0</x:v>
      </x:c>
      <x:c r="N115" s="22" t="n">
        <x:v>0</x:v>
      </x:c>
      <x:c r="O115" s="37" t="n">
        <x:f>2</x:f>
        <x:v>2</x:v>
      </x:c>
      <x:c r="P115" s="37" t="n">
        <x:f>IF(AND(N115&gt;0,N115&lt;=O115),1,0)</x:f>
        <x:v>0</x:v>
      </x:c>
      <x:c r="Q115" s="22" t="n">
        <x:v>0</x:v>
      </x:c>
      <x:c r="R115" s="37" t="n">
        <x:f>IF(AND(P115=1,Q115=1),MIN(F115,M115),0)</x:f>
        <x:v>0</x:v>
      </x:c>
      <x:c r="S115" s="23" t="str">
        <x:f>IF(R115&gt;=F115,"ADMITTED","NOT ADMITTED")</x:f>
        <x:v>NOT ADMITTED</x:v>
      </x:c>
    </x:row>
    <x:row r="116">
      <x:c r="B116" s="21" t="str">
        <x:v>SL-0110</x:v>
      </x:c>
      <x:c r="C116" s="21" t="str">
        <x:v>F10</x:v>
      </x:c>
      <x:c r="D116" s="21" t="n">
        <x:v>2</x:v>
      </x:c>
      <x:c r="E116" s="21" t="str">
        <x:v>Workforce muster</x:v>
      </x:c>
      <x:c r="F116" s="37" t="n">
        <x:f>'Family Register'!L16</x:f>
        <x:v>6</x:v>
      </x:c>
      <x:c r="G116" s="37" t="n">
        <x:f>INDEX(Scenarios!$J$7:$J$12,Assumptions!C7)</x:f>
        <x:v>0.8</x:v>
      </x:c>
      <x:c r="H116" s="37" t="n">
        <x:f>'Family Register'!G16*'Family Register'!I16*G116</x:f>
        <x:v>7.6800000000000015</x:v>
      </x:c>
      <x:c r="I116" s="37" t="n">
        <x:f>J115</x:f>
        <x:v>6</x:v>
      </x:c>
      <x:c r="J116" s="37" t="n">
        <x:f>MIN(F116,H116,I116)</x:f>
        <x:v>6</x:v>
      </x:c>
      <x:c r="K116" s="22" t="n">
        <x:v>0</x:v>
      </x:c>
      <x:c r="L116" s="22" t="n">
        <x:v>0</x:v>
      </x:c>
      <x:c r="M116" s="37" t="n">
        <x:f>K116*L116</x:f>
        <x:v>0</x:v>
      </x:c>
      <x:c r="N116" s="22" t="n">
        <x:v>0</x:v>
      </x:c>
      <x:c r="O116" s="37" t="n">
        <x:f>12</x:f>
        <x:v>12</x:v>
      </x:c>
      <x:c r="P116" s="37" t="n">
        <x:f>IF(AND(N116&gt;0,N116&lt;=O116),1,0)</x:f>
        <x:v>0</x:v>
      </x:c>
      <x:c r="Q116" s="22" t="n">
        <x:v>0</x:v>
      </x:c>
      <x:c r="R116" s="37" t="n">
        <x:f>IF(AND(P116=1,Q116=1),MIN(F116,M116,R115),0)</x:f>
        <x:v>0</x:v>
      </x:c>
      <x:c r="S116" s="23" t="str">
        <x:f>IF(R116&gt;=F116,"ADMITTED","NOT ADMITTED")</x:f>
        <x:v>NOT ADMITTED</x:v>
      </x:c>
    </x:row>
    <x:row r="117">
      <x:c r="B117" s="21" t="str">
        <x:v>SL-0111</x:v>
      </x:c>
      <x:c r="C117" s="21" t="str">
        <x:v>F10</x:v>
      </x:c>
      <x:c r="D117" s="21" t="n">
        <x:v>3</x:v>
      </x:c>
      <x:c r="E117" s="21" t="str">
        <x:v>Facility utility and safe start</x:v>
      </x:c>
      <x:c r="F117" s="37" t="n">
        <x:f>'Family Register'!L16</x:f>
        <x:v>6</x:v>
      </x:c>
      <x:c r="G117" s="37" t="n">
        <x:f>INDEX(Scenarios!$G$7:$G$12,Assumptions!C7)</x:f>
        <x:v>0.7</x:v>
      </x:c>
      <x:c r="H117" s="37" t="n">
        <x:f>'Family Register'!G16*'Family Register'!I16*G117</x:f>
        <x:v>6.720000000000001</x:v>
      </x:c>
      <x:c r="I117" s="37" t="n">
        <x:f>J116</x:f>
        <x:v>6</x:v>
      </x:c>
      <x:c r="J117" s="37" t="n">
        <x:f>MIN(F117,H117,I117)</x:f>
        <x:v>6</x:v>
      </x:c>
      <x:c r="K117" s="22" t="n">
        <x:v>0</x:v>
      </x:c>
      <x:c r="L117" s="22" t="n">
        <x:v>0</x:v>
      </x:c>
      <x:c r="M117" s="37" t="n">
        <x:f>K117*L117</x:f>
        <x:v>0</x:v>
      </x:c>
      <x:c r="N117" s="22" t="n">
        <x:v>0</x:v>
      </x:c>
      <x:c r="O117" s="37" t="n">
        <x:f>24</x:f>
        <x:v>24</x:v>
      </x:c>
      <x:c r="P117" s="37" t="n">
        <x:f>IF(AND(N117&gt;0,N117&lt;=O117),1,0)</x:f>
        <x:v>0</x:v>
      </x:c>
      <x:c r="Q117" s="22" t="n">
        <x:v>0</x:v>
      </x:c>
      <x:c r="R117" s="37" t="n">
        <x:f>IF(AND(P117=1,Q117=1),MIN(F117,M117,R116),0)</x:f>
        <x:v>0</x:v>
      </x:c>
      <x:c r="S117" s="23" t="str">
        <x:f>IF(R117&gt;=F117,"ADMITTED","NOT ADMITTED")</x:f>
        <x:v>NOT ADMITTED</x:v>
      </x:c>
    </x:row>
    <x:row r="118">
      <x:c r="B118" s="21" t="str">
        <x:v>SL-0112</x:v>
      </x:c>
      <x:c r="C118" s="21" t="str">
        <x:v>F10</x:v>
      </x:c>
      <x:c r="D118" s="21" t="n">
        <x:v>4</x:v>
      </x:c>
      <x:c r="E118" s="21" t="str">
        <x:v>Material tooling and instrument release</x:v>
      </x:c>
      <x:c r="F118" s="37" t="n">
        <x:f>'Family Register'!L16</x:f>
        <x:v>6</x:v>
      </x:c>
      <x:c r="G118" s="37" t="n">
        <x:f>INDEX(Scenarios!$E$7:$E$12,Assumptions!C7)</x:f>
        <x:v>0.75</x:v>
      </x:c>
      <x:c r="H118" s="37" t="n">
        <x:f>'Family Register'!G16*'Family Register'!I16*G118</x:f>
        <x:v>7.200000000000001</x:v>
      </x:c>
      <x:c r="I118" s="37" t="n">
        <x:f>J117</x:f>
        <x:v>6</x:v>
      </x:c>
      <x:c r="J118" s="37" t="n">
        <x:f>MIN(F118,H118,I118)</x:f>
        <x:v>6</x:v>
      </x:c>
      <x:c r="K118" s="22" t="n">
        <x:v>0</x:v>
      </x:c>
      <x:c r="L118" s="22" t="n">
        <x:v>0</x:v>
      </x:c>
      <x:c r="M118" s="37" t="n">
        <x:f>K118*L118</x:f>
        <x:v>0</x:v>
      </x:c>
      <x:c r="N118" s="22" t="n">
        <x:v>0</x:v>
      </x:c>
      <x:c r="O118" s="37" t="n">
        <x:f>36</x:f>
        <x:v>36</x:v>
      </x:c>
      <x:c r="P118" s="37" t="n">
        <x:f>IF(AND(N118&gt;0,N118&lt;=O118),1,0)</x:f>
        <x:v>0</x:v>
      </x:c>
      <x:c r="Q118" s="22" t="n">
        <x:v>0</x:v>
      </x:c>
      <x:c r="R118" s="37" t="n">
        <x:f>IF(AND(P118=1,Q118=1),MIN(F118,M118,R117),0)</x:f>
        <x:v>0</x:v>
      </x:c>
      <x:c r="S118" s="23" t="str">
        <x:f>IF(R118&gt;=F118,"ADMITTED","NOT ADMITTED")</x:f>
        <x:v>NOT ADMITTED</x:v>
      </x:c>
    </x:row>
    <x:row r="119">
      <x:c r="B119" s="21" t="str">
        <x:v>SL-0113</x:v>
      </x:c>
      <x:c r="C119" s="21" t="str">
        <x:v>F10</x:v>
      </x:c>
      <x:c r="D119" s="21" t="n">
        <x:v>5</x:v>
      </x:c>
      <x:c r="E119" s="21" t="str">
        <x:v>Supplier and process activation</x:v>
      </x:c>
      <x:c r="F119" s="37" t="n">
        <x:f>'Family Register'!L16</x:f>
        <x:v>6</x:v>
      </x:c>
      <x:c r="G119" s="37" t="n">
        <x:f>MIN(INDEX(Scenarios!$E$7:$E$12,Assumptions!C7),INDEX(Scenarios!$F$7:$F$12,Assumptions!C7))</x:f>
        <x:v>0.7</x:v>
      </x:c>
      <x:c r="H119" s="37" t="n">
        <x:f>'Family Register'!G16*'Family Register'!I16*G119</x:f>
        <x:v>6.720000000000001</x:v>
      </x:c>
      <x:c r="I119" s="37" t="n">
        <x:f>J118</x:f>
        <x:v>6</x:v>
      </x:c>
      <x:c r="J119" s="37" t="n">
        <x:f>MIN(F119,H119,I119)</x:f>
        <x:v>6</x:v>
      </x:c>
      <x:c r="K119" s="22" t="n">
        <x:v>0</x:v>
      </x:c>
      <x:c r="L119" s="22" t="n">
        <x:v>0</x:v>
      </x:c>
      <x:c r="M119" s="37" t="n">
        <x:f>K119*L119</x:f>
        <x:v>0</x:v>
      </x:c>
      <x:c r="N119" s="22" t="n">
        <x:v>0</x:v>
      </x:c>
      <x:c r="O119" s="37" t="n">
        <x:f>48</x:f>
        <x:v>48</x:v>
      </x:c>
      <x:c r="P119" s="37" t="n">
        <x:f>IF(AND(N119&gt;0,N119&lt;=O119),1,0)</x:f>
        <x:v>0</x:v>
      </x:c>
      <x:c r="Q119" s="22" t="n">
        <x:v>0</x:v>
      </x:c>
      <x:c r="R119" s="37" t="n">
        <x:f>IF(AND(P119=1,Q119=1),MIN(F119,M119,R118),0)</x:f>
        <x:v>0</x:v>
      </x:c>
      <x:c r="S119" s="23" t="str">
        <x:f>IF(R119&gt;=F119,"ADMITTED","NOT ADMITTED")</x:f>
        <x:v>NOT ADMITTED</x:v>
      </x:c>
    </x:row>
    <x:row r="120">
      <x:c r="B120" s="21" t="str">
        <x:v>SL-0114</x:v>
      </x:c>
      <x:c r="C120" s="21" t="str">
        <x:v>F10</x:v>
      </x:c>
      <x:c r="D120" s="21" t="n">
        <x:v>6</x:v>
      </x:c>
      <x:c r="E120" s="21" t="str">
        <x:v>Conforming production</x:v>
      </x:c>
      <x:c r="F120" s="37" t="n">
        <x:f>'Family Register'!L16</x:f>
        <x:v>6</x:v>
      </x:c>
      <x:c r="G120" s="37" t="n">
        <x:f>INDEX(Scenarios!$F$7:$F$12,Assumptions!C7)</x:f>
        <x:v>0.7</x:v>
      </x:c>
      <x:c r="H120" s="37" t="n">
        <x:f>'Family Register'!G16*'Family Register'!I16*G120</x:f>
        <x:v>6.720000000000001</x:v>
      </x:c>
      <x:c r="I120" s="37" t="n">
        <x:f>J119</x:f>
        <x:v>6</x:v>
      </x:c>
      <x:c r="J120" s="37" t="n">
        <x:f>MIN(F120,H120,I120)</x:f>
        <x:v>6</x:v>
      </x:c>
      <x:c r="K120" s="22" t="n">
        <x:v>0</x:v>
      </x:c>
      <x:c r="L120" s="22" t="n">
        <x:v>0</x:v>
      </x:c>
      <x:c r="M120" s="37" t="n">
        <x:f>K120*L120</x:f>
        <x:v>0</x:v>
      </x:c>
      <x:c r="N120" s="22" t="n">
        <x:v>0</x:v>
      </x:c>
      <x:c r="O120" s="37" t="n">
        <x:f>'Family Register'!H16*0.55</x:f>
        <x:v>184.8</x:v>
      </x:c>
      <x:c r="P120" s="37" t="n">
        <x:f>IF(AND(N120&gt;0,N120&lt;=O120),1,0)</x:f>
        <x:v>0</x:v>
      </x:c>
      <x:c r="Q120" s="22" t="n">
        <x:v>0</x:v>
      </x:c>
      <x:c r="R120" s="37" t="n">
        <x:f>IF(AND(P120=1,Q120=1),MIN(F120,M120,R119),0)</x:f>
        <x:v>0</x:v>
      </x:c>
      <x:c r="S120" s="23" t="str">
        <x:f>IF(R120&gt;=F120,"ADMITTED","NOT ADMITTED")</x:f>
        <x:v>NOT ADMITTED</x:v>
      </x:c>
    </x:row>
    <x:row r="121">
      <x:c r="B121" s="21" t="str">
        <x:v>SL-0115</x:v>
      </x:c>
      <x:c r="C121" s="21" t="str">
        <x:v>F10</x:v>
      </x:c>
      <x:c r="D121" s="21" t="n">
        <x:v>7</x:v>
      </x:c>
      <x:c r="E121" s="21" t="str">
        <x:v>Independent acceptance</x:v>
      </x:c>
      <x:c r="F121" s="37" t="n">
        <x:f>'Family Register'!L16</x:f>
        <x:v>6</x:v>
      </x:c>
      <x:c r="G121" s="37" t="n">
        <x:f>INDEX(Scenarios!$L$7:$L$12,Assumptions!C7)</x:f>
        <x:v>0.8</x:v>
      </x:c>
      <x:c r="H121" s="37" t="n">
        <x:f>'Family Register'!G16*'Family Register'!I16*G121</x:f>
        <x:v>7.6800000000000015</x:v>
      </x:c>
      <x:c r="I121" s="37" t="n">
        <x:f>J120</x:f>
        <x:v>6</x:v>
      </x:c>
      <x:c r="J121" s="37" t="n">
        <x:f>MIN(F121,H121,I121)</x:f>
        <x:v>6</x:v>
      </x:c>
      <x:c r="K121" s="22" t="n">
        <x:v>0</x:v>
      </x:c>
      <x:c r="L121" s="22" t="n">
        <x:v>0</x:v>
      </x:c>
      <x:c r="M121" s="37" t="n">
        <x:f>K121*L121</x:f>
        <x:v>0</x:v>
      </x:c>
      <x:c r="N121" s="22" t="n">
        <x:v>0</x:v>
      </x:c>
      <x:c r="O121" s="37" t="n">
        <x:f>'Family Register'!H16*0.65</x:f>
        <x:v>218.4</x:v>
      </x:c>
      <x:c r="P121" s="37" t="n">
        <x:f>IF(AND(N121&gt;0,N121&lt;=O121),1,0)</x:f>
        <x:v>0</x:v>
      </x:c>
      <x:c r="Q121" s="22" t="n">
        <x:v>0</x:v>
      </x:c>
      <x:c r="R121" s="37" t="n">
        <x:f>IF(AND(P121=1,Q121=1),MIN(F121,M121,R120),0)</x:f>
        <x:v>0</x:v>
      </x:c>
      <x:c r="S121" s="23" t="str">
        <x:f>IF(R121&gt;=F121,"ADMITTED","NOT ADMITTED")</x:f>
        <x:v>NOT ADMITTED</x:v>
      </x:c>
    </x:row>
    <x:row r="122">
      <x:c r="B122" s="21" t="str">
        <x:v>SL-0116</x:v>
      </x:c>
      <x:c r="C122" s="21" t="str">
        <x:v>F10</x:v>
      </x:c>
      <x:c r="D122" s="21" t="n">
        <x:v>8</x:v>
      </x:c>
      <x:c r="E122" s="21" t="str">
        <x:v>Loadout and custody transfer</x:v>
      </x:c>
      <x:c r="F122" s="37" t="n">
        <x:f>'Family Register'!L16</x:f>
        <x:v>6</x:v>
      </x:c>
      <x:c r="G122" s="37" t="n">
        <x:f>INDEX(Scenarios!$H$7:$H$12,Assumptions!C7)</x:f>
        <x:v>0.65</x:v>
      </x:c>
      <x:c r="H122" s="37" t="n">
        <x:f>'Family Register'!G16*'Family Register'!I16*G122</x:f>
        <x:v>6.240000000000001</x:v>
      </x:c>
      <x:c r="I122" s="37" t="n">
        <x:f>J121</x:f>
        <x:v>6</x:v>
      </x:c>
      <x:c r="J122" s="37" t="n">
        <x:f>MIN(F122,H122,I122)</x:f>
        <x:v>6</x:v>
      </x:c>
      <x:c r="K122" s="22" t="n">
        <x:v>0</x:v>
      </x:c>
      <x:c r="L122" s="22" t="n">
        <x:v>0</x:v>
      </x:c>
      <x:c r="M122" s="37" t="n">
        <x:f>K122*L122</x:f>
        <x:v>0</x:v>
      </x:c>
      <x:c r="N122" s="22" t="n">
        <x:v>0</x:v>
      </x:c>
      <x:c r="O122" s="37" t="n">
        <x:f>'Family Register'!H16*0.7</x:f>
        <x:v>235.2</x:v>
      </x:c>
      <x:c r="P122" s="37" t="n">
        <x:f>IF(AND(N122&gt;0,N122&lt;=O122),1,0)</x:f>
        <x:v>0</x:v>
      </x:c>
      <x:c r="Q122" s="22" t="n">
        <x:v>0</x:v>
      </x:c>
      <x:c r="R122" s="37" t="n">
        <x:f>IF(AND(P122=1,Q122=1),MIN(F122,M122,R121),0)</x:f>
        <x:v>0</x:v>
      </x:c>
      <x:c r="S122" s="23" t="str">
        <x:f>IF(R122&gt;=F122,"ADMITTED","NOT ADMITTED")</x:f>
        <x:v>NOT ADMITTED</x:v>
      </x:c>
    </x:row>
    <x:row r="123">
      <x:c r="B123" s="21" t="str">
        <x:v>SL-0117</x:v>
      </x:c>
      <x:c r="C123" s="21" t="str">
        <x:v>F10</x:v>
      </x:c>
      <x:c r="D123" s="21" t="n">
        <x:v>9</x:v>
      </x:c>
      <x:c r="E123" s="21" t="str">
        <x:v>Strategic transport</x:v>
      </x:c>
      <x:c r="F123" s="37" t="n">
        <x:f>'Family Register'!L16</x:f>
        <x:v>6</x:v>
      </x:c>
      <x:c r="G123" s="37" t="n">
        <x:f>INDEX(Scenarios!$H$7:$H$12,Assumptions!C7)</x:f>
        <x:v>0.65</x:v>
      </x:c>
      <x:c r="H123" s="37" t="n">
        <x:f>'Family Register'!G16*'Family Register'!I16*G123</x:f>
        <x:v>6.240000000000001</x:v>
      </x:c>
      <x:c r="I123" s="37" t="n">
        <x:f>J122</x:f>
        <x:v>6</x:v>
      </x:c>
      <x:c r="J123" s="37" t="n">
        <x:f>MIN(F123,H123,I123)</x:f>
        <x:v>6</x:v>
      </x:c>
      <x:c r="K123" s="22" t="n">
        <x:v>0</x:v>
      </x:c>
      <x:c r="L123" s="22" t="n">
        <x:v>0</x:v>
      </x:c>
      <x:c r="M123" s="37" t="n">
        <x:f>K123*L123</x:f>
        <x:v>0</x:v>
      </x:c>
      <x:c r="N123" s="22" t="n">
        <x:v>0</x:v>
      </x:c>
      <x:c r="O123" s="37" t="n">
        <x:f>'Family Register'!H16*0.9</x:f>
        <x:v>302.40000000000003</x:v>
      </x:c>
      <x:c r="P123" s="37" t="n">
        <x:f>IF(AND(N123&gt;0,N123&lt;=O123),1,0)</x:f>
        <x:v>0</x:v>
      </x:c>
      <x:c r="Q123" s="22" t="n">
        <x:v>0</x:v>
      </x:c>
      <x:c r="R123" s="37" t="n">
        <x:f>IF(AND(P123=1,Q123=1),MIN(F123,M123,R122),0)</x:f>
        <x:v>0</x:v>
      </x:c>
      <x:c r="S123" s="23" t="str">
        <x:f>IF(R123&gt;=F123,"ADMITTED","NOT ADMITTED")</x:f>
        <x:v>NOT ADMITTED</x:v>
      </x:c>
    </x:row>
    <x:row r="124">
      <x:c r="B124" s="21" t="str">
        <x:v>SL-0118</x:v>
      </x:c>
      <x:c r="C124" s="21" t="str">
        <x:v>F10</x:v>
      </x:c>
      <x:c r="D124" s="21" t="n">
        <x:v>10</x:v>
      </x:c>
      <x:c r="E124" s="21" t="str">
        <x:v>Receiving-node admission</x:v>
      </x:c>
      <x:c r="F124" s="37" t="n">
        <x:f>'Family Register'!L16</x:f>
        <x:v>6</x:v>
      </x:c>
      <x:c r="G124" s="37" t="n">
        <x:f>INDEX(Scenarios!$I$7:$I$12,Assumptions!C7)</x:f>
        <x:v>0.75</x:v>
      </x:c>
      <x:c r="H124" s="37" t="n">
        <x:f>'Family Register'!G16*'Family Register'!I16*G124</x:f>
        <x:v>7.200000000000001</x:v>
      </x:c>
      <x:c r="I124" s="37" t="n">
        <x:f>J123</x:f>
        <x:v>6</x:v>
      </x:c>
      <x:c r="J124" s="37" t="n">
        <x:f>MIN(F124,H124,I124)</x:f>
        <x:v>6</x:v>
      </x:c>
      <x:c r="K124" s="22" t="n">
        <x:v>0</x:v>
      </x:c>
      <x:c r="L124" s="22" t="n">
        <x:v>0</x:v>
      </x:c>
      <x:c r="M124" s="37" t="n">
        <x:f>K124*L124</x:f>
        <x:v>0</x:v>
      </x:c>
      <x:c r="N124" s="22" t="n">
        <x:v>0</x:v>
      </x:c>
      <x:c r="O124" s="37" t="n">
        <x:f>'Family Register'!H16*0.94</x:f>
        <x:v>315.84</x:v>
      </x:c>
      <x:c r="P124" s="37" t="n">
        <x:f>IF(AND(N124&gt;0,N124&lt;=O124),1,0)</x:f>
        <x:v>0</x:v>
      </x:c>
      <x:c r="Q124" s="22" t="n">
        <x:v>0</x:v>
      </x:c>
      <x:c r="R124" s="37" t="n">
        <x:f>IF(AND(P124=1,Q124=1),MIN(F124,M124,R123),0)</x:f>
        <x:v>0</x:v>
      </x:c>
      <x:c r="S124" s="23" t="str">
        <x:f>IF(R124&gt;=F124,"ADMITTED","NOT ADMITTED")</x:f>
        <x:v>NOT ADMITTED</x:v>
      </x:c>
    </x:row>
    <x:row r="125">
      <x:c r="B125" s="21" t="str">
        <x:v>SL-0119</x:v>
      </x:c>
      <x:c r="C125" s="21" t="str">
        <x:v>F10</x:v>
      </x:c>
      <x:c r="D125" s="21" t="n">
        <x:v>11</x:v>
      </x:c>
      <x:c r="E125" s="21" t="str">
        <x:v>Commissioned public service</x:v>
      </x:c>
      <x:c r="F125" s="37" t="n">
        <x:f>'Family Register'!L16</x:f>
        <x:v>6</x:v>
      </x:c>
      <x:c r="G125" s="37" t="n">
        <x:f>MIN(INDEX(Scenarios!$G$7:$G$12,Assumptions!C7),INDEX(Scenarios!$I$7:$I$12,Assumptions!C7))</x:f>
        <x:v>0.7</x:v>
      </x:c>
      <x:c r="H125" s="37" t="n">
        <x:f>'Family Register'!G16*'Family Register'!I16*G125</x:f>
        <x:v>6.720000000000001</x:v>
      </x:c>
      <x:c r="I125" s="37" t="n">
        <x:f>J124</x:f>
        <x:v>6</x:v>
      </x:c>
      <x:c r="J125" s="37" t="n">
        <x:f>MIN(F125,H125,I125)</x:f>
        <x:v>6</x:v>
      </x:c>
      <x:c r="K125" s="22" t="n">
        <x:v>0</x:v>
      </x:c>
      <x:c r="L125" s="22" t="n">
        <x:v>0</x:v>
      </x:c>
      <x:c r="M125" s="37" t="n">
        <x:f>K125*L125</x:f>
        <x:v>0</x:v>
      </x:c>
      <x:c r="N125" s="22" t="n">
        <x:v>0</x:v>
      </x:c>
      <x:c r="O125" s="37" t="n">
        <x:f>'Family Register'!H16*1</x:f>
        <x:v>336</x:v>
      </x:c>
      <x:c r="P125" s="37" t="n">
        <x:f>IF(AND(N125&gt;0,N125&lt;=O125),1,0)</x:f>
        <x:v>0</x:v>
      </x:c>
      <x:c r="Q125" s="22" t="n">
        <x:v>0</x:v>
      </x:c>
      <x:c r="R125" s="37" t="n">
        <x:f>IF(AND(P125=1,Q125=1),MIN(F125,M125,R124),0)</x:f>
        <x:v>0</x:v>
      </x:c>
      <x:c r="S125" s="23" t="str">
        <x:f>IF(R125&gt;=F125,"ADMITTED","NOT ADMITTED")</x:f>
        <x:v>NOT ADMITTED</x:v>
      </x:c>
    </x:row>
    <x:row r="126">
      <x:c r="B126" s="21" t="str">
        <x:v>SL-0120</x:v>
      </x:c>
      <x:c r="C126" s="21" t="str">
        <x:v>F10</x:v>
      </x:c>
      <x:c r="D126" s="21" t="n">
        <x:v>12</x:v>
      </x:c>
      <x:c r="E126" s="21" t="str">
        <x:v>Regeneration and replacement</x:v>
      </x:c>
      <x:c r="F126" s="37" t="n">
        <x:f>'Family Register'!L16</x:f>
        <x:v>6</x:v>
      </x:c>
      <x:c r="G126" s="37" t="n">
        <x:f>MIN(INDEX(Scenarios!$E$7:$E$12,Assumptions!C7),INDEX(Scenarios!$F$7:$F$12,Assumptions!C7))</x:f>
        <x:v>0.7</x:v>
      </x:c>
      <x:c r="H126" s="37" t="n">
        <x:f>'Family Register'!G16*'Family Register'!I16*G126</x:f>
        <x:v>6.720000000000001</x:v>
      </x:c>
      <x:c r="I126" s="37" t="n">
        <x:f>J125</x:f>
        <x:v>6</x:v>
      </x:c>
      <x:c r="J126" s="37" t="n">
        <x:f>MIN(F126,H126,I126)</x:f>
        <x:v>6</x:v>
      </x:c>
      <x:c r="K126" s="22" t="n">
        <x:v>0</x:v>
      </x:c>
      <x:c r="L126" s="22" t="n">
        <x:v>0</x:v>
      </x:c>
      <x:c r="M126" s="37" t="n">
        <x:f>K126*L126</x:f>
        <x:v>0</x:v>
      </x:c>
      <x:c r="N126" s="22" t="n">
        <x:v>0</x:v>
      </x:c>
      <x:c r="O126" s="37" t="n">
        <x:f>'Family Register'!H16+168</x:f>
        <x:v>504</x:v>
      </x:c>
      <x:c r="P126" s="37" t="n">
        <x:f>IF(AND(N126&gt;0,N126&lt;=O126),1,0)</x:f>
        <x:v>0</x:v>
      </x:c>
      <x:c r="Q126" s="22" t="n">
        <x:v>0</x:v>
      </x:c>
      <x:c r="R126" s="37" t="n">
        <x:f>IF(AND(P126=1,Q126=1),MIN(F126,M126,R125),0)</x:f>
        <x:v>0</x:v>
      </x:c>
      <x:c r="S126" s="23" t="str">
        <x:f>IF(R126&gt;=F126,"ADMITTED","NOT ADMITTED")</x:f>
        <x:v>NOT ADMITTED</x:v>
      </x:c>
    </x:row>
    <x:row r="127">
      <x:c r="B127" s="21" t="str">
        <x:v>SL-0121</x:v>
      </x:c>
      <x:c r="C127" s="21" t="str">
        <x:v>F11</x:v>
      </x:c>
      <x:c r="D127" s="21" t="n">
        <x:v>1</x:v>
      </x:c>
      <x:c r="E127" s="21" t="str">
        <x:v>Alert authentication</x:v>
      </x:c>
      <x:c r="F127" s="37" t="n">
        <x:f>'Family Register'!L17</x:f>
        <x:v>6</x:v>
      </x:c>
      <x:c r="G127" s="37" t="n">
        <x:f>INDEX(Scenarios!$K$7:$K$12,Assumptions!C7)</x:f>
        <x:v>0.75</x:v>
      </x:c>
      <x:c r="H127" s="37" t="n">
        <x:f>'Family Register'!G17*'Family Register'!I17*G127</x:f>
        <x:v>7.200000000000001</x:v>
      </x:c>
      <x:c r="I127" s="37" t="n">
        <x:f>F127</x:f>
        <x:v>6</x:v>
      </x:c>
      <x:c r="J127" s="37" t="n">
        <x:f>MIN(F127,H127,I127)</x:f>
        <x:v>6</x:v>
      </x:c>
      <x:c r="K127" s="22" t="n">
        <x:v>0</x:v>
      </x:c>
      <x:c r="L127" s="22" t="n">
        <x:v>0</x:v>
      </x:c>
      <x:c r="M127" s="37" t="n">
        <x:f>K127*L127</x:f>
        <x:v>0</x:v>
      </x:c>
      <x:c r="N127" s="22" t="n">
        <x:v>0</x:v>
      </x:c>
      <x:c r="O127" s="37" t="n">
        <x:f>2</x:f>
        <x:v>2</x:v>
      </x:c>
      <x:c r="P127" s="37" t="n">
        <x:f>IF(AND(N127&gt;0,N127&lt;=O127),1,0)</x:f>
        <x:v>0</x:v>
      </x:c>
      <x:c r="Q127" s="22" t="n">
        <x:v>0</x:v>
      </x:c>
      <x:c r="R127" s="37" t="n">
        <x:f>IF(AND(P127=1,Q127=1),MIN(F127,M127),0)</x:f>
        <x:v>0</x:v>
      </x:c>
      <x:c r="S127" s="23" t="str">
        <x:f>IF(R127&gt;=F127,"ADMITTED","NOT ADMITTED")</x:f>
        <x:v>NOT ADMITTED</x:v>
      </x:c>
    </x:row>
    <x:row r="128">
      <x:c r="B128" s="21" t="str">
        <x:v>SL-0122</x:v>
      </x:c>
      <x:c r="C128" s="21" t="str">
        <x:v>F11</x:v>
      </x:c>
      <x:c r="D128" s="21" t="n">
        <x:v>2</x:v>
      </x:c>
      <x:c r="E128" s="21" t="str">
        <x:v>Workforce muster</x:v>
      </x:c>
      <x:c r="F128" s="37" t="n">
        <x:f>'Family Register'!L17</x:f>
        <x:v>6</x:v>
      </x:c>
      <x:c r="G128" s="37" t="n">
        <x:f>INDEX(Scenarios!$J$7:$J$12,Assumptions!C7)</x:f>
        <x:v>0.8</x:v>
      </x:c>
      <x:c r="H128" s="37" t="n">
        <x:f>'Family Register'!G17*'Family Register'!I17*G128</x:f>
        <x:v>7.6800000000000015</x:v>
      </x:c>
      <x:c r="I128" s="37" t="n">
        <x:f>J127</x:f>
        <x:v>6</x:v>
      </x:c>
      <x:c r="J128" s="37" t="n">
        <x:f>MIN(F128,H128,I128)</x:f>
        <x:v>6</x:v>
      </x:c>
      <x:c r="K128" s="22" t="n">
        <x:v>0</x:v>
      </x:c>
      <x:c r="L128" s="22" t="n">
        <x:v>0</x:v>
      </x:c>
      <x:c r="M128" s="37" t="n">
        <x:f>K128*L128</x:f>
        <x:v>0</x:v>
      </x:c>
      <x:c r="N128" s="22" t="n">
        <x:v>0</x:v>
      </x:c>
      <x:c r="O128" s="37" t="n">
        <x:f>12</x:f>
        <x:v>12</x:v>
      </x:c>
      <x:c r="P128" s="37" t="n">
        <x:f>IF(AND(N128&gt;0,N128&lt;=O128),1,0)</x:f>
        <x:v>0</x:v>
      </x:c>
      <x:c r="Q128" s="22" t="n">
        <x:v>0</x:v>
      </x:c>
      <x:c r="R128" s="37" t="n">
        <x:f>IF(AND(P128=1,Q128=1),MIN(F128,M128,R127),0)</x:f>
        <x:v>0</x:v>
      </x:c>
      <x:c r="S128" s="23" t="str">
        <x:f>IF(R128&gt;=F128,"ADMITTED","NOT ADMITTED")</x:f>
        <x:v>NOT ADMITTED</x:v>
      </x:c>
    </x:row>
    <x:row r="129">
      <x:c r="B129" s="21" t="str">
        <x:v>SL-0123</x:v>
      </x:c>
      <x:c r="C129" s="21" t="str">
        <x:v>F11</x:v>
      </x:c>
      <x:c r="D129" s="21" t="n">
        <x:v>3</x:v>
      </x:c>
      <x:c r="E129" s="21" t="str">
        <x:v>Facility utility and safe start</x:v>
      </x:c>
      <x:c r="F129" s="37" t="n">
        <x:f>'Family Register'!L17</x:f>
        <x:v>6</x:v>
      </x:c>
      <x:c r="G129" s="37" t="n">
        <x:f>INDEX(Scenarios!$G$7:$G$12,Assumptions!C7)</x:f>
        <x:v>0.7</x:v>
      </x:c>
      <x:c r="H129" s="37" t="n">
        <x:f>'Family Register'!G17*'Family Register'!I17*G129</x:f>
        <x:v>6.720000000000001</x:v>
      </x:c>
      <x:c r="I129" s="37" t="n">
        <x:f>J128</x:f>
        <x:v>6</x:v>
      </x:c>
      <x:c r="J129" s="37" t="n">
        <x:f>MIN(F129,H129,I129)</x:f>
        <x:v>6</x:v>
      </x:c>
      <x:c r="K129" s="22" t="n">
        <x:v>0</x:v>
      </x:c>
      <x:c r="L129" s="22" t="n">
        <x:v>0</x:v>
      </x:c>
      <x:c r="M129" s="37" t="n">
        <x:f>K129*L129</x:f>
        <x:v>0</x:v>
      </x:c>
      <x:c r="N129" s="22" t="n">
        <x:v>0</x:v>
      </x:c>
      <x:c r="O129" s="37" t="n">
        <x:f>24</x:f>
        <x:v>24</x:v>
      </x:c>
      <x:c r="P129" s="37" t="n">
        <x:f>IF(AND(N129&gt;0,N129&lt;=O129),1,0)</x:f>
        <x:v>0</x:v>
      </x:c>
      <x:c r="Q129" s="22" t="n">
        <x:v>0</x:v>
      </x:c>
      <x:c r="R129" s="37" t="n">
        <x:f>IF(AND(P129=1,Q129=1),MIN(F129,M129,R128),0)</x:f>
        <x:v>0</x:v>
      </x:c>
      <x:c r="S129" s="23" t="str">
        <x:f>IF(R129&gt;=F129,"ADMITTED","NOT ADMITTED")</x:f>
        <x:v>NOT ADMITTED</x:v>
      </x:c>
    </x:row>
    <x:row r="130">
      <x:c r="B130" s="21" t="str">
        <x:v>SL-0124</x:v>
      </x:c>
      <x:c r="C130" s="21" t="str">
        <x:v>F11</x:v>
      </x:c>
      <x:c r="D130" s="21" t="n">
        <x:v>4</x:v>
      </x:c>
      <x:c r="E130" s="21" t="str">
        <x:v>Material tooling and instrument release</x:v>
      </x:c>
      <x:c r="F130" s="37" t="n">
        <x:f>'Family Register'!L17</x:f>
        <x:v>6</x:v>
      </x:c>
      <x:c r="G130" s="37" t="n">
        <x:f>INDEX(Scenarios!$E$7:$E$12,Assumptions!C7)</x:f>
        <x:v>0.75</x:v>
      </x:c>
      <x:c r="H130" s="37" t="n">
        <x:f>'Family Register'!G17*'Family Register'!I17*G130</x:f>
        <x:v>7.200000000000001</x:v>
      </x:c>
      <x:c r="I130" s="37" t="n">
        <x:f>J129</x:f>
        <x:v>6</x:v>
      </x:c>
      <x:c r="J130" s="37" t="n">
        <x:f>MIN(F130,H130,I130)</x:f>
        <x:v>6</x:v>
      </x:c>
      <x:c r="K130" s="22" t="n">
        <x:v>0</x:v>
      </x:c>
      <x:c r="L130" s="22" t="n">
        <x:v>0</x:v>
      </x:c>
      <x:c r="M130" s="37" t="n">
        <x:f>K130*L130</x:f>
        <x:v>0</x:v>
      </x:c>
      <x:c r="N130" s="22" t="n">
        <x:v>0</x:v>
      </x:c>
      <x:c r="O130" s="37" t="n">
        <x:f>36</x:f>
        <x:v>36</x:v>
      </x:c>
      <x:c r="P130" s="37" t="n">
        <x:f>IF(AND(N130&gt;0,N130&lt;=O130),1,0)</x:f>
        <x:v>0</x:v>
      </x:c>
      <x:c r="Q130" s="22" t="n">
        <x:v>0</x:v>
      </x:c>
      <x:c r="R130" s="37" t="n">
        <x:f>IF(AND(P130=1,Q130=1),MIN(F130,M130,R129),0)</x:f>
        <x:v>0</x:v>
      </x:c>
      <x:c r="S130" s="23" t="str">
        <x:f>IF(R130&gt;=F130,"ADMITTED","NOT ADMITTED")</x:f>
        <x:v>NOT ADMITTED</x:v>
      </x:c>
    </x:row>
    <x:row r="131">
      <x:c r="B131" s="21" t="str">
        <x:v>SL-0125</x:v>
      </x:c>
      <x:c r="C131" s="21" t="str">
        <x:v>F11</x:v>
      </x:c>
      <x:c r="D131" s="21" t="n">
        <x:v>5</x:v>
      </x:c>
      <x:c r="E131" s="21" t="str">
        <x:v>Supplier and process activation</x:v>
      </x:c>
      <x:c r="F131" s="37" t="n">
        <x:f>'Family Register'!L17</x:f>
        <x:v>6</x:v>
      </x:c>
      <x:c r="G131" s="37" t="n">
        <x:f>MIN(INDEX(Scenarios!$E$7:$E$12,Assumptions!C7),INDEX(Scenarios!$F$7:$F$12,Assumptions!C7))</x:f>
        <x:v>0.7</x:v>
      </x:c>
      <x:c r="H131" s="37" t="n">
        <x:f>'Family Register'!G17*'Family Register'!I17*G131</x:f>
        <x:v>6.720000000000001</x:v>
      </x:c>
      <x:c r="I131" s="37" t="n">
        <x:f>J130</x:f>
        <x:v>6</x:v>
      </x:c>
      <x:c r="J131" s="37" t="n">
        <x:f>MIN(F131,H131,I131)</x:f>
        <x:v>6</x:v>
      </x:c>
      <x:c r="K131" s="22" t="n">
        <x:v>0</x:v>
      </x:c>
      <x:c r="L131" s="22" t="n">
        <x:v>0</x:v>
      </x:c>
      <x:c r="M131" s="37" t="n">
        <x:f>K131*L131</x:f>
        <x:v>0</x:v>
      </x:c>
      <x:c r="N131" s="22" t="n">
        <x:v>0</x:v>
      </x:c>
      <x:c r="O131" s="37" t="n">
        <x:f>48</x:f>
        <x:v>48</x:v>
      </x:c>
      <x:c r="P131" s="37" t="n">
        <x:f>IF(AND(N131&gt;0,N131&lt;=O131),1,0)</x:f>
        <x:v>0</x:v>
      </x:c>
      <x:c r="Q131" s="22" t="n">
        <x:v>0</x:v>
      </x:c>
      <x:c r="R131" s="37" t="n">
        <x:f>IF(AND(P131=1,Q131=1),MIN(F131,M131,R130),0)</x:f>
        <x:v>0</x:v>
      </x:c>
      <x:c r="S131" s="23" t="str">
        <x:f>IF(R131&gt;=F131,"ADMITTED","NOT ADMITTED")</x:f>
        <x:v>NOT ADMITTED</x:v>
      </x:c>
    </x:row>
    <x:row r="132">
      <x:c r="B132" s="21" t="str">
        <x:v>SL-0126</x:v>
      </x:c>
      <x:c r="C132" s="21" t="str">
        <x:v>F11</x:v>
      </x:c>
      <x:c r="D132" s="21" t="n">
        <x:v>6</x:v>
      </x:c>
      <x:c r="E132" s="21" t="str">
        <x:v>Conforming production</x:v>
      </x:c>
      <x:c r="F132" s="37" t="n">
        <x:f>'Family Register'!L17</x:f>
        <x:v>6</x:v>
      </x:c>
      <x:c r="G132" s="37" t="n">
        <x:f>INDEX(Scenarios!$F$7:$F$12,Assumptions!C7)</x:f>
        <x:v>0.7</x:v>
      </x:c>
      <x:c r="H132" s="37" t="n">
        <x:f>'Family Register'!G17*'Family Register'!I17*G132</x:f>
        <x:v>6.720000000000001</x:v>
      </x:c>
      <x:c r="I132" s="37" t="n">
        <x:f>J131</x:f>
        <x:v>6</x:v>
      </x:c>
      <x:c r="J132" s="37" t="n">
        <x:f>MIN(F132,H132,I132)</x:f>
        <x:v>6</x:v>
      </x:c>
      <x:c r="K132" s="22" t="n">
        <x:v>0</x:v>
      </x:c>
      <x:c r="L132" s="22" t="n">
        <x:v>0</x:v>
      </x:c>
      <x:c r="M132" s="37" t="n">
        <x:f>K132*L132</x:f>
        <x:v>0</x:v>
      </x:c>
      <x:c r="N132" s="22" t="n">
        <x:v>0</x:v>
      </x:c>
      <x:c r="O132" s="37" t="n">
        <x:f>'Family Register'!H17*0.55</x:f>
        <x:v>184.8</x:v>
      </x:c>
      <x:c r="P132" s="37" t="n">
        <x:f>IF(AND(N132&gt;0,N132&lt;=O132),1,0)</x:f>
        <x:v>0</x:v>
      </x:c>
      <x:c r="Q132" s="22" t="n">
        <x:v>0</x:v>
      </x:c>
      <x:c r="R132" s="37" t="n">
        <x:f>IF(AND(P132=1,Q132=1),MIN(F132,M132,R131),0)</x:f>
        <x:v>0</x:v>
      </x:c>
      <x:c r="S132" s="23" t="str">
        <x:f>IF(R132&gt;=F132,"ADMITTED","NOT ADMITTED")</x:f>
        <x:v>NOT ADMITTED</x:v>
      </x:c>
    </x:row>
    <x:row r="133">
      <x:c r="B133" s="21" t="str">
        <x:v>SL-0127</x:v>
      </x:c>
      <x:c r="C133" s="21" t="str">
        <x:v>F11</x:v>
      </x:c>
      <x:c r="D133" s="21" t="n">
        <x:v>7</x:v>
      </x:c>
      <x:c r="E133" s="21" t="str">
        <x:v>Independent acceptance</x:v>
      </x:c>
      <x:c r="F133" s="37" t="n">
        <x:f>'Family Register'!L17</x:f>
        <x:v>6</x:v>
      </x:c>
      <x:c r="G133" s="37" t="n">
        <x:f>INDEX(Scenarios!$L$7:$L$12,Assumptions!C7)</x:f>
        <x:v>0.8</x:v>
      </x:c>
      <x:c r="H133" s="37" t="n">
        <x:f>'Family Register'!G17*'Family Register'!I17*G133</x:f>
        <x:v>7.6800000000000015</x:v>
      </x:c>
      <x:c r="I133" s="37" t="n">
        <x:f>J132</x:f>
        <x:v>6</x:v>
      </x:c>
      <x:c r="J133" s="37" t="n">
        <x:f>MIN(F133,H133,I133)</x:f>
        <x:v>6</x:v>
      </x:c>
      <x:c r="K133" s="22" t="n">
        <x:v>0</x:v>
      </x:c>
      <x:c r="L133" s="22" t="n">
        <x:v>0</x:v>
      </x:c>
      <x:c r="M133" s="37" t="n">
        <x:f>K133*L133</x:f>
        <x:v>0</x:v>
      </x:c>
      <x:c r="N133" s="22" t="n">
        <x:v>0</x:v>
      </x:c>
      <x:c r="O133" s="37" t="n">
        <x:f>'Family Register'!H17*0.65</x:f>
        <x:v>218.4</x:v>
      </x:c>
      <x:c r="P133" s="37" t="n">
        <x:f>IF(AND(N133&gt;0,N133&lt;=O133),1,0)</x:f>
        <x:v>0</x:v>
      </x:c>
      <x:c r="Q133" s="22" t="n">
        <x:v>0</x:v>
      </x:c>
      <x:c r="R133" s="37" t="n">
        <x:f>IF(AND(P133=1,Q133=1),MIN(F133,M133,R132),0)</x:f>
        <x:v>0</x:v>
      </x:c>
      <x:c r="S133" s="23" t="str">
        <x:f>IF(R133&gt;=F133,"ADMITTED","NOT ADMITTED")</x:f>
        <x:v>NOT ADMITTED</x:v>
      </x:c>
    </x:row>
    <x:row r="134">
      <x:c r="B134" s="21" t="str">
        <x:v>SL-0128</x:v>
      </x:c>
      <x:c r="C134" s="21" t="str">
        <x:v>F11</x:v>
      </x:c>
      <x:c r="D134" s="21" t="n">
        <x:v>8</x:v>
      </x:c>
      <x:c r="E134" s="21" t="str">
        <x:v>Loadout and custody transfer</x:v>
      </x:c>
      <x:c r="F134" s="37" t="n">
        <x:f>'Family Register'!L17</x:f>
        <x:v>6</x:v>
      </x:c>
      <x:c r="G134" s="37" t="n">
        <x:f>INDEX(Scenarios!$H$7:$H$12,Assumptions!C7)</x:f>
        <x:v>0.65</x:v>
      </x:c>
      <x:c r="H134" s="37" t="n">
        <x:f>'Family Register'!G17*'Family Register'!I17*G134</x:f>
        <x:v>6.240000000000001</x:v>
      </x:c>
      <x:c r="I134" s="37" t="n">
        <x:f>J133</x:f>
        <x:v>6</x:v>
      </x:c>
      <x:c r="J134" s="37" t="n">
        <x:f>MIN(F134,H134,I134)</x:f>
        <x:v>6</x:v>
      </x:c>
      <x:c r="K134" s="22" t="n">
        <x:v>0</x:v>
      </x:c>
      <x:c r="L134" s="22" t="n">
        <x:v>0</x:v>
      </x:c>
      <x:c r="M134" s="37" t="n">
        <x:f>K134*L134</x:f>
        <x:v>0</x:v>
      </x:c>
      <x:c r="N134" s="22" t="n">
        <x:v>0</x:v>
      </x:c>
      <x:c r="O134" s="37" t="n">
        <x:f>'Family Register'!H17*0.7</x:f>
        <x:v>235.2</x:v>
      </x:c>
      <x:c r="P134" s="37" t="n">
        <x:f>IF(AND(N134&gt;0,N134&lt;=O134),1,0)</x:f>
        <x:v>0</x:v>
      </x:c>
      <x:c r="Q134" s="22" t="n">
        <x:v>0</x:v>
      </x:c>
      <x:c r="R134" s="37" t="n">
        <x:f>IF(AND(P134=1,Q134=1),MIN(F134,M134,R133),0)</x:f>
        <x:v>0</x:v>
      </x:c>
      <x:c r="S134" s="23" t="str">
        <x:f>IF(R134&gt;=F134,"ADMITTED","NOT ADMITTED")</x:f>
        <x:v>NOT ADMITTED</x:v>
      </x:c>
    </x:row>
    <x:row r="135">
      <x:c r="B135" s="21" t="str">
        <x:v>SL-0129</x:v>
      </x:c>
      <x:c r="C135" s="21" t="str">
        <x:v>F11</x:v>
      </x:c>
      <x:c r="D135" s="21" t="n">
        <x:v>9</x:v>
      </x:c>
      <x:c r="E135" s="21" t="str">
        <x:v>Strategic transport</x:v>
      </x:c>
      <x:c r="F135" s="37" t="n">
        <x:f>'Family Register'!L17</x:f>
        <x:v>6</x:v>
      </x:c>
      <x:c r="G135" s="37" t="n">
        <x:f>INDEX(Scenarios!$H$7:$H$12,Assumptions!C7)</x:f>
        <x:v>0.65</x:v>
      </x:c>
      <x:c r="H135" s="37" t="n">
        <x:f>'Family Register'!G17*'Family Register'!I17*G135</x:f>
        <x:v>6.240000000000001</x:v>
      </x:c>
      <x:c r="I135" s="37" t="n">
        <x:f>J134</x:f>
        <x:v>6</x:v>
      </x:c>
      <x:c r="J135" s="37" t="n">
        <x:f>MIN(F135,H135,I135)</x:f>
        <x:v>6</x:v>
      </x:c>
      <x:c r="K135" s="22" t="n">
        <x:v>0</x:v>
      </x:c>
      <x:c r="L135" s="22" t="n">
        <x:v>0</x:v>
      </x:c>
      <x:c r="M135" s="37" t="n">
        <x:f>K135*L135</x:f>
        <x:v>0</x:v>
      </x:c>
      <x:c r="N135" s="22" t="n">
        <x:v>0</x:v>
      </x:c>
      <x:c r="O135" s="37" t="n">
        <x:f>'Family Register'!H17*0.9</x:f>
        <x:v>302.40000000000003</x:v>
      </x:c>
      <x:c r="P135" s="37" t="n">
        <x:f>IF(AND(N135&gt;0,N135&lt;=O135),1,0)</x:f>
        <x:v>0</x:v>
      </x:c>
      <x:c r="Q135" s="22" t="n">
        <x:v>0</x:v>
      </x:c>
      <x:c r="R135" s="37" t="n">
        <x:f>IF(AND(P135=1,Q135=1),MIN(F135,M135,R134),0)</x:f>
        <x:v>0</x:v>
      </x:c>
      <x:c r="S135" s="23" t="str">
        <x:f>IF(R135&gt;=F135,"ADMITTED","NOT ADMITTED")</x:f>
        <x:v>NOT ADMITTED</x:v>
      </x:c>
    </x:row>
    <x:row r="136">
      <x:c r="B136" s="21" t="str">
        <x:v>SL-0130</x:v>
      </x:c>
      <x:c r="C136" s="21" t="str">
        <x:v>F11</x:v>
      </x:c>
      <x:c r="D136" s="21" t="n">
        <x:v>10</x:v>
      </x:c>
      <x:c r="E136" s="21" t="str">
        <x:v>Receiving-node admission</x:v>
      </x:c>
      <x:c r="F136" s="37" t="n">
        <x:f>'Family Register'!L17</x:f>
        <x:v>6</x:v>
      </x:c>
      <x:c r="G136" s="37" t="n">
        <x:f>INDEX(Scenarios!$I$7:$I$12,Assumptions!C7)</x:f>
        <x:v>0.75</x:v>
      </x:c>
      <x:c r="H136" s="37" t="n">
        <x:f>'Family Register'!G17*'Family Register'!I17*G136</x:f>
        <x:v>7.200000000000001</x:v>
      </x:c>
      <x:c r="I136" s="37" t="n">
        <x:f>J135</x:f>
        <x:v>6</x:v>
      </x:c>
      <x:c r="J136" s="37" t="n">
        <x:f>MIN(F136,H136,I136)</x:f>
        <x:v>6</x:v>
      </x:c>
      <x:c r="K136" s="22" t="n">
        <x:v>0</x:v>
      </x:c>
      <x:c r="L136" s="22" t="n">
        <x:v>0</x:v>
      </x:c>
      <x:c r="M136" s="37" t="n">
        <x:f>K136*L136</x:f>
        <x:v>0</x:v>
      </x:c>
      <x:c r="N136" s="22" t="n">
        <x:v>0</x:v>
      </x:c>
      <x:c r="O136" s="37" t="n">
        <x:f>'Family Register'!H17*0.94</x:f>
        <x:v>315.84</x:v>
      </x:c>
      <x:c r="P136" s="37" t="n">
        <x:f>IF(AND(N136&gt;0,N136&lt;=O136),1,0)</x:f>
        <x:v>0</x:v>
      </x:c>
      <x:c r="Q136" s="22" t="n">
        <x:v>0</x:v>
      </x:c>
      <x:c r="R136" s="37" t="n">
        <x:f>IF(AND(P136=1,Q136=1),MIN(F136,M136,R135),0)</x:f>
        <x:v>0</x:v>
      </x:c>
      <x:c r="S136" s="23" t="str">
        <x:f>IF(R136&gt;=F136,"ADMITTED","NOT ADMITTED")</x:f>
        <x:v>NOT ADMITTED</x:v>
      </x:c>
    </x:row>
    <x:row r="137">
      <x:c r="B137" s="21" t="str">
        <x:v>SL-0131</x:v>
      </x:c>
      <x:c r="C137" s="21" t="str">
        <x:v>F11</x:v>
      </x:c>
      <x:c r="D137" s="21" t="n">
        <x:v>11</x:v>
      </x:c>
      <x:c r="E137" s="21" t="str">
        <x:v>Commissioned public service</x:v>
      </x:c>
      <x:c r="F137" s="37" t="n">
        <x:f>'Family Register'!L17</x:f>
        <x:v>6</x:v>
      </x:c>
      <x:c r="G137" s="37" t="n">
        <x:f>MIN(INDEX(Scenarios!$G$7:$G$12,Assumptions!C7),INDEX(Scenarios!$I$7:$I$12,Assumptions!C7))</x:f>
        <x:v>0.7</x:v>
      </x:c>
      <x:c r="H137" s="37" t="n">
        <x:f>'Family Register'!G17*'Family Register'!I17*G137</x:f>
        <x:v>6.720000000000001</x:v>
      </x:c>
      <x:c r="I137" s="37" t="n">
        <x:f>J136</x:f>
        <x:v>6</x:v>
      </x:c>
      <x:c r="J137" s="37" t="n">
        <x:f>MIN(F137,H137,I137)</x:f>
        <x:v>6</x:v>
      </x:c>
      <x:c r="K137" s="22" t="n">
        <x:v>0</x:v>
      </x:c>
      <x:c r="L137" s="22" t="n">
        <x:v>0</x:v>
      </x:c>
      <x:c r="M137" s="37" t="n">
        <x:f>K137*L137</x:f>
        <x:v>0</x:v>
      </x:c>
      <x:c r="N137" s="22" t="n">
        <x:v>0</x:v>
      </x:c>
      <x:c r="O137" s="37" t="n">
        <x:f>'Family Register'!H17*1</x:f>
        <x:v>336</x:v>
      </x:c>
      <x:c r="P137" s="37" t="n">
        <x:f>IF(AND(N137&gt;0,N137&lt;=O137),1,0)</x:f>
        <x:v>0</x:v>
      </x:c>
      <x:c r="Q137" s="22" t="n">
        <x:v>0</x:v>
      </x:c>
      <x:c r="R137" s="37" t="n">
        <x:f>IF(AND(P137=1,Q137=1),MIN(F137,M137,R136),0)</x:f>
        <x:v>0</x:v>
      </x:c>
      <x:c r="S137" s="23" t="str">
        <x:f>IF(R137&gt;=F137,"ADMITTED","NOT ADMITTED")</x:f>
        <x:v>NOT ADMITTED</x:v>
      </x:c>
    </x:row>
    <x:row r="138">
      <x:c r="B138" s="21" t="str">
        <x:v>SL-0132</x:v>
      </x:c>
      <x:c r="C138" s="21" t="str">
        <x:v>F11</x:v>
      </x:c>
      <x:c r="D138" s="21" t="n">
        <x:v>12</x:v>
      </x:c>
      <x:c r="E138" s="21" t="str">
        <x:v>Regeneration and replacement</x:v>
      </x:c>
      <x:c r="F138" s="37" t="n">
        <x:f>'Family Register'!L17</x:f>
        <x:v>6</x:v>
      </x:c>
      <x:c r="G138" s="37" t="n">
        <x:f>MIN(INDEX(Scenarios!$E$7:$E$12,Assumptions!C7),INDEX(Scenarios!$F$7:$F$12,Assumptions!C7))</x:f>
        <x:v>0.7</x:v>
      </x:c>
      <x:c r="H138" s="37" t="n">
        <x:f>'Family Register'!G17*'Family Register'!I17*G138</x:f>
        <x:v>6.720000000000001</x:v>
      </x:c>
      <x:c r="I138" s="37" t="n">
        <x:f>J137</x:f>
        <x:v>6</x:v>
      </x:c>
      <x:c r="J138" s="37" t="n">
        <x:f>MIN(F138,H138,I138)</x:f>
        <x:v>6</x:v>
      </x:c>
      <x:c r="K138" s="22" t="n">
        <x:v>0</x:v>
      </x:c>
      <x:c r="L138" s="22" t="n">
        <x:v>0</x:v>
      </x:c>
      <x:c r="M138" s="37" t="n">
        <x:f>K138*L138</x:f>
        <x:v>0</x:v>
      </x:c>
      <x:c r="N138" s="22" t="n">
        <x:v>0</x:v>
      </x:c>
      <x:c r="O138" s="37" t="n">
        <x:f>'Family Register'!H17+168</x:f>
        <x:v>504</x:v>
      </x:c>
      <x:c r="P138" s="37" t="n">
        <x:f>IF(AND(N138&gt;0,N138&lt;=O138),1,0)</x:f>
        <x:v>0</x:v>
      </x:c>
      <x:c r="Q138" s="22" t="n">
        <x:v>0</x:v>
      </x:c>
      <x:c r="R138" s="37" t="n">
        <x:f>IF(AND(P138=1,Q138=1),MIN(F138,M138,R137),0)</x:f>
        <x:v>0</x:v>
      </x:c>
      <x:c r="S138" s="23" t="str">
        <x:f>IF(R138&gt;=F138,"ADMITTED","NOT ADMITTED")</x:f>
        <x:v>NOT ADMITTED</x:v>
      </x:c>
    </x:row>
    <x:row r="139">
      <x:c r="B139" s="21" t="str">
        <x:v>SL-0133</x:v>
      </x:c>
      <x:c r="C139" s="21" t="str">
        <x:v>F12</x:v>
      </x:c>
      <x:c r="D139" s="21" t="n">
        <x:v>1</x:v>
      </x:c>
      <x:c r="E139" s="21" t="str">
        <x:v>Alert authentication</x:v>
      </x:c>
      <x:c r="F139" s="37" t="n">
        <x:f>'Family Register'!L18</x:f>
        <x:v>6</x:v>
      </x:c>
      <x:c r="G139" s="37" t="n">
        <x:f>INDEX(Scenarios!$K$7:$K$12,Assumptions!C7)</x:f>
        <x:v>0.75</x:v>
      </x:c>
      <x:c r="H139" s="37" t="n">
        <x:f>'Family Register'!G18*'Family Register'!I18*G139</x:f>
        <x:v>7.200000000000001</x:v>
      </x:c>
      <x:c r="I139" s="37" t="n">
        <x:f>F139</x:f>
        <x:v>6</x:v>
      </x:c>
      <x:c r="J139" s="37" t="n">
        <x:f>MIN(F139,H139,I139)</x:f>
        <x:v>6</x:v>
      </x:c>
      <x:c r="K139" s="22" t="n">
        <x:v>0</x:v>
      </x:c>
      <x:c r="L139" s="22" t="n">
        <x:v>0</x:v>
      </x:c>
      <x:c r="M139" s="37" t="n">
        <x:f>K139*L139</x:f>
        <x:v>0</x:v>
      </x:c>
      <x:c r="N139" s="22" t="n">
        <x:v>0</x:v>
      </x:c>
      <x:c r="O139" s="37" t="n">
        <x:f>2</x:f>
        <x:v>2</x:v>
      </x:c>
      <x:c r="P139" s="37" t="n">
        <x:f>IF(AND(N139&gt;0,N139&lt;=O139),1,0)</x:f>
        <x:v>0</x:v>
      </x:c>
      <x:c r="Q139" s="22" t="n">
        <x:v>0</x:v>
      </x:c>
      <x:c r="R139" s="37" t="n">
        <x:f>IF(AND(P139=1,Q139=1),MIN(F139,M139),0)</x:f>
        <x:v>0</x:v>
      </x:c>
      <x:c r="S139" s="23" t="str">
        <x:f>IF(R139&gt;=F139,"ADMITTED","NOT ADMITTED")</x:f>
        <x:v>NOT ADMITTED</x:v>
      </x:c>
    </x:row>
    <x:row r="140">
      <x:c r="B140" s="21" t="str">
        <x:v>SL-0134</x:v>
      </x:c>
      <x:c r="C140" s="21" t="str">
        <x:v>F12</x:v>
      </x:c>
      <x:c r="D140" s="21" t="n">
        <x:v>2</x:v>
      </x:c>
      <x:c r="E140" s="21" t="str">
        <x:v>Workforce muster</x:v>
      </x:c>
      <x:c r="F140" s="37" t="n">
        <x:f>'Family Register'!L18</x:f>
        <x:v>6</x:v>
      </x:c>
      <x:c r="G140" s="37" t="n">
        <x:f>INDEX(Scenarios!$J$7:$J$12,Assumptions!C7)</x:f>
        <x:v>0.8</x:v>
      </x:c>
      <x:c r="H140" s="37" t="n">
        <x:f>'Family Register'!G18*'Family Register'!I18*G140</x:f>
        <x:v>7.6800000000000015</x:v>
      </x:c>
      <x:c r="I140" s="37" t="n">
        <x:f>J139</x:f>
        <x:v>6</x:v>
      </x:c>
      <x:c r="J140" s="37" t="n">
        <x:f>MIN(F140,H140,I140)</x:f>
        <x:v>6</x:v>
      </x:c>
      <x:c r="K140" s="22" t="n">
        <x:v>0</x:v>
      </x:c>
      <x:c r="L140" s="22" t="n">
        <x:v>0</x:v>
      </x:c>
      <x:c r="M140" s="37" t="n">
        <x:f>K140*L140</x:f>
        <x:v>0</x:v>
      </x:c>
      <x:c r="N140" s="22" t="n">
        <x:v>0</x:v>
      </x:c>
      <x:c r="O140" s="37" t="n">
        <x:f>12</x:f>
        <x:v>12</x:v>
      </x:c>
      <x:c r="P140" s="37" t="n">
        <x:f>IF(AND(N140&gt;0,N140&lt;=O140),1,0)</x:f>
        <x:v>0</x:v>
      </x:c>
      <x:c r="Q140" s="22" t="n">
        <x:v>0</x:v>
      </x:c>
      <x:c r="R140" s="37" t="n">
        <x:f>IF(AND(P140=1,Q140=1),MIN(F140,M140,R139),0)</x:f>
        <x:v>0</x:v>
      </x:c>
      <x:c r="S140" s="23" t="str">
        <x:f>IF(R140&gt;=F140,"ADMITTED","NOT ADMITTED")</x:f>
        <x:v>NOT ADMITTED</x:v>
      </x:c>
    </x:row>
    <x:row r="141">
      <x:c r="B141" s="21" t="str">
        <x:v>SL-0135</x:v>
      </x:c>
      <x:c r="C141" s="21" t="str">
        <x:v>F12</x:v>
      </x:c>
      <x:c r="D141" s="21" t="n">
        <x:v>3</x:v>
      </x:c>
      <x:c r="E141" s="21" t="str">
        <x:v>Facility utility and safe start</x:v>
      </x:c>
      <x:c r="F141" s="37" t="n">
        <x:f>'Family Register'!L18</x:f>
        <x:v>6</x:v>
      </x:c>
      <x:c r="G141" s="37" t="n">
        <x:f>INDEX(Scenarios!$G$7:$G$12,Assumptions!C7)</x:f>
        <x:v>0.7</x:v>
      </x:c>
      <x:c r="H141" s="37" t="n">
        <x:f>'Family Register'!G18*'Family Register'!I18*G141</x:f>
        <x:v>6.720000000000001</x:v>
      </x:c>
      <x:c r="I141" s="37" t="n">
        <x:f>J140</x:f>
        <x:v>6</x:v>
      </x:c>
      <x:c r="J141" s="37" t="n">
        <x:f>MIN(F141,H141,I141)</x:f>
        <x:v>6</x:v>
      </x:c>
      <x:c r="K141" s="22" t="n">
        <x:v>0</x:v>
      </x:c>
      <x:c r="L141" s="22" t="n">
        <x:v>0</x:v>
      </x:c>
      <x:c r="M141" s="37" t="n">
        <x:f>K141*L141</x:f>
        <x:v>0</x:v>
      </x:c>
      <x:c r="N141" s="22" t="n">
        <x:v>0</x:v>
      </x:c>
      <x:c r="O141" s="37" t="n">
        <x:f>24</x:f>
        <x:v>24</x:v>
      </x:c>
      <x:c r="P141" s="37" t="n">
        <x:f>IF(AND(N141&gt;0,N141&lt;=O141),1,0)</x:f>
        <x:v>0</x:v>
      </x:c>
      <x:c r="Q141" s="22" t="n">
        <x:v>0</x:v>
      </x:c>
      <x:c r="R141" s="37" t="n">
        <x:f>IF(AND(P141=1,Q141=1),MIN(F141,M141,R140),0)</x:f>
        <x:v>0</x:v>
      </x:c>
      <x:c r="S141" s="23" t="str">
        <x:f>IF(R141&gt;=F141,"ADMITTED","NOT ADMITTED")</x:f>
        <x:v>NOT ADMITTED</x:v>
      </x:c>
    </x:row>
    <x:row r="142">
      <x:c r="B142" s="21" t="str">
        <x:v>SL-0136</x:v>
      </x:c>
      <x:c r="C142" s="21" t="str">
        <x:v>F12</x:v>
      </x:c>
      <x:c r="D142" s="21" t="n">
        <x:v>4</x:v>
      </x:c>
      <x:c r="E142" s="21" t="str">
        <x:v>Material tooling and instrument release</x:v>
      </x:c>
      <x:c r="F142" s="37" t="n">
        <x:f>'Family Register'!L18</x:f>
        <x:v>6</x:v>
      </x:c>
      <x:c r="G142" s="37" t="n">
        <x:f>INDEX(Scenarios!$E$7:$E$12,Assumptions!C7)</x:f>
        <x:v>0.75</x:v>
      </x:c>
      <x:c r="H142" s="37" t="n">
        <x:f>'Family Register'!G18*'Family Register'!I18*G142</x:f>
        <x:v>7.200000000000001</x:v>
      </x:c>
      <x:c r="I142" s="37" t="n">
        <x:f>J141</x:f>
        <x:v>6</x:v>
      </x:c>
      <x:c r="J142" s="37" t="n">
        <x:f>MIN(F142,H142,I142)</x:f>
        <x:v>6</x:v>
      </x:c>
      <x:c r="K142" s="22" t="n">
        <x:v>0</x:v>
      </x:c>
      <x:c r="L142" s="22" t="n">
        <x:v>0</x:v>
      </x:c>
      <x:c r="M142" s="37" t="n">
        <x:f>K142*L142</x:f>
        <x:v>0</x:v>
      </x:c>
      <x:c r="N142" s="22" t="n">
        <x:v>0</x:v>
      </x:c>
      <x:c r="O142" s="37" t="n">
        <x:f>36</x:f>
        <x:v>36</x:v>
      </x:c>
      <x:c r="P142" s="37" t="n">
        <x:f>IF(AND(N142&gt;0,N142&lt;=O142),1,0)</x:f>
        <x:v>0</x:v>
      </x:c>
      <x:c r="Q142" s="22" t="n">
        <x:v>0</x:v>
      </x:c>
      <x:c r="R142" s="37" t="n">
        <x:f>IF(AND(P142=1,Q142=1),MIN(F142,M142,R141),0)</x:f>
        <x:v>0</x:v>
      </x:c>
      <x:c r="S142" s="23" t="str">
        <x:f>IF(R142&gt;=F142,"ADMITTED","NOT ADMITTED")</x:f>
        <x:v>NOT ADMITTED</x:v>
      </x:c>
    </x:row>
    <x:row r="143">
      <x:c r="B143" s="21" t="str">
        <x:v>SL-0137</x:v>
      </x:c>
      <x:c r="C143" s="21" t="str">
        <x:v>F12</x:v>
      </x:c>
      <x:c r="D143" s="21" t="n">
        <x:v>5</x:v>
      </x:c>
      <x:c r="E143" s="21" t="str">
        <x:v>Supplier and process activation</x:v>
      </x:c>
      <x:c r="F143" s="37" t="n">
        <x:f>'Family Register'!L18</x:f>
        <x:v>6</x:v>
      </x:c>
      <x:c r="G143" s="37" t="n">
        <x:f>MIN(INDEX(Scenarios!$E$7:$E$12,Assumptions!C7),INDEX(Scenarios!$F$7:$F$12,Assumptions!C7))</x:f>
        <x:v>0.7</x:v>
      </x:c>
      <x:c r="H143" s="37" t="n">
        <x:f>'Family Register'!G18*'Family Register'!I18*G143</x:f>
        <x:v>6.720000000000001</x:v>
      </x:c>
      <x:c r="I143" s="37" t="n">
        <x:f>J142</x:f>
        <x:v>6</x:v>
      </x:c>
      <x:c r="J143" s="37" t="n">
        <x:f>MIN(F143,H143,I143)</x:f>
        <x:v>6</x:v>
      </x:c>
      <x:c r="K143" s="22" t="n">
        <x:v>0</x:v>
      </x:c>
      <x:c r="L143" s="22" t="n">
        <x:v>0</x:v>
      </x:c>
      <x:c r="M143" s="37" t="n">
        <x:f>K143*L143</x:f>
        <x:v>0</x:v>
      </x:c>
      <x:c r="N143" s="22" t="n">
        <x:v>0</x:v>
      </x:c>
      <x:c r="O143" s="37" t="n">
        <x:f>48</x:f>
        <x:v>48</x:v>
      </x:c>
      <x:c r="P143" s="37" t="n">
        <x:f>IF(AND(N143&gt;0,N143&lt;=O143),1,0)</x:f>
        <x:v>0</x:v>
      </x:c>
      <x:c r="Q143" s="22" t="n">
        <x:v>0</x:v>
      </x:c>
      <x:c r="R143" s="37" t="n">
        <x:f>IF(AND(P143=1,Q143=1),MIN(F143,M143,R142),0)</x:f>
        <x:v>0</x:v>
      </x:c>
      <x:c r="S143" s="23" t="str">
        <x:f>IF(R143&gt;=F143,"ADMITTED","NOT ADMITTED")</x:f>
        <x:v>NOT ADMITTED</x:v>
      </x:c>
    </x:row>
    <x:row r="144">
      <x:c r="B144" s="21" t="str">
        <x:v>SL-0138</x:v>
      </x:c>
      <x:c r="C144" s="21" t="str">
        <x:v>F12</x:v>
      </x:c>
      <x:c r="D144" s="21" t="n">
        <x:v>6</x:v>
      </x:c>
      <x:c r="E144" s="21" t="str">
        <x:v>Conforming production</x:v>
      </x:c>
      <x:c r="F144" s="37" t="n">
        <x:f>'Family Register'!L18</x:f>
        <x:v>6</x:v>
      </x:c>
      <x:c r="G144" s="37" t="n">
        <x:f>INDEX(Scenarios!$F$7:$F$12,Assumptions!C7)</x:f>
        <x:v>0.7</x:v>
      </x:c>
      <x:c r="H144" s="37" t="n">
        <x:f>'Family Register'!G18*'Family Register'!I18*G144</x:f>
        <x:v>6.720000000000001</x:v>
      </x:c>
      <x:c r="I144" s="37" t="n">
        <x:f>J143</x:f>
        <x:v>6</x:v>
      </x:c>
      <x:c r="J144" s="37" t="n">
        <x:f>MIN(F144,H144,I144)</x:f>
        <x:v>6</x:v>
      </x:c>
      <x:c r="K144" s="22" t="n">
        <x:v>0</x:v>
      </x:c>
      <x:c r="L144" s="22" t="n">
        <x:v>0</x:v>
      </x:c>
      <x:c r="M144" s="37" t="n">
        <x:f>K144*L144</x:f>
        <x:v>0</x:v>
      </x:c>
      <x:c r="N144" s="22" t="n">
        <x:v>0</x:v>
      </x:c>
      <x:c r="O144" s="37" t="n">
        <x:f>'Family Register'!H18*0.55</x:f>
        <x:v>184.8</x:v>
      </x:c>
      <x:c r="P144" s="37" t="n">
        <x:f>IF(AND(N144&gt;0,N144&lt;=O144),1,0)</x:f>
        <x:v>0</x:v>
      </x:c>
      <x:c r="Q144" s="22" t="n">
        <x:v>0</x:v>
      </x:c>
      <x:c r="R144" s="37" t="n">
        <x:f>IF(AND(P144=1,Q144=1),MIN(F144,M144,R143),0)</x:f>
        <x:v>0</x:v>
      </x:c>
      <x:c r="S144" s="23" t="str">
        <x:f>IF(R144&gt;=F144,"ADMITTED","NOT ADMITTED")</x:f>
        <x:v>NOT ADMITTED</x:v>
      </x:c>
    </x:row>
    <x:row r="145">
      <x:c r="B145" s="21" t="str">
        <x:v>SL-0139</x:v>
      </x:c>
      <x:c r="C145" s="21" t="str">
        <x:v>F12</x:v>
      </x:c>
      <x:c r="D145" s="21" t="n">
        <x:v>7</x:v>
      </x:c>
      <x:c r="E145" s="21" t="str">
        <x:v>Independent acceptance</x:v>
      </x:c>
      <x:c r="F145" s="37" t="n">
        <x:f>'Family Register'!L18</x:f>
        <x:v>6</x:v>
      </x:c>
      <x:c r="G145" s="37" t="n">
        <x:f>INDEX(Scenarios!$L$7:$L$12,Assumptions!C7)</x:f>
        <x:v>0.8</x:v>
      </x:c>
      <x:c r="H145" s="37" t="n">
        <x:f>'Family Register'!G18*'Family Register'!I18*G145</x:f>
        <x:v>7.6800000000000015</x:v>
      </x:c>
      <x:c r="I145" s="37" t="n">
        <x:f>J144</x:f>
        <x:v>6</x:v>
      </x:c>
      <x:c r="J145" s="37" t="n">
        <x:f>MIN(F145,H145,I145)</x:f>
        <x:v>6</x:v>
      </x:c>
      <x:c r="K145" s="22" t="n">
        <x:v>0</x:v>
      </x:c>
      <x:c r="L145" s="22" t="n">
        <x:v>0</x:v>
      </x:c>
      <x:c r="M145" s="37" t="n">
        <x:f>K145*L145</x:f>
        <x:v>0</x:v>
      </x:c>
      <x:c r="N145" s="22" t="n">
        <x:v>0</x:v>
      </x:c>
      <x:c r="O145" s="37" t="n">
        <x:f>'Family Register'!H18*0.65</x:f>
        <x:v>218.4</x:v>
      </x:c>
      <x:c r="P145" s="37" t="n">
        <x:f>IF(AND(N145&gt;0,N145&lt;=O145),1,0)</x:f>
        <x:v>0</x:v>
      </x:c>
      <x:c r="Q145" s="22" t="n">
        <x:v>0</x:v>
      </x:c>
      <x:c r="R145" s="37" t="n">
        <x:f>IF(AND(P145=1,Q145=1),MIN(F145,M145,R144),0)</x:f>
        <x:v>0</x:v>
      </x:c>
      <x:c r="S145" s="23" t="str">
        <x:f>IF(R145&gt;=F145,"ADMITTED","NOT ADMITTED")</x:f>
        <x:v>NOT ADMITTED</x:v>
      </x:c>
    </x:row>
    <x:row r="146">
      <x:c r="B146" s="21" t="str">
        <x:v>SL-0140</x:v>
      </x:c>
      <x:c r="C146" s="21" t="str">
        <x:v>F12</x:v>
      </x:c>
      <x:c r="D146" s="21" t="n">
        <x:v>8</x:v>
      </x:c>
      <x:c r="E146" s="21" t="str">
        <x:v>Loadout and custody transfer</x:v>
      </x:c>
      <x:c r="F146" s="37" t="n">
        <x:f>'Family Register'!L18</x:f>
        <x:v>6</x:v>
      </x:c>
      <x:c r="G146" s="37" t="n">
        <x:f>INDEX(Scenarios!$H$7:$H$12,Assumptions!C7)</x:f>
        <x:v>0.65</x:v>
      </x:c>
      <x:c r="H146" s="37" t="n">
        <x:f>'Family Register'!G18*'Family Register'!I18*G146</x:f>
        <x:v>6.240000000000001</x:v>
      </x:c>
      <x:c r="I146" s="37" t="n">
        <x:f>J145</x:f>
        <x:v>6</x:v>
      </x:c>
      <x:c r="J146" s="37" t="n">
        <x:f>MIN(F146,H146,I146)</x:f>
        <x:v>6</x:v>
      </x:c>
      <x:c r="K146" s="22" t="n">
        <x:v>0</x:v>
      </x:c>
      <x:c r="L146" s="22" t="n">
        <x:v>0</x:v>
      </x:c>
      <x:c r="M146" s="37" t="n">
        <x:f>K146*L146</x:f>
        <x:v>0</x:v>
      </x:c>
      <x:c r="N146" s="22" t="n">
        <x:v>0</x:v>
      </x:c>
      <x:c r="O146" s="37" t="n">
        <x:f>'Family Register'!H18*0.7</x:f>
        <x:v>235.2</x:v>
      </x:c>
      <x:c r="P146" s="37" t="n">
        <x:f>IF(AND(N146&gt;0,N146&lt;=O146),1,0)</x:f>
        <x:v>0</x:v>
      </x:c>
      <x:c r="Q146" s="22" t="n">
        <x:v>0</x:v>
      </x:c>
      <x:c r="R146" s="37" t="n">
        <x:f>IF(AND(P146=1,Q146=1),MIN(F146,M146,R145),0)</x:f>
        <x:v>0</x:v>
      </x:c>
      <x:c r="S146" s="23" t="str">
        <x:f>IF(R146&gt;=F146,"ADMITTED","NOT ADMITTED")</x:f>
        <x:v>NOT ADMITTED</x:v>
      </x:c>
    </x:row>
    <x:row r="147">
      <x:c r="B147" s="21" t="str">
        <x:v>SL-0141</x:v>
      </x:c>
      <x:c r="C147" s="21" t="str">
        <x:v>F12</x:v>
      </x:c>
      <x:c r="D147" s="21" t="n">
        <x:v>9</x:v>
      </x:c>
      <x:c r="E147" s="21" t="str">
        <x:v>Strategic transport</x:v>
      </x:c>
      <x:c r="F147" s="37" t="n">
        <x:f>'Family Register'!L18</x:f>
        <x:v>6</x:v>
      </x:c>
      <x:c r="G147" s="37" t="n">
        <x:f>INDEX(Scenarios!$H$7:$H$12,Assumptions!C7)</x:f>
        <x:v>0.65</x:v>
      </x:c>
      <x:c r="H147" s="37" t="n">
        <x:f>'Family Register'!G18*'Family Register'!I18*G147</x:f>
        <x:v>6.240000000000001</x:v>
      </x:c>
      <x:c r="I147" s="37" t="n">
        <x:f>J146</x:f>
        <x:v>6</x:v>
      </x:c>
      <x:c r="J147" s="37" t="n">
        <x:f>MIN(F147,H147,I147)</x:f>
        <x:v>6</x:v>
      </x:c>
      <x:c r="K147" s="22" t="n">
        <x:v>0</x:v>
      </x:c>
      <x:c r="L147" s="22" t="n">
        <x:v>0</x:v>
      </x:c>
      <x:c r="M147" s="37" t="n">
        <x:f>K147*L147</x:f>
        <x:v>0</x:v>
      </x:c>
      <x:c r="N147" s="22" t="n">
        <x:v>0</x:v>
      </x:c>
      <x:c r="O147" s="37" t="n">
        <x:f>'Family Register'!H18*0.9</x:f>
        <x:v>302.40000000000003</x:v>
      </x:c>
      <x:c r="P147" s="37" t="n">
        <x:f>IF(AND(N147&gt;0,N147&lt;=O147),1,0)</x:f>
        <x:v>0</x:v>
      </x:c>
      <x:c r="Q147" s="22" t="n">
        <x:v>0</x:v>
      </x:c>
      <x:c r="R147" s="37" t="n">
        <x:f>IF(AND(P147=1,Q147=1),MIN(F147,M147,R146),0)</x:f>
        <x:v>0</x:v>
      </x:c>
      <x:c r="S147" s="23" t="str">
        <x:f>IF(R147&gt;=F147,"ADMITTED","NOT ADMITTED")</x:f>
        <x:v>NOT ADMITTED</x:v>
      </x:c>
    </x:row>
    <x:row r="148">
      <x:c r="B148" s="21" t="str">
        <x:v>SL-0142</x:v>
      </x:c>
      <x:c r="C148" s="21" t="str">
        <x:v>F12</x:v>
      </x:c>
      <x:c r="D148" s="21" t="n">
        <x:v>10</x:v>
      </x:c>
      <x:c r="E148" s="21" t="str">
        <x:v>Receiving-node admission</x:v>
      </x:c>
      <x:c r="F148" s="37" t="n">
        <x:f>'Family Register'!L18</x:f>
        <x:v>6</x:v>
      </x:c>
      <x:c r="G148" s="37" t="n">
        <x:f>INDEX(Scenarios!$I$7:$I$12,Assumptions!C7)</x:f>
        <x:v>0.75</x:v>
      </x:c>
      <x:c r="H148" s="37" t="n">
        <x:f>'Family Register'!G18*'Family Register'!I18*G148</x:f>
        <x:v>7.200000000000001</x:v>
      </x:c>
      <x:c r="I148" s="37" t="n">
        <x:f>J147</x:f>
        <x:v>6</x:v>
      </x:c>
      <x:c r="J148" s="37" t="n">
        <x:f>MIN(F148,H148,I148)</x:f>
        <x:v>6</x:v>
      </x:c>
      <x:c r="K148" s="22" t="n">
        <x:v>0</x:v>
      </x:c>
      <x:c r="L148" s="22" t="n">
        <x:v>0</x:v>
      </x:c>
      <x:c r="M148" s="37" t="n">
        <x:f>K148*L148</x:f>
        <x:v>0</x:v>
      </x:c>
      <x:c r="N148" s="22" t="n">
        <x:v>0</x:v>
      </x:c>
      <x:c r="O148" s="37" t="n">
        <x:f>'Family Register'!H18*0.94</x:f>
        <x:v>315.84</x:v>
      </x:c>
      <x:c r="P148" s="37" t="n">
        <x:f>IF(AND(N148&gt;0,N148&lt;=O148),1,0)</x:f>
        <x:v>0</x:v>
      </x:c>
      <x:c r="Q148" s="22" t="n">
        <x:v>0</x:v>
      </x:c>
      <x:c r="R148" s="37" t="n">
        <x:f>IF(AND(P148=1,Q148=1),MIN(F148,M148,R147),0)</x:f>
        <x:v>0</x:v>
      </x:c>
      <x:c r="S148" s="23" t="str">
        <x:f>IF(R148&gt;=F148,"ADMITTED","NOT ADMITTED")</x:f>
        <x:v>NOT ADMITTED</x:v>
      </x:c>
    </x:row>
    <x:row r="149">
      <x:c r="B149" s="21" t="str">
        <x:v>SL-0143</x:v>
      </x:c>
      <x:c r="C149" s="21" t="str">
        <x:v>F12</x:v>
      </x:c>
      <x:c r="D149" s="21" t="n">
        <x:v>11</x:v>
      </x:c>
      <x:c r="E149" s="21" t="str">
        <x:v>Commissioned public service</x:v>
      </x:c>
      <x:c r="F149" s="37" t="n">
        <x:f>'Family Register'!L18</x:f>
        <x:v>6</x:v>
      </x:c>
      <x:c r="G149" s="37" t="n">
        <x:f>MIN(INDEX(Scenarios!$G$7:$G$12,Assumptions!C7),INDEX(Scenarios!$I$7:$I$12,Assumptions!C7))</x:f>
        <x:v>0.7</x:v>
      </x:c>
      <x:c r="H149" s="37" t="n">
        <x:f>'Family Register'!G18*'Family Register'!I18*G149</x:f>
        <x:v>6.720000000000001</x:v>
      </x:c>
      <x:c r="I149" s="37" t="n">
        <x:f>J148</x:f>
        <x:v>6</x:v>
      </x:c>
      <x:c r="J149" s="37" t="n">
        <x:f>MIN(F149,H149,I149)</x:f>
        <x:v>6</x:v>
      </x:c>
      <x:c r="K149" s="22" t="n">
        <x:v>0</x:v>
      </x:c>
      <x:c r="L149" s="22" t="n">
        <x:v>0</x:v>
      </x:c>
      <x:c r="M149" s="37" t="n">
        <x:f>K149*L149</x:f>
        <x:v>0</x:v>
      </x:c>
      <x:c r="N149" s="22" t="n">
        <x:v>0</x:v>
      </x:c>
      <x:c r="O149" s="37" t="n">
        <x:f>'Family Register'!H18*1</x:f>
        <x:v>336</x:v>
      </x:c>
      <x:c r="P149" s="37" t="n">
        <x:f>IF(AND(N149&gt;0,N149&lt;=O149),1,0)</x:f>
        <x:v>0</x:v>
      </x:c>
      <x:c r="Q149" s="22" t="n">
        <x:v>0</x:v>
      </x:c>
      <x:c r="R149" s="37" t="n">
        <x:f>IF(AND(P149=1,Q149=1),MIN(F149,M149,R148),0)</x:f>
        <x:v>0</x:v>
      </x:c>
      <x:c r="S149" s="23" t="str">
        <x:f>IF(R149&gt;=F149,"ADMITTED","NOT ADMITTED")</x:f>
        <x:v>NOT ADMITTED</x:v>
      </x:c>
    </x:row>
    <x:row r="150">
      <x:c r="B150" s="21" t="str">
        <x:v>SL-0144</x:v>
      </x:c>
      <x:c r="C150" s="21" t="str">
        <x:v>F12</x:v>
      </x:c>
      <x:c r="D150" s="21" t="n">
        <x:v>12</x:v>
      </x:c>
      <x:c r="E150" s="21" t="str">
        <x:v>Regeneration and replacement</x:v>
      </x:c>
      <x:c r="F150" s="37" t="n">
        <x:f>'Family Register'!L18</x:f>
        <x:v>6</x:v>
      </x:c>
      <x:c r="G150" s="37" t="n">
        <x:f>MIN(INDEX(Scenarios!$E$7:$E$12,Assumptions!C7),INDEX(Scenarios!$F$7:$F$12,Assumptions!C7))</x:f>
        <x:v>0.7</x:v>
      </x:c>
      <x:c r="H150" s="37" t="n">
        <x:f>'Family Register'!G18*'Family Register'!I18*G150</x:f>
        <x:v>6.720000000000001</x:v>
      </x:c>
      <x:c r="I150" s="37" t="n">
        <x:f>J149</x:f>
        <x:v>6</x:v>
      </x:c>
      <x:c r="J150" s="37" t="n">
        <x:f>MIN(F150,H150,I150)</x:f>
        <x:v>6</x:v>
      </x:c>
      <x:c r="K150" s="22" t="n">
        <x:v>0</x:v>
      </x:c>
      <x:c r="L150" s="22" t="n">
        <x:v>0</x:v>
      </x:c>
      <x:c r="M150" s="37" t="n">
        <x:f>K150*L150</x:f>
        <x:v>0</x:v>
      </x:c>
      <x:c r="N150" s="22" t="n">
        <x:v>0</x:v>
      </x:c>
      <x:c r="O150" s="37" t="n">
        <x:f>'Family Register'!H18+168</x:f>
        <x:v>504</x:v>
      </x:c>
      <x:c r="P150" s="37" t="n">
        <x:f>IF(AND(N150&gt;0,N150&lt;=O150),1,0)</x:f>
        <x:v>0</x:v>
      </x:c>
      <x:c r="Q150" s="22" t="n">
        <x:v>0</x:v>
      </x:c>
      <x:c r="R150" s="37" t="n">
        <x:f>IF(AND(P150=1,Q150=1),MIN(F150,M150,R149),0)</x:f>
        <x:v>0</x:v>
      </x:c>
      <x:c r="S150" s="23" t="str">
        <x:f>IF(R150&gt;=F150,"ADMITTED","NOT ADMITTED")</x:f>
        <x:v>NOT ADMITTED</x:v>
      </x:c>
    </x:row>
    <x:row r="151">
      <x:c r="B151" s="21" t="str">
        <x:v>SL-0145</x:v>
      </x:c>
      <x:c r="C151" s="21" t="str">
        <x:v>F13</x:v>
      </x:c>
      <x:c r="D151" s="21" t="n">
        <x:v>1</x:v>
      </x:c>
      <x:c r="E151" s="21" t="str">
        <x:v>Alert authentication</x:v>
      </x:c>
      <x:c r="F151" s="37" t="n">
        <x:f>'Family Register'!L19</x:f>
        <x:v>20</x:v>
      </x:c>
      <x:c r="G151" s="37" t="n">
        <x:f>INDEX(Scenarios!$K$7:$K$12,Assumptions!C7)</x:f>
        <x:v>0.75</x:v>
      </x:c>
      <x:c r="H151" s="37" t="n">
        <x:f>'Family Register'!G19*'Family Register'!I19*G151</x:f>
        <x:v>21.75</x:v>
      </x:c>
      <x:c r="I151" s="37" t="n">
        <x:f>F151</x:f>
        <x:v>20</x:v>
      </x:c>
      <x:c r="J151" s="37" t="n">
        <x:f>MIN(F151,H151,I151)</x:f>
        <x:v>20</x:v>
      </x:c>
      <x:c r="K151" s="22" t="n">
        <x:v>0</x:v>
      </x:c>
      <x:c r="L151" s="22" t="n">
        <x:v>0</x:v>
      </x:c>
      <x:c r="M151" s="37" t="n">
        <x:f>K151*L151</x:f>
        <x:v>0</x:v>
      </x:c>
      <x:c r="N151" s="22" t="n">
        <x:v>0</x:v>
      </x:c>
      <x:c r="O151" s="37" t="n">
        <x:f>2</x:f>
        <x:v>2</x:v>
      </x:c>
      <x:c r="P151" s="37" t="n">
        <x:f>IF(AND(N151&gt;0,N151&lt;=O151),1,0)</x:f>
        <x:v>0</x:v>
      </x:c>
      <x:c r="Q151" s="22" t="n">
        <x:v>0</x:v>
      </x:c>
      <x:c r="R151" s="37" t="n">
        <x:f>IF(AND(P151=1,Q151=1),MIN(F151,M151),0)</x:f>
        <x:v>0</x:v>
      </x:c>
      <x:c r="S151" s="23" t="str">
        <x:f>IF(R151&gt;=F151,"ADMITTED","NOT ADMITTED")</x:f>
        <x:v>NOT ADMITTED</x:v>
      </x:c>
    </x:row>
    <x:row r="152">
      <x:c r="B152" s="21" t="str">
        <x:v>SL-0146</x:v>
      </x:c>
      <x:c r="C152" s="21" t="str">
        <x:v>F13</x:v>
      </x:c>
      <x:c r="D152" s="21" t="n">
        <x:v>2</x:v>
      </x:c>
      <x:c r="E152" s="21" t="str">
        <x:v>Workforce muster</x:v>
      </x:c>
      <x:c r="F152" s="37" t="n">
        <x:f>'Family Register'!L19</x:f>
        <x:v>20</x:v>
      </x:c>
      <x:c r="G152" s="37" t="n">
        <x:f>INDEX(Scenarios!$J$7:$J$12,Assumptions!C7)</x:f>
        <x:v>0.8</x:v>
      </x:c>
      <x:c r="H152" s="37" t="n">
        <x:f>'Family Register'!G19*'Family Register'!I19*G152</x:f>
        <x:v>23.200000000000003</x:v>
      </x:c>
      <x:c r="I152" s="37" t="n">
        <x:f>J151</x:f>
        <x:v>20</x:v>
      </x:c>
      <x:c r="J152" s="37" t="n">
        <x:f>MIN(F152,H152,I152)</x:f>
        <x:v>20</x:v>
      </x:c>
      <x:c r="K152" s="22" t="n">
        <x:v>0</x:v>
      </x:c>
      <x:c r="L152" s="22" t="n">
        <x:v>0</x:v>
      </x:c>
      <x:c r="M152" s="37" t="n">
        <x:f>K152*L152</x:f>
        <x:v>0</x:v>
      </x:c>
      <x:c r="N152" s="22" t="n">
        <x:v>0</x:v>
      </x:c>
      <x:c r="O152" s="37" t="n">
        <x:f>12</x:f>
        <x:v>12</x:v>
      </x:c>
      <x:c r="P152" s="37" t="n">
        <x:f>IF(AND(N152&gt;0,N152&lt;=O152),1,0)</x:f>
        <x:v>0</x:v>
      </x:c>
      <x:c r="Q152" s="22" t="n">
        <x:v>0</x:v>
      </x:c>
      <x:c r="R152" s="37" t="n">
        <x:f>IF(AND(P152=1,Q152=1),MIN(F152,M152,R151),0)</x:f>
        <x:v>0</x:v>
      </x:c>
      <x:c r="S152" s="23" t="str">
        <x:f>IF(R152&gt;=F152,"ADMITTED","NOT ADMITTED")</x:f>
        <x:v>NOT ADMITTED</x:v>
      </x:c>
    </x:row>
    <x:row r="153">
      <x:c r="B153" s="21" t="str">
        <x:v>SL-0147</x:v>
      </x:c>
      <x:c r="C153" s="21" t="str">
        <x:v>F13</x:v>
      </x:c>
      <x:c r="D153" s="21" t="n">
        <x:v>3</x:v>
      </x:c>
      <x:c r="E153" s="21" t="str">
        <x:v>Facility utility and safe start</x:v>
      </x:c>
      <x:c r="F153" s="37" t="n">
        <x:f>'Family Register'!L19</x:f>
        <x:v>20</x:v>
      </x:c>
      <x:c r="G153" s="37" t="n">
        <x:f>INDEX(Scenarios!$G$7:$G$12,Assumptions!C7)</x:f>
        <x:v>0.7</x:v>
      </x:c>
      <x:c r="H153" s="37" t="n">
        <x:f>'Family Register'!G19*'Family Register'!I19*G153</x:f>
        <x:v>20.299999999999997</x:v>
      </x:c>
      <x:c r="I153" s="37" t="n">
        <x:f>J152</x:f>
        <x:v>20</x:v>
      </x:c>
      <x:c r="J153" s="37" t="n">
        <x:f>MIN(F153,H153,I153)</x:f>
        <x:v>20</x:v>
      </x:c>
      <x:c r="K153" s="22" t="n">
        <x:v>0</x:v>
      </x:c>
      <x:c r="L153" s="22" t="n">
        <x:v>0</x:v>
      </x:c>
      <x:c r="M153" s="37" t="n">
        <x:f>K153*L153</x:f>
        <x:v>0</x:v>
      </x:c>
      <x:c r="N153" s="22" t="n">
        <x:v>0</x:v>
      </x:c>
      <x:c r="O153" s="37" t="n">
        <x:f>24</x:f>
        <x:v>24</x:v>
      </x:c>
      <x:c r="P153" s="37" t="n">
        <x:f>IF(AND(N153&gt;0,N153&lt;=O153),1,0)</x:f>
        <x:v>0</x:v>
      </x:c>
      <x:c r="Q153" s="22" t="n">
        <x:v>0</x:v>
      </x:c>
      <x:c r="R153" s="37" t="n">
        <x:f>IF(AND(P153=1,Q153=1),MIN(F153,M153,R152),0)</x:f>
        <x:v>0</x:v>
      </x:c>
      <x:c r="S153" s="23" t="str">
        <x:f>IF(R153&gt;=F153,"ADMITTED","NOT ADMITTED")</x:f>
        <x:v>NOT ADMITTED</x:v>
      </x:c>
    </x:row>
    <x:row r="154">
      <x:c r="B154" s="21" t="str">
        <x:v>SL-0148</x:v>
      </x:c>
      <x:c r="C154" s="21" t="str">
        <x:v>F13</x:v>
      </x:c>
      <x:c r="D154" s="21" t="n">
        <x:v>4</x:v>
      </x:c>
      <x:c r="E154" s="21" t="str">
        <x:v>Material tooling and instrument release</x:v>
      </x:c>
      <x:c r="F154" s="37" t="n">
        <x:f>'Family Register'!L19</x:f>
        <x:v>20</x:v>
      </x:c>
      <x:c r="G154" s="37" t="n">
        <x:f>INDEX(Scenarios!$E$7:$E$12,Assumptions!C7)</x:f>
        <x:v>0.75</x:v>
      </x:c>
      <x:c r="H154" s="37" t="n">
        <x:f>'Family Register'!G19*'Family Register'!I19*G154</x:f>
        <x:v>21.75</x:v>
      </x:c>
      <x:c r="I154" s="37" t="n">
        <x:f>J153</x:f>
        <x:v>20</x:v>
      </x:c>
      <x:c r="J154" s="37" t="n">
        <x:f>MIN(F154,H154,I154)</x:f>
        <x:v>20</x:v>
      </x:c>
      <x:c r="K154" s="22" t="n">
        <x:v>0</x:v>
      </x:c>
      <x:c r="L154" s="22" t="n">
        <x:v>0</x:v>
      </x:c>
      <x:c r="M154" s="37" t="n">
        <x:f>K154*L154</x:f>
        <x:v>0</x:v>
      </x:c>
      <x:c r="N154" s="22" t="n">
        <x:v>0</x:v>
      </x:c>
      <x:c r="O154" s="37" t="n">
        <x:f>36</x:f>
        <x:v>36</x:v>
      </x:c>
      <x:c r="P154" s="37" t="n">
        <x:f>IF(AND(N154&gt;0,N154&lt;=O154),1,0)</x:f>
        <x:v>0</x:v>
      </x:c>
      <x:c r="Q154" s="22" t="n">
        <x:v>0</x:v>
      </x:c>
      <x:c r="R154" s="37" t="n">
        <x:f>IF(AND(P154=1,Q154=1),MIN(F154,M154,R153),0)</x:f>
        <x:v>0</x:v>
      </x:c>
      <x:c r="S154" s="23" t="str">
        <x:f>IF(R154&gt;=F154,"ADMITTED","NOT ADMITTED")</x:f>
        <x:v>NOT ADMITTED</x:v>
      </x:c>
    </x:row>
    <x:row r="155">
      <x:c r="B155" s="21" t="str">
        <x:v>SL-0149</x:v>
      </x:c>
      <x:c r="C155" s="21" t="str">
        <x:v>F13</x:v>
      </x:c>
      <x:c r="D155" s="21" t="n">
        <x:v>5</x:v>
      </x:c>
      <x:c r="E155" s="21" t="str">
        <x:v>Supplier and process activation</x:v>
      </x:c>
      <x:c r="F155" s="37" t="n">
        <x:f>'Family Register'!L19</x:f>
        <x:v>20</x:v>
      </x:c>
      <x:c r="G155" s="37" t="n">
        <x:f>MIN(INDEX(Scenarios!$E$7:$E$12,Assumptions!C7),INDEX(Scenarios!$F$7:$F$12,Assumptions!C7))</x:f>
        <x:v>0.7</x:v>
      </x:c>
      <x:c r="H155" s="37" t="n">
        <x:f>'Family Register'!G19*'Family Register'!I19*G155</x:f>
        <x:v>20.299999999999997</x:v>
      </x:c>
      <x:c r="I155" s="37" t="n">
        <x:f>J154</x:f>
        <x:v>20</x:v>
      </x:c>
      <x:c r="J155" s="37" t="n">
        <x:f>MIN(F155,H155,I155)</x:f>
        <x:v>20</x:v>
      </x:c>
      <x:c r="K155" s="22" t="n">
        <x:v>0</x:v>
      </x:c>
      <x:c r="L155" s="22" t="n">
        <x:v>0</x:v>
      </x:c>
      <x:c r="M155" s="37" t="n">
        <x:f>K155*L155</x:f>
        <x:v>0</x:v>
      </x:c>
      <x:c r="N155" s="22" t="n">
        <x:v>0</x:v>
      </x:c>
      <x:c r="O155" s="37" t="n">
        <x:f>48</x:f>
        <x:v>48</x:v>
      </x:c>
      <x:c r="P155" s="37" t="n">
        <x:f>IF(AND(N155&gt;0,N155&lt;=O155),1,0)</x:f>
        <x:v>0</x:v>
      </x:c>
      <x:c r="Q155" s="22" t="n">
        <x:v>0</x:v>
      </x:c>
      <x:c r="R155" s="37" t="n">
        <x:f>IF(AND(P155=1,Q155=1),MIN(F155,M155,R154),0)</x:f>
        <x:v>0</x:v>
      </x:c>
      <x:c r="S155" s="23" t="str">
        <x:f>IF(R155&gt;=F155,"ADMITTED","NOT ADMITTED")</x:f>
        <x:v>NOT ADMITTED</x:v>
      </x:c>
    </x:row>
    <x:row r="156">
      <x:c r="B156" s="21" t="str">
        <x:v>SL-0150</x:v>
      </x:c>
      <x:c r="C156" s="21" t="str">
        <x:v>F13</x:v>
      </x:c>
      <x:c r="D156" s="21" t="n">
        <x:v>6</x:v>
      </x:c>
      <x:c r="E156" s="21" t="str">
        <x:v>Conforming production</x:v>
      </x:c>
      <x:c r="F156" s="37" t="n">
        <x:f>'Family Register'!L19</x:f>
        <x:v>20</x:v>
      </x:c>
      <x:c r="G156" s="37" t="n">
        <x:f>INDEX(Scenarios!$F$7:$F$12,Assumptions!C7)</x:f>
        <x:v>0.7</x:v>
      </x:c>
      <x:c r="H156" s="37" t="n">
        <x:f>'Family Register'!G19*'Family Register'!I19*G156</x:f>
        <x:v>20.299999999999997</x:v>
      </x:c>
      <x:c r="I156" s="37" t="n">
        <x:f>J155</x:f>
        <x:v>20</x:v>
      </x:c>
      <x:c r="J156" s="37" t="n">
        <x:f>MIN(F156,H156,I156)</x:f>
        <x:v>20</x:v>
      </x:c>
      <x:c r="K156" s="22" t="n">
        <x:v>0</x:v>
      </x:c>
      <x:c r="L156" s="22" t="n">
        <x:v>0</x:v>
      </x:c>
      <x:c r="M156" s="37" t="n">
        <x:f>K156*L156</x:f>
        <x:v>0</x:v>
      </x:c>
      <x:c r="N156" s="22" t="n">
        <x:v>0</x:v>
      </x:c>
      <x:c r="O156" s="37" t="n">
        <x:f>'Family Register'!H19*0.55</x:f>
        <x:v>396.00000000000006</x:v>
      </x:c>
      <x:c r="P156" s="37" t="n">
        <x:f>IF(AND(N156&gt;0,N156&lt;=O156),1,0)</x:f>
        <x:v>0</x:v>
      </x:c>
      <x:c r="Q156" s="22" t="n">
        <x:v>0</x:v>
      </x:c>
      <x:c r="R156" s="37" t="n">
        <x:f>IF(AND(P156=1,Q156=1),MIN(F156,M156,R155),0)</x:f>
        <x:v>0</x:v>
      </x:c>
      <x:c r="S156" s="23" t="str">
        <x:f>IF(R156&gt;=F156,"ADMITTED","NOT ADMITTED")</x:f>
        <x:v>NOT ADMITTED</x:v>
      </x:c>
    </x:row>
    <x:row r="157">
      <x:c r="B157" s="21" t="str">
        <x:v>SL-0151</x:v>
      </x:c>
      <x:c r="C157" s="21" t="str">
        <x:v>F13</x:v>
      </x:c>
      <x:c r="D157" s="21" t="n">
        <x:v>7</x:v>
      </x:c>
      <x:c r="E157" s="21" t="str">
        <x:v>Independent acceptance</x:v>
      </x:c>
      <x:c r="F157" s="37" t="n">
        <x:f>'Family Register'!L19</x:f>
        <x:v>20</x:v>
      </x:c>
      <x:c r="G157" s="37" t="n">
        <x:f>INDEX(Scenarios!$L$7:$L$12,Assumptions!C7)</x:f>
        <x:v>0.8</x:v>
      </x:c>
      <x:c r="H157" s="37" t="n">
        <x:f>'Family Register'!G19*'Family Register'!I19*G157</x:f>
        <x:v>23.200000000000003</x:v>
      </x:c>
      <x:c r="I157" s="37" t="n">
        <x:f>J156</x:f>
        <x:v>20</x:v>
      </x:c>
      <x:c r="J157" s="37" t="n">
        <x:f>MIN(F157,H157,I157)</x:f>
        <x:v>20</x:v>
      </x:c>
      <x:c r="K157" s="22" t="n">
        <x:v>0</x:v>
      </x:c>
      <x:c r="L157" s="22" t="n">
        <x:v>0</x:v>
      </x:c>
      <x:c r="M157" s="37" t="n">
        <x:f>K157*L157</x:f>
        <x:v>0</x:v>
      </x:c>
      <x:c r="N157" s="22" t="n">
        <x:v>0</x:v>
      </x:c>
      <x:c r="O157" s="37" t="n">
        <x:f>'Family Register'!H19*0.65</x:f>
        <x:v>468</x:v>
      </x:c>
      <x:c r="P157" s="37" t="n">
        <x:f>IF(AND(N157&gt;0,N157&lt;=O157),1,0)</x:f>
        <x:v>0</x:v>
      </x:c>
      <x:c r="Q157" s="22" t="n">
        <x:v>0</x:v>
      </x:c>
      <x:c r="R157" s="37" t="n">
        <x:f>IF(AND(P157=1,Q157=1),MIN(F157,M157,R156),0)</x:f>
        <x:v>0</x:v>
      </x:c>
      <x:c r="S157" s="23" t="str">
        <x:f>IF(R157&gt;=F157,"ADMITTED","NOT ADMITTED")</x:f>
        <x:v>NOT ADMITTED</x:v>
      </x:c>
    </x:row>
    <x:row r="158">
      <x:c r="B158" s="21" t="str">
        <x:v>SL-0152</x:v>
      </x:c>
      <x:c r="C158" s="21" t="str">
        <x:v>F13</x:v>
      </x:c>
      <x:c r="D158" s="21" t="n">
        <x:v>8</x:v>
      </x:c>
      <x:c r="E158" s="21" t="str">
        <x:v>Loadout and custody transfer</x:v>
      </x:c>
      <x:c r="F158" s="37" t="n">
        <x:f>'Family Register'!L19</x:f>
        <x:v>20</x:v>
      </x:c>
      <x:c r="G158" s="37" t="n">
        <x:f>INDEX(Scenarios!$H$7:$H$12,Assumptions!C7)</x:f>
        <x:v>0.65</x:v>
      </x:c>
      <x:c r="H158" s="37" t="n">
        <x:f>'Family Register'!G19*'Family Register'!I19*G158</x:f>
        <x:v>18.85</x:v>
      </x:c>
      <x:c r="I158" s="37" t="n">
        <x:f>J157</x:f>
        <x:v>20</x:v>
      </x:c>
      <x:c r="J158" s="37" t="n">
        <x:f>MIN(F158,H158,I158)</x:f>
        <x:v>18.85</x:v>
      </x:c>
      <x:c r="K158" s="22" t="n">
        <x:v>0</x:v>
      </x:c>
      <x:c r="L158" s="22" t="n">
        <x:v>0</x:v>
      </x:c>
      <x:c r="M158" s="37" t="n">
        <x:f>K158*L158</x:f>
        <x:v>0</x:v>
      </x:c>
      <x:c r="N158" s="22" t="n">
        <x:v>0</x:v>
      </x:c>
      <x:c r="O158" s="37" t="n">
        <x:f>'Family Register'!H19*0.7</x:f>
        <x:v>503.99999999999994</x:v>
      </x:c>
      <x:c r="P158" s="37" t="n">
        <x:f>IF(AND(N158&gt;0,N158&lt;=O158),1,0)</x:f>
        <x:v>0</x:v>
      </x:c>
      <x:c r="Q158" s="22" t="n">
        <x:v>0</x:v>
      </x:c>
      <x:c r="R158" s="37" t="n">
        <x:f>IF(AND(P158=1,Q158=1),MIN(F158,M158,R157),0)</x:f>
        <x:v>0</x:v>
      </x:c>
      <x:c r="S158" s="23" t="str">
        <x:f>IF(R158&gt;=F158,"ADMITTED","NOT ADMITTED")</x:f>
        <x:v>NOT ADMITTED</x:v>
      </x:c>
    </x:row>
    <x:row r="159">
      <x:c r="B159" s="21" t="str">
        <x:v>SL-0153</x:v>
      </x:c>
      <x:c r="C159" s="21" t="str">
        <x:v>F13</x:v>
      </x:c>
      <x:c r="D159" s="21" t="n">
        <x:v>9</x:v>
      </x:c>
      <x:c r="E159" s="21" t="str">
        <x:v>Strategic transport</x:v>
      </x:c>
      <x:c r="F159" s="37" t="n">
        <x:f>'Family Register'!L19</x:f>
        <x:v>20</x:v>
      </x:c>
      <x:c r="G159" s="37" t="n">
        <x:f>INDEX(Scenarios!$H$7:$H$12,Assumptions!C7)</x:f>
        <x:v>0.65</x:v>
      </x:c>
      <x:c r="H159" s="37" t="n">
        <x:f>'Family Register'!G19*'Family Register'!I19*G159</x:f>
        <x:v>18.85</x:v>
      </x:c>
      <x:c r="I159" s="37" t="n">
        <x:f>J158</x:f>
        <x:v>18.85</x:v>
      </x:c>
      <x:c r="J159" s="37" t="n">
        <x:f>MIN(F159,H159,I159)</x:f>
        <x:v>18.85</x:v>
      </x:c>
      <x:c r="K159" s="22" t="n">
        <x:v>0</x:v>
      </x:c>
      <x:c r="L159" s="22" t="n">
        <x:v>0</x:v>
      </x:c>
      <x:c r="M159" s="37" t="n">
        <x:f>K159*L159</x:f>
        <x:v>0</x:v>
      </x:c>
      <x:c r="N159" s="22" t="n">
        <x:v>0</x:v>
      </x:c>
      <x:c r="O159" s="37" t="n">
        <x:f>'Family Register'!H19*0.9</x:f>
        <x:v>648</x:v>
      </x:c>
      <x:c r="P159" s="37" t="n">
        <x:f>IF(AND(N159&gt;0,N159&lt;=O159),1,0)</x:f>
        <x:v>0</x:v>
      </x:c>
      <x:c r="Q159" s="22" t="n">
        <x:v>0</x:v>
      </x:c>
      <x:c r="R159" s="37" t="n">
        <x:f>IF(AND(P159=1,Q159=1),MIN(F159,M159,R158),0)</x:f>
        <x:v>0</x:v>
      </x:c>
      <x:c r="S159" s="23" t="str">
        <x:f>IF(R159&gt;=F159,"ADMITTED","NOT ADMITTED")</x:f>
        <x:v>NOT ADMITTED</x:v>
      </x:c>
    </x:row>
    <x:row r="160">
      <x:c r="B160" s="21" t="str">
        <x:v>SL-0154</x:v>
      </x:c>
      <x:c r="C160" s="21" t="str">
        <x:v>F13</x:v>
      </x:c>
      <x:c r="D160" s="21" t="n">
        <x:v>10</x:v>
      </x:c>
      <x:c r="E160" s="21" t="str">
        <x:v>Receiving-node admission</x:v>
      </x:c>
      <x:c r="F160" s="37" t="n">
        <x:f>'Family Register'!L19</x:f>
        <x:v>20</x:v>
      </x:c>
      <x:c r="G160" s="37" t="n">
        <x:f>INDEX(Scenarios!$I$7:$I$12,Assumptions!C7)</x:f>
        <x:v>0.75</x:v>
      </x:c>
      <x:c r="H160" s="37" t="n">
        <x:f>'Family Register'!G19*'Family Register'!I19*G160</x:f>
        <x:v>21.75</x:v>
      </x:c>
      <x:c r="I160" s="37" t="n">
        <x:f>J159</x:f>
        <x:v>18.85</x:v>
      </x:c>
      <x:c r="J160" s="37" t="n">
        <x:f>MIN(F160,H160,I160)</x:f>
        <x:v>18.85</x:v>
      </x:c>
      <x:c r="K160" s="22" t="n">
        <x:v>0</x:v>
      </x:c>
      <x:c r="L160" s="22" t="n">
        <x:v>0</x:v>
      </x:c>
      <x:c r="M160" s="37" t="n">
        <x:f>K160*L160</x:f>
        <x:v>0</x:v>
      </x:c>
      <x:c r="N160" s="22" t="n">
        <x:v>0</x:v>
      </x:c>
      <x:c r="O160" s="37" t="n">
        <x:f>'Family Register'!H19*0.94</x:f>
        <x:v>676.8</x:v>
      </x:c>
      <x:c r="P160" s="37" t="n">
        <x:f>IF(AND(N160&gt;0,N160&lt;=O160),1,0)</x:f>
        <x:v>0</x:v>
      </x:c>
      <x:c r="Q160" s="22" t="n">
        <x:v>0</x:v>
      </x:c>
      <x:c r="R160" s="37" t="n">
        <x:f>IF(AND(P160=1,Q160=1),MIN(F160,M160,R159),0)</x:f>
        <x:v>0</x:v>
      </x:c>
      <x:c r="S160" s="23" t="str">
        <x:f>IF(R160&gt;=F160,"ADMITTED","NOT ADMITTED")</x:f>
        <x:v>NOT ADMITTED</x:v>
      </x:c>
    </x:row>
    <x:row r="161">
      <x:c r="B161" s="21" t="str">
        <x:v>SL-0155</x:v>
      </x:c>
      <x:c r="C161" s="21" t="str">
        <x:v>F13</x:v>
      </x:c>
      <x:c r="D161" s="21" t="n">
        <x:v>11</x:v>
      </x:c>
      <x:c r="E161" s="21" t="str">
        <x:v>Commissioned public service</x:v>
      </x:c>
      <x:c r="F161" s="37" t="n">
        <x:f>'Family Register'!L19</x:f>
        <x:v>20</x:v>
      </x:c>
      <x:c r="G161" s="37" t="n">
        <x:f>MIN(INDEX(Scenarios!$G$7:$G$12,Assumptions!C7),INDEX(Scenarios!$I$7:$I$12,Assumptions!C7))</x:f>
        <x:v>0.7</x:v>
      </x:c>
      <x:c r="H161" s="37" t="n">
        <x:f>'Family Register'!G19*'Family Register'!I19*G161</x:f>
        <x:v>20.299999999999997</x:v>
      </x:c>
      <x:c r="I161" s="37" t="n">
        <x:f>J160</x:f>
        <x:v>18.85</x:v>
      </x:c>
      <x:c r="J161" s="37" t="n">
        <x:f>MIN(F161,H161,I161)</x:f>
        <x:v>18.85</x:v>
      </x:c>
      <x:c r="K161" s="22" t="n">
        <x:v>0</x:v>
      </x:c>
      <x:c r="L161" s="22" t="n">
        <x:v>0</x:v>
      </x:c>
      <x:c r="M161" s="37" t="n">
        <x:f>K161*L161</x:f>
        <x:v>0</x:v>
      </x:c>
      <x:c r="N161" s="22" t="n">
        <x:v>0</x:v>
      </x:c>
      <x:c r="O161" s="37" t="n">
        <x:f>'Family Register'!H19*1</x:f>
        <x:v>720</x:v>
      </x:c>
      <x:c r="P161" s="37" t="n">
        <x:f>IF(AND(N161&gt;0,N161&lt;=O161),1,0)</x:f>
        <x:v>0</x:v>
      </x:c>
      <x:c r="Q161" s="22" t="n">
        <x:v>0</x:v>
      </x:c>
      <x:c r="R161" s="37" t="n">
        <x:f>IF(AND(P161=1,Q161=1),MIN(F161,M161,R160),0)</x:f>
        <x:v>0</x:v>
      </x:c>
      <x:c r="S161" s="23" t="str">
        <x:f>IF(R161&gt;=F161,"ADMITTED","NOT ADMITTED")</x:f>
        <x:v>NOT ADMITTED</x:v>
      </x:c>
    </x:row>
    <x:row r="162">
      <x:c r="B162" s="21" t="str">
        <x:v>SL-0156</x:v>
      </x:c>
      <x:c r="C162" s="21" t="str">
        <x:v>F13</x:v>
      </x:c>
      <x:c r="D162" s="21" t="n">
        <x:v>12</x:v>
      </x:c>
      <x:c r="E162" s="21" t="str">
        <x:v>Regeneration and replacement</x:v>
      </x:c>
      <x:c r="F162" s="37" t="n">
        <x:f>'Family Register'!L19</x:f>
        <x:v>20</x:v>
      </x:c>
      <x:c r="G162" s="37" t="n">
        <x:f>MIN(INDEX(Scenarios!$E$7:$E$12,Assumptions!C7),INDEX(Scenarios!$F$7:$F$12,Assumptions!C7))</x:f>
        <x:v>0.7</x:v>
      </x:c>
      <x:c r="H162" s="37" t="n">
        <x:f>'Family Register'!G19*'Family Register'!I19*G162</x:f>
        <x:v>20.299999999999997</x:v>
      </x:c>
      <x:c r="I162" s="37" t="n">
        <x:f>J161</x:f>
        <x:v>18.85</x:v>
      </x:c>
      <x:c r="J162" s="37" t="n">
        <x:f>MIN(F162,H162,I162)</x:f>
        <x:v>18.85</x:v>
      </x:c>
      <x:c r="K162" s="22" t="n">
        <x:v>0</x:v>
      </x:c>
      <x:c r="L162" s="22" t="n">
        <x:v>0</x:v>
      </x:c>
      <x:c r="M162" s="37" t="n">
        <x:f>K162*L162</x:f>
        <x:v>0</x:v>
      </x:c>
      <x:c r="N162" s="22" t="n">
        <x:v>0</x:v>
      </x:c>
      <x:c r="O162" s="37" t="n">
        <x:f>'Family Register'!H19+168</x:f>
        <x:v>888</x:v>
      </x:c>
      <x:c r="P162" s="37" t="n">
        <x:f>IF(AND(N162&gt;0,N162&lt;=O162),1,0)</x:f>
        <x:v>0</x:v>
      </x:c>
      <x:c r="Q162" s="22" t="n">
        <x:v>0</x:v>
      </x:c>
      <x:c r="R162" s="37" t="n">
        <x:f>IF(AND(P162=1,Q162=1),MIN(F162,M162,R161),0)</x:f>
        <x:v>0</x:v>
      </x:c>
      <x:c r="S162" s="23" t="str">
        <x:f>IF(R162&gt;=F162,"ADMITTED","NOT ADMITTED")</x:f>
        <x:v>NOT ADMITTED</x:v>
      </x:c>
    </x:row>
    <x:row r="163">
      <x:c r="B163" s="21" t="str">
        <x:v>SL-0157</x:v>
      </x:c>
      <x:c r="C163" s="21" t="str">
        <x:v>F14</x:v>
      </x:c>
      <x:c r="D163" s="21" t="n">
        <x:v>1</x:v>
      </x:c>
      <x:c r="E163" s="21" t="str">
        <x:v>Alert authentication</x:v>
      </x:c>
      <x:c r="F163" s="37" t="n">
        <x:f>'Family Register'!L20</x:f>
        <x:v>6</x:v>
      </x:c>
      <x:c r="G163" s="37" t="n">
        <x:f>INDEX(Scenarios!$K$7:$K$12,Assumptions!C7)</x:f>
        <x:v>0.75</x:v>
      </x:c>
      <x:c r="H163" s="37" t="n">
        <x:f>'Family Register'!G20*'Family Register'!I20*G163</x:f>
        <x:v>7.200000000000001</x:v>
      </x:c>
      <x:c r="I163" s="37" t="n">
        <x:f>F163</x:f>
        <x:v>6</x:v>
      </x:c>
      <x:c r="J163" s="37" t="n">
        <x:f>MIN(F163,H163,I163)</x:f>
        <x:v>6</x:v>
      </x:c>
      <x:c r="K163" s="22" t="n">
        <x:v>0</x:v>
      </x:c>
      <x:c r="L163" s="22" t="n">
        <x:v>0</x:v>
      </x:c>
      <x:c r="M163" s="37" t="n">
        <x:f>K163*L163</x:f>
        <x:v>0</x:v>
      </x:c>
      <x:c r="N163" s="22" t="n">
        <x:v>0</x:v>
      </x:c>
      <x:c r="O163" s="37" t="n">
        <x:f>2</x:f>
        <x:v>2</x:v>
      </x:c>
      <x:c r="P163" s="37" t="n">
        <x:f>IF(AND(N163&gt;0,N163&lt;=O163),1,0)</x:f>
        <x:v>0</x:v>
      </x:c>
      <x:c r="Q163" s="22" t="n">
        <x:v>0</x:v>
      </x:c>
      <x:c r="R163" s="37" t="n">
        <x:f>IF(AND(P163=1,Q163=1),MIN(F163,M163),0)</x:f>
        <x:v>0</x:v>
      </x:c>
      <x:c r="S163" s="23" t="str">
        <x:f>IF(R163&gt;=F163,"ADMITTED","NOT ADMITTED")</x:f>
        <x:v>NOT ADMITTED</x:v>
      </x:c>
    </x:row>
    <x:row r="164">
      <x:c r="B164" s="21" t="str">
        <x:v>SL-0158</x:v>
      </x:c>
      <x:c r="C164" s="21" t="str">
        <x:v>F14</x:v>
      </x:c>
      <x:c r="D164" s="21" t="n">
        <x:v>2</x:v>
      </x:c>
      <x:c r="E164" s="21" t="str">
        <x:v>Workforce muster</x:v>
      </x:c>
      <x:c r="F164" s="37" t="n">
        <x:f>'Family Register'!L20</x:f>
        <x:v>6</x:v>
      </x:c>
      <x:c r="G164" s="37" t="n">
        <x:f>INDEX(Scenarios!$J$7:$J$12,Assumptions!C7)</x:f>
        <x:v>0.8</x:v>
      </x:c>
      <x:c r="H164" s="37" t="n">
        <x:f>'Family Register'!G20*'Family Register'!I20*G164</x:f>
        <x:v>7.6800000000000015</x:v>
      </x:c>
      <x:c r="I164" s="37" t="n">
        <x:f>J163</x:f>
        <x:v>6</x:v>
      </x:c>
      <x:c r="J164" s="37" t="n">
        <x:f>MIN(F164,H164,I164)</x:f>
        <x:v>6</x:v>
      </x:c>
      <x:c r="K164" s="22" t="n">
        <x:v>0</x:v>
      </x:c>
      <x:c r="L164" s="22" t="n">
        <x:v>0</x:v>
      </x:c>
      <x:c r="M164" s="37" t="n">
        <x:f>K164*L164</x:f>
        <x:v>0</x:v>
      </x:c>
      <x:c r="N164" s="22" t="n">
        <x:v>0</x:v>
      </x:c>
      <x:c r="O164" s="37" t="n">
        <x:f>12</x:f>
        <x:v>12</x:v>
      </x:c>
      <x:c r="P164" s="37" t="n">
        <x:f>IF(AND(N164&gt;0,N164&lt;=O164),1,0)</x:f>
        <x:v>0</x:v>
      </x:c>
      <x:c r="Q164" s="22" t="n">
        <x:v>0</x:v>
      </x:c>
      <x:c r="R164" s="37" t="n">
        <x:f>IF(AND(P164=1,Q164=1),MIN(F164,M164,R163),0)</x:f>
        <x:v>0</x:v>
      </x:c>
      <x:c r="S164" s="23" t="str">
        <x:f>IF(R164&gt;=F164,"ADMITTED","NOT ADMITTED")</x:f>
        <x:v>NOT ADMITTED</x:v>
      </x:c>
    </x:row>
    <x:row r="165">
      <x:c r="B165" s="21" t="str">
        <x:v>SL-0159</x:v>
      </x:c>
      <x:c r="C165" s="21" t="str">
        <x:v>F14</x:v>
      </x:c>
      <x:c r="D165" s="21" t="n">
        <x:v>3</x:v>
      </x:c>
      <x:c r="E165" s="21" t="str">
        <x:v>Facility utility and safe start</x:v>
      </x:c>
      <x:c r="F165" s="37" t="n">
        <x:f>'Family Register'!L20</x:f>
        <x:v>6</x:v>
      </x:c>
      <x:c r="G165" s="37" t="n">
        <x:f>INDEX(Scenarios!$G$7:$G$12,Assumptions!C7)</x:f>
        <x:v>0.7</x:v>
      </x:c>
      <x:c r="H165" s="37" t="n">
        <x:f>'Family Register'!G20*'Family Register'!I20*G165</x:f>
        <x:v>6.720000000000001</x:v>
      </x:c>
      <x:c r="I165" s="37" t="n">
        <x:f>J164</x:f>
        <x:v>6</x:v>
      </x:c>
      <x:c r="J165" s="37" t="n">
        <x:f>MIN(F165,H165,I165)</x:f>
        <x:v>6</x:v>
      </x:c>
      <x:c r="K165" s="22" t="n">
        <x:v>0</x:v>
      </x:c>
      <x:c r="L165" s="22" t="n">
        <x:v>0</x:v>
      </x:c>
      <x:c r="M165" s="37" t="n">
        <x:f>K165*L165</x:f>
        <x:v>0</x:v>
      </x:c>
      <x:c r="N165" s="22" t="n">
        <x:v>0</x:v>
      </x:c>
      <x:c r="O165" s="37" t="n">
        <x:f>24</x:f>
        <x:v>24</x:v>
      </x:c>
      <x:c r="P165" s="37" t="n">
        <x:f>IF(AND(N165&gt;0,N165&lt;=O165),1,0)</x:f>
        <x:v>0</x:v>
      </x:c>
      <x:c r="Q165" s="22" t="n">
        <x:v>0</x:v>
      </x:c>
      <x:c r="R165" s="37" t="n">
        <x:f>IF(AND(P165=1,Q165=1),MIN(F165,M165,R164),0)</x:f>
        <x:v>0</x:v>
      </x:c>
      <x:c r="S165" s="23" t="str">
        <x:f>IF(R165&gt;=F165,"ADMITTED","NOT ADMITTED")</x:f>
        <x:v>NOT ADMITTED</x:v>
      </x:c>
    </x:row>
    <x:row r="166">
      <x:c r="B166" s="21" t="str">
        <x:v>SL-0160</x:v>
      </x:c>
      <x:c r="C166" s="21" t="str">
        <x:v>F14</x:v>
      </x:c>
      <x:c r="D166" s="21" t="n">
        <x:v>4</x:v>
      </x:c>
      <x:c r="E166" s="21" t="str">
        <x:v>Material tooling and instrument release</x:v>
      </x:c>
      <x:c r="F166" s="37" t="n">
        <x:f>'Family Register'!L20</x:f>
        <x:v>6</x:v>
      </x:c>
      <x:c r="G166" s="37" t="n">
        <x:f>INDEX(Scenarios!$E$7:$E$12,Assumptions!C7)</x:f>
        <x:v>0.75</x:v>
      </x:c>
      <x:c r="H166" s="37" t="n">
        <x:f>'Family Register'!G20*'Family Register'!I20*G166</x:f>
        <x:v>7.200000000000001</x:v>
      </x:c>
      <x:c r="I166" s="37" t="n">
        <x:f>J165</x:f>
        <x:v>6</x:v>
      </x:c>
      <x:c r="J166" s="37" t="n">
        <x:f>MIN(F166,H166,I166)</x:f>
        <x:v>6</x:v>
      </x:c>
      <x:c r="K166" s="22" t="n">
        <x:v>0</x:v>
      </x:c>
      <x:c r="L166" s="22" t="n">
        <x:v>0</x:v>
      </x:c>
      <x:c r="M166" s="37" t="n">
        <x:f>K166*L166</x:f>
        <x:v>0</x:v>
      </x:c>
      <x:c r="N166" s="22" t="n">
        <x:v>0</x:v>
      </x:c>
      <x:c r="O166" s="37" t="n">
        <x:f>36</x:f>
        <x:v>36</x:v>
      </x:c>
      <x:c r="P166" s="37" t="n">
        <x:f>IF(AND(N166&gt;0,N166&lt;=O166),1,0)</x:f>
        <x:v>0</x:v>
      </x:c>
      <x:c r="Q166" s="22" t="n">
        <x:v>0</x:v>
      </x:c>
      <x:c r="R166" s="37" t="n">
        <x:f>IF(AND(P166=1,Q166=1),MIN(F166,M166,R165),0)</x:f>
        <x:v>0</x:v>
      </x:c>
      <x:c r="S166" s="23" t="str">
        <x:f>IF(R166&gt;=F166,"ADMITTED","NOT ADMITTED")</x:f>
        <x:v>NOT ADMITTED</x:v>
      </x:c>
    </x:row>
    <x:row r="167">
      <x:c r="B167" s="21" t="str">
        <x:v>SL-0161</x:v>
      </x:c>
      <x:c r="C167" s="21" t="str">
        <x:v>F14</x:v>
      </x:c>
      <x:c r="D167" s="21" t="n">
        <x:v>5</x:v>
      </x:c>
      <x:c r="E167" s="21" t="str">
        <x:v>Supplier and process activation</x:v>
      </x:c>
      <x:c r="F167" s="37" t="n">
        <x:f>'Family Register'!L20</x:f>
        <x:v>6</x:v>
      </x:c>
      <x:c r="G167" s="37" t="n">
        <x:f>MIN(INDEX(Scenarios!$E$7:$E$12,Assumptions!C7),INDEX(Scenarios!$F$7:$F$12,Assumptions!C7))</x:f>
        <x:v>0.7</x:v>
      </x:c>
      <x:c r="H167" s="37" t="n">
        <x:f>'Family Register'!G20*'Family Register'!I20*G167</x:f>
        <x:v>6.720000000000001</x:v>
      </x:c>
      <x:c r="I167" s="37" t="n">
        <x:f>J166</x:f>
        <x:v>6</x:v>
      </x:c>
      <x:c r="J167" s="37" t="n">
        <x:f>MIN(F167,H167,I167)</x:f>
        <x:v>6</x:v>
      </x:c>
      <x:c r="K167" s="22" t="n">
        <x:v>0</x:v>
      </x:c>
      <x:c r="L167" s="22" t="n">
        <x:v>0</x:v>
      </x:c>
      <x:c r="M167" s="37" t="n">
        <x:f>K167*L167</x:f>
        <x:v>0</x:v>
      </x:c>
      <x:c r="N167" s="22" t="n">
        <x:v>0</x:v>
      </x:c>
      <x:c r="O167" s="37" t="n">
        <x:f>48</x:f>
        <x:v>48</x:v>
      </x:c>
      <x:c r="P167" s="37" t="n">
        <x:f>IF(AND(N167&gt;0,N167&lt;=O167),1,0)</x:f>
        <x:v>0</x:v>
      </x:c>
      <x:c r="Q167" s="22" t="n">
        <x:v>0</x:v>
      </x:c>
      <x:c r="R167" s="37" t="n">
        <x:f>IF(AND(P167=1,Q167=1),MIN(F167,M167,R166),0)</x:f>
        <x:v>0</x:v>
      </x:c>
      <x:c r="S167" s="23" t="str">
        <x:f>IF(R167&gt;=F167,"ADMITTED","NOT ADMITTED")</x:f>
        <x:v>NOT ADMITTED</x:v>
      </x:c>
    </x:row>
    <x:row r="168">
      <x:c r="B168" s="21" t="str">
        <x:v>SL-0162</x:v>
      </x:c>
      <x:c r="C168" s="21" t="str">
        <x:v>F14</x:v>
      </x:c>
      <x:c r="D168" s="21" t="n">
        <x:v>6</x:v>
      </x:c>
      <x:c r="E168" s="21" t="str">
        <x:v>Conforming production</x:v>
      </x:c>
      <x:c r="F168" s="37" t="n">
        <x:f>'Family Register'!L20</x:f>
        <x:v>6</x:v>
      </x:c>
      <x:c r="G168" s="37" t="n">
        <x:f>INDEX(Scenarios!$F$7:$F$12,Assumptions!C7)</x:f>
        <x:v>0.7</x:v>
      </x:c>
      <x:c r="H168" s="37" t="n">
        <x:f>'Family Register'!G20*'Family Register'!I20*G168</x:f>
        <x:v>6.720000000000001</x:v>
      </x:c>
      <x:c r="I168" s="37" t="n">
        <x:f>J167</x:f>
        <x:v>6</x:v>
      </x:c>
      <x:c r="J168" s="37" t="n">
        <x:f>MIN(F168,H168,I168)</x:f>
        <x:v>6</x:v>
      </x:c>
      <x:c r="K168" s="22" t="n">
        <x:v>0</x:v>
      </x:c>
      <x:c r="L168" s="22" t="n">
        <x:v>0</x:v>
      </x:c>
      <x:c r="M168" s="37" t="n">
        <x:f>K168*L168</x:f>
        <x:v>0</x:v>
      </x:c>
      <x:c r="N168" s="22" t="n">
        <x:v>0</x:v>
      </x:c>
      <x:c r="O168" s="37" t="n">
        <x:f>'Family Register'!H20*0.55</x:f>
        <x:v>184.8</x:v>
      </x:c>
      <x:c r="P168" s="37" t="n">
        <x:f>IF(AND(N168&gt;0,N168&lt;=O168),1,0)</x:f>
        <x:v>0</x:v>
      </x:c>
      <x:c r="Q168" s="22" t="n">
        <x:v>0</x:v>
      </x:c>
      <x:c r="R168" s="37" t="n">
        <x:f>IF(AND(P168=1,Q168=1),MIN(F168,M168,R167),0)</x:f>
        <x:v>0</x:v>
      </x:c>
      <x:c r="S168" s="23" t="str">
        <x:f>IF(R168&gt;=F168,"ADMITTED","NOT ADMITTED")</x:f>
        <x:v>NOT ADMITTED</x:v>
      </x:c>
    </x:row>
    <x:row r="169">
      <x:c r="B169" s="21" t="str">
        <x:v>SL-0163</x:v>
      </x:c>
      <x:c r="C169" s="21" t="str">
        <x:v>F14</x:v>
      </x:c>
      <x:c r="D169" s="21" t="n">
        <x:v>7</x:v>
      </x:c>
      <x:c r="E169" s="21" t="str">
        <x:v>Independent acceptance</x:v>
      </x:c>
      <x:c r="F169" s="37" t="n">
        <x:f>'Family Register'!L20</x:f>
        <x:v>6</x:v>
      </x:c>
      <x:c r="G169" s="37" t="n">
        <x:f>INDEX(Scenarios!$L$7:$L$12,Assumptions!C7)</x:f>
        <x:v>0.8</x:v>
      </x:c>
      <x:c r="H169" s="37" t="n">
        <x:f>'Family Register'!G20*'Family Register'!I20*G169</x:f>
        <x:v>7.6800000000000015</x:v>
      </x:c>
      <x:c r="I169" s="37" t="n">
        <x:f>J168</x:f>
        <x:v>6</x:v>
      </x:c>
      <x:c r="J169" s="37" t="n">
        <x:f>MIN(F169,H169,I169)</x:f>
        <x:v>6</x:v>
      </x:c>
      <x:c r="K169" s="22" t="n">
        <x:v>0</x:v>
      </x:c>
      <x:c r="L169" s="22" t="n">
        <x:v>0</x:v>
      </x:c>
      <x:c r="M169" s="37" t="n">
        <x:f>K169*L169</x:f>
        <x:v>0</x:v>
      </x:c>
      <x:c r="N169" s="22" t="n">
        <x:v>0</x:v>
      </x:c>
      <x:c r="O169" s="37" t="n">
        <x:f>'Family Register'!H20*0.65</x:f>
        <x:v>218.4</x:v>
      </x:c>
      <x:c r="P169" s="37" t="n">
        <x:f>IF(AND(N169&gt;0,N169&lt;=O169),1,0)</x:f>
        <x:v>0</x:v>
      </x:c>
      <x:c r="Q169" s="22" t="n">
        <x:v>0</x:v>
      </x:c>
      <x:c r="R169" s="37" t="n">
        <x:f>IF(AND(P169=1,Q169=1),MIN(F169,M169,R168),0)</x:f>
        <x:v>0</x:v>
      </x:c>
      <x:c r="S169" s="23" t="str">
        <x:f>IF(R169&gt;=F169,"ADMITTED","NOT ADMITTED")</x:f>
        <x:v>NOT ADMITTED</x:v>
      </x:c>
    </x:row>
    <x:row r="170">
      <x:c r="B170" s="21" t="str">
        <x:v>SL-0164</x:v>
      </x:c>
      <x:c r="C170" s="21" t="str">
        <x:v>F14</x:v>
      </x:c>
      <x:c r="D170" s="21" t="n">
        <x:v>8</x:v>
      </x:c>
      <x:c r="E170" s="21" t="str">
        <x:v>Loadout and custody transfer</x:v>
      </x:c>
      <x:c r="F170" s="37" t="n">
        <x:f>'Family Register'!L20</x:f>
        <x:v>6</x:v>
      </x:c>
      <x:c r="G170" s="37" t="n">
        <x:f>INDEX(Scenarios!$H$7:$H$12,Assumptions!C7)</x:f>
        <x:v>0.65</x:v>
      </x:c>
      <x:c r="H170" s="37" t="n">
        <x:f>'Family Register'!G20*'Family Register'!I20*G170</x:f>
        <x:v>6.240000000000001</x:v>
      </x:c>
      <x:c r="I170" s="37" t="n">
        <x:f>J169</x:f>
        <x:v>6</x:v>
      </x:c>
      <x:c r="J170" s="37" t="n">
        <x:f>MIN(F170,H170,I170)</x:f>
        <x:v>6</x:v>
      </x:c>
      <x:c r="K170" s="22" t="n">
        <x:v>0</x:v>
      </x:c>
      <x:c r="L170" s="22" t="n">
        <x:v>0</x:v>
      </x:c>
      <x:c r="M170" s="37" t="n">
        <x:f>K170*L170</x:f>
        <x:v>0</x:v>
      </x:c>
      <x:c r="N170" s="22" t="n">
        <x:v>0</x:v>
      </x:c>
      <x:c r="O170" s="37" t="n">
        <x:f>'Family Register'!H20*0.7</x:f>
        <x:v>235.2</x:v>
      </x:c>
      <x:c r="P170" s="37" t="n">
        <x:f>IF(AND(N170&gt;0,N170&lt;=O170),1,0)</x:f>
        <x:v>0</x:v>
      </x:c>
      <x:c r="Q170" s="22" t="n">
        <x:v>0</x:v>
      </x:c>
      <x:c r="R170" s="37" t="n">
        <x:f>IF(AND(P170=1,Q170=1),MIN(F170,M170,R169),0)</x:f>
        <x:v>0</x:v>
      </x:c>
      <x:c r="S170" s="23" t="str">
        <x:f>IF(R170&gt;=F170,"ADMITTED","NOT ADMITTED")</x:f>
        <x:v>NOT ADMITTED</x:v>
      </x:c>
    </x:row>
    <x:row r="171">
      <x:c r="B171" s="21" t="str">
        <x:v>SL-0165</x:v>
      </x:c>
      <x:c r="C171" s="21" t="str">
        <x:v>F14</x:v>
      </x:c>
      <x:c r="D171" s="21" t="n">
        <x:v>9</x:v>
      </x:c>
      <x:c r="E171" s="21" t="str">
        <x:v>Strategic transport</x:v>
      </x:c>
      <x:c r="F171" s="37" t="n">
        <x:f>'Family Register'!L20</x:f>
        <x:v>6</x:v>
      </x:c>
      <x:c r="G171" s="37" t="n">
        <x:f>INDEX(Scenarios!$H$7:$H$12,Assumptions!C7)</x:f>
        <x:v>0.65</x:v>
      </x:c>
      <x:c r="H171" s="37" t="n">
        <x:f>'Family Register'!G20*'Family Register'!I20*G171</x:f>
        <x:v>6.240000000000001</x:v>
      </x:c>
      <x:c r="I171" s="37" t="n">
        <x:f>J170</x:f>
        <x:v>6</x:v>
      </x:c>
      <x:c r="J171" s="37" t="n">
        <x:f>MIN(F171,H171,I171)</x:f>
        <x:v>6</x:v>
      </x:c>
      <x:c r="K171" s="22" t="n">
        <x:v>0</x:v>
      </x:c>
      <x:c r="L171" s="22" t="n">
        <x:v>0</x:v>
      </x:c>
      <x:c r="M171" s="37" t="n">
        <x:f>K171*L171</x:f>
        <x:v>0</x:v>
      </x:c>
      <x:c r="N171" s="22" t="n">
        <x:v>0</x:v>
      </x:c>
      <x:c r="O171" s="37" t="n">
        <x:f>'Family Register'!H20*0.9</x:f>
        <x:v>302.40000000000003</x:v>
      </x:c>
      <x:c r="P171" s="37" t="n">
        <x:f>IF(AND(N171&gt;0,N171&lt;=O171),1,0)</x:f>
        <x:v>0</x:v>
      </x:c>
      <x:c r="Q171" s="22" t="n">
        <x:v>0</x:v>
      </x:c>
      <x:c r="R171" s="37" t="n">
        <x:f>IF(AND(P171=1,Q171=1),MIN(F171,M171,R170),0)</x:f>
        <x:v>0</x:v>
      </x:c>
      <x:c r="S171" s="23" t="str">
        <x:f>IF(R171&gt;=F171,"ADMITTED","NOT ADMITTED")</x:f>
        <x:v>NOT ADMITTED</x:v>
      </x:c>
    </x:row>
    <x:row r="172">
      <x:c r="B172" s="21" t="str">
        <x:v>SL-0166</x:v>
      </x:c>
      <x:c r="C172" s="21" t="str">
        <x:v>F14</x:v>
      </x:c>
      <x:c r="D172" s="21" t="n">
        <x:v>10</x:v>
      </x:c>
      <x:c r="E172" s="21" t="str">
        <x:v>Receiving-node admission</x:v>
      </x:c>
      <x:c r="F172" s="37" t="n">
        <x:f>'Family Register'!L20</x:f>
        <x:v>6</x:v>
      </x:c>
      <x:c r="G172" s="37" t="n">
        <x:f>INDEX(Scenarios!$I$7:$I$12,Assumptions!C7)</x:f>
        <x:v>0.75</x:v>
      </x:c>
      <x:c r="H172" s="37" t="n">
        <x:f>'Family Register'!G20*'Family Register'!I20*G172</x:f>
        <x:v>7.200000000000001</x:v>
      </x:c>
      <x:c r="I172" s="37" t="n">
        <x:f>J171</x:f>
        <x:v>6</x:v>
      </x:c>
      <x:c r="J172" s="37" t="n">
        <x:f>MIN(F172,H172,I172)</x:f>
        <x:v>6</x:v>
      </x:c>
      <x:c r="K172" s="22" t="n">
        <x:v>0</x:v>
      </x:c>
      <x:c r="L172" s="22" t="n">
        <x:v>0</x:v>
      </x:c>
      <x:c r="M172" s="37" t="n">
        <x:f>K172*L172</x:f>
        <x:v>0</x:v>
      </x:c>
      <x:c r="N172" s="22" t="n">
        <x:v>0</x:v>
      </x:c>
      <x:c r="O172" s="37" t="n">
        <x:f>'Family Register'!H20*0.94</x:f>
        <x:v>315.84</x:v>
      </x:c>
      <x:c r="P172" s="37" t="n">
        <x:f>IF(AND(N172&gt;0,N172&lt;=O172),1,0)</x:f>
        <x:v>0</x:v>
      </x:c>
      <x:c r="Q172" s="22" t="n">
        <x:v>0</x:v>
      </x:c>
      <x:c r="R172" s="37" t="n">
        <x:f>IF(AND(P172=1,Q172=1),MIN(F172,M172,R171),0)</x:f>
        <x:v>0</x:v>
      </x:c>
      <x:c r="S172" s="23" t="str">
        <x:f>IF(R172&gt;=F172,"ADMITTED","NOT ADMITTED")</x:f>
        <x:v>NOT ADMITTED</x:v>
      </x:c>
    </x:row>
    <x:row r="173">
      <x:c r="B173" s="21" t="str">
        <x:v>SL-0167</x:v>
      </x:c>
      <x:c r="C173" s="21" t="str">
        <x:v>F14</x:v>
      </x:c>
      <x:c r="D173" s="21" t="n">
        <x:v>11</x:v>
      </x:c>
      <x:c r="E173" s="21" t="str">
        <x:v>Commissioned public service</x:v>
      </x:c>
      <x:c r="F173" s="37" t="n">
        <x:f>'Family Register'!L20</x:f>
        <x:v>6</x:v>
      </x:c>
      <x:c r="G173" s="37" t="n">
        <x:f>MIN(INDEX(Scenarios!$G$7:$G$12,Assumptions!C7),INDEX(Scenarios!$I$7:$I$12,Assumptions!C7))</x:f>
        <x:v>0.7</x:v>
      </x:c>
      <x:c r="H173" s="37" t="n">
        <x:f>'Family Register'!G20*'Family Register'!I20*G173</x:f>
        <x:v>6.720000000000001</x:v>
      </x:c>
      <x:c r="I173" s="37" t="n">
        <x:f>J172</x:f>
        <x:v>6</x:v>
      </x:c>
      <x:c r="J173" s="37" t="n">
        <x:f>MIN(F173,H173,I173)</x:f>
        <x:v>6</x:v>
      </x:c>
      <x:c r="K173" s="22" t="n">
        <x:v>0</x:v>
      </x:c>
      <x:c r="L173" s="22" t="n">
        <x:v>0</x:v>
      </x:c>
      <x:c r="M173" s="37" t="n">
        <x:f>K173*L173</x:f>
        <x:v>0</x:v>
      </x:c>
      <x:c r="N173" s="22" t="n">
        <x:v>0</x:v>
      </x:c>
      <x:c r="O173" s="37" t="n">
        <x:f>'Family Register'!H20*1</x:f>
        <x:v>336</x:v>
      </x:c>
      <x:c r="P173" s="37" t="n">
        <x:f>IF(AND(N173&gt;0,N173&lt;=O173),1,0)</x:f>
        <x:v>0</x:v>
      </x:c>
      <x:c r="Q173" s="22" t="n">
        <x:v>0</x:v>
      </x:c>
      <x:c r="R173" s="37" t="n">
        <x:f>IF(AND(P173=1,Q173=1),MIN(F173,M173,R172),0)</x:f>
        <x:v>0</x:v>
      </x:c>
      <x:c r="S173" s="23" t="str">
        <x:f>IF(R173&gt;=F173,"ADMITTED","NOT ADMITTED")</x:f>
        <x:v>NOT ADMITTED</x:v>
      </x:c>
    </x:row>
    <x:row r="174">
      <x:c r="B174" s="21" t="str">
        <x:v>SL-0168</x:v>
      </x:c>
      <x:c r="C174" s="21" t="str">
        <x:v>F14</x:v>
      </x:c>
      <x:c r="D174" s="21" t="n">
        <x:v>12</x:v>
      </x:c>
      <x:c r="E174" s="21" t="str">
        <x:v>Regeneration and replacement</x:v>
      </x:c>
      <x:c r="F174" s="37" t="n">
        <x:f>'Family Register'!L20</x:f>
        <x:v>6</x:v>
      </x:c>
      <x:c r="G174" s="37" t="n">
        <x:f>MIN(INDEX(Scenarios!$E$7:$E$12,Assumptions!C7),INDEX(Scenarios!$F$7:$F$12,Assumptions!C7))</x:f>
        <x:v>0.7</x:v>
      </x:c>
      <x:c r="H174" s="37" t="n">
        <x:f>'Family Register'!G20*'Family Register'!I20*G174</x:f>
        <x:v>6.720000000000001</x:v>
      </x:c>
      <x:c r="I174" s="37" t="n">
        <x:f>J173</x:f>
        <x:v>6</x:v>
      </x:c>
      <x:c r="J174" s="37" t="n">
        <x:f>MIN(F174,H174,I174)</x:f>
        <x:v>6</x:v>
      </x:c>
      <x:c r="K174" s="22" t="n">
        <x:v>0</x:v>
      </x:c>
      <x:c r="L174" s="22" t="n">
        <x:v>0</x:v>
      </x:c>
      <x:c r="M174" s="37" t="n">
        <x:f>K174*L174</x:f>
        <x:v>0</x:v>
      </x:c>
      <x:c r="N174" s="22" t="n">
        <x:v>0</x:v>
      </x:c>
      <x:c r="O174" s="37" t="n">
        <x:f>'Family Register'!H20+168</x:f>
        <x:v>504</x:v>
      </x:c>
      <x:c r="P174" s="37" t="n">
        <x:f>IF(AND(N174&gt;0,N174&lt;=O174),1,0)</x:f>
        <x:v>0</x:v>
      </x:c>
      <x:c r="Q174" s="22" t="n">
        <x:v>0</x:v>
      </x:c>
      <x:c r="R174" s="37" t="n">
        <x:f>IF(AND(P174=1,Q174=1),MIN(F174,M174,R173),0)</x:f>
        <x:v>0</x:v>
      </x:c>
      <x:c r="S174" s="23" t="str">
        <x:f>IF(R174&gt;=F174,"ADMITTED","NOT ADMITTED")</x:f>
        <x:v>NOT ADMITTED</x:v>
      </x:c>
    </x:row>
    <x:row r="175">
      <x:c r="B175" s="21" t="str">
        <x:v>SL-0169</x:v>
      </x:c>
      <x:c r="C175" s="21" t="str">
        <x:v>F15</x:v>
      </x:c>
      <x:c r="D175" s="21" t="n">
        <x:v>1</x:v>
      </x:c>
      <x:c r="E175" s="21" t="str">
        <x:v>Alert authentication</x:v>
      </x:c>
      <x:c r="F175" s="37" t="n">
        <x:f>'Family Register'!L21</x:f>
        <x:v>6</x:v>
      </x:c>
      <x:c r="G175" s="37" t="n">
        <x:f>INDEX(Scenarios!$K$7:$K$12,Assumptions!C7)</x:f>
        <x:v>0.75</x:v>
      </x:c>
      <x:c r="H175" s="37" t="n">
        <x:f>'Family Register'!G21*'Family Register'!I21*G175</x:f>
        <x:v>7.200000000000001</x:v>
      </x:c>
      <x:c r="I175" s="37" t="n">
        <x:f>F175</x:f>
        <x:v>6</x:v>
      </x:c>
      <x:c r="J175" s="37" t="n">
        <x:f>MIN(F175,H175,I175)</x:f>
        <x:v>6</x:v>
      </x:c>
      <x:c r="K175" s="22" t="n">
        <x:v>0</x:v>
      </x:c>
      <x:c r="L175" s="22" t="n">
        <x:v>0</x:v>
      </x:c>
      <x:c r="M175" s="37" t="n">
        <x:f>K175*L175</x:f>
        <x:v>0</x:v>
      </x:c>
      <x:c r="N175" s="22" t="n">
        <x:v>0</x:v>
      </x:c>
      <x:c r="O175" s="37" t="n">
        <x:f>2</x:f>
        <x:v>2</x:v>
      </x:c>
      <x:c r="P175" s="37" t="n">
        <x:f>IF(AND(N175&gt;0,N175&lt;=O175),1,0)</x:f>
        <x:v>0</x:v>
      </x:c>
      <x:c r="Q175" s="22" t="n">
        <x:v>0</x:v>
      </x:c>
      <x:c r="R175" s="37" t="n">
        <x:f>IF(AND(P175=1,Q175=1),MIN(F175,M175),0)</x:f>
        <x:v>0</x:v>
      </x:c>
      <x:c r="S175" s="23" t="str">
        <x:f>IF(R175&gt;=F175,"ADMITTED","NOT ADMITTED")</x:f>
        <x:v>NOT ADMITTED</x:v>
      </x:c>
    </x:row>
    <x:row r="176">
      <x:c r="B176" s="21" t="str">
        <x:v>SL-0170</x:v>
      </x:c>
      <x:c r="C176" s="21" t="str">
        <x:v>F15</x:v>
      </x:c>
      <x:c r="D176" s="21" t="n">
        <x:v>2</x:v>
      </x:c>
      <x:c r="E176" s="21" t="str">
        <x:v>Workforce muster</x:v>
      </x:c>
      <x:c r="F176" s="37" t="n">
        <x:f>'Family Register'!L21</x:f>
        <x:v>6</x:v>
      </x:c>
      <x:c r="G176" s="37" t="n">
        <x:f>INDEX(Scenarios!$J$7:$J$12,Assumptions!C7)</x:f>
        <x:v>0.8</x:v>
      </x:c>
      <x:c r="H176" s="37" t="n">
        <x:f>'Family Register'!G21*'Family Register'!I21*G176</x:f>
        <x:v>7.6800000000000015</x:v>
      </x:c>
      <x:c r="I176" s="37" t="n">
        <x:f>J175</x:f>
        <x:v>6</x:v>
      </x:c>
      <x:c r="J176" s="37" t="n">
        <x:f>MIN(F176,H176,I176)</x:f>
        <x:v>6</x:v>
      </x:c>
      <x:c r="K176" s="22" t="n">
        <x:v>0</x:v>
      </x:c>
      <x:c r="L176" s="22" t="n">
        <x:v>0</x:v>
      </x:c>
      <x:c r="M176" s="37" t="n">
        <x:f>K176*L176</x:f>
        <x:v>0</x:v>
      </x:c>
      <x:c r="N176" s="22" t="n">
        <x:v>0</x:v>
      </x:c>
      <x:c r="O176" s="37" t="n">
        <x:f>12</x:f>
        <x:v>12</x:v>
      </x:c>
      <x:c r="P176" s="37" t="n">
        <x:f>IF(AND(N176&gt;0,N176&lt;=O176),1,0)</x:f>
        <x:v>0</x:v>
      </x:c>
      <x:c r="Q176" s="22" t="n">
        <x:v>0</x:v>
      </x:c>
      <x:c r="R176" s="37" t="n">
        <x:f>IF(AND(P176=1,Q176=1),MIN(F176,M176,R175),0)</x:f>
        <x:v>0</x:v>
      </x:c>
      <x:c r="S176" s="23" t="str">
        <x:f>IF(R176&gt;=F176,"ADMITTED","NOT ADMITTED")</x:f>
        <x:v>NOT ADMITTED</x:v>
      </x:c>
    </x:row>
    <x:row r="177">
      <x:c r="B177" s="21" t="str">
        <x:v>SL-0171</x:v>
      </x:c>
      <x:c r="C177" s="21" t="str">
        <x:v>F15</x:v>
      </x:c>
      <x:c r="D177" s="21" t="n">
        <x:v>3</x:v>
      </x:c>
      <x:c r="E177" s="21" t="str">
        <x:v>Facility utility and safe start</x:v>
      </x:c>
      <x:c r="F177" s="37" t="n">
        <x:f>'Family Register'!L21</x:f>
        <x:v>6</x:v>
      </x:c>
      <x:c r="G177" s="37" t="n">
        <x:f>INDEX(Scenarios!$G$7:$G$12,Assumptions!C7)</x:f>
        <x:v>0.7</x:v>
      </x:c>
      <x:c r="H177" s="37" t="n">
        <x:f>'Family Register'!G21*'Family Register'!I21*G177</x:f>
        <x:v>6.720000000000001</x:v>
      </x:c>
      <x:c r="I177" s="37" t="n">
        <x:f>J176</x:f>
        <x:v>6</x:v>
      </x:c>
      <x:c r="J177" s="37" t="n">
        <x:f>MIN(F177,H177,I177)</x:f>
        <x:v>6</x:v>
      </x:c>
      <x:c r="K177" s="22" t="n">
        <x:v>0</x:v>
      </x:c>
      <x:c r="L177" s="22" t="n">
        <x:v>0</x:v>
      </x:c>
      <x:c r="M177" s="37" t="n">
        <x:f>K177*L177</x:f>
        <x:v>0</x:v>
      </x:c>
      <x:c r="N177" s="22" t="n">
        <x:v>0</x:v>
      </x:c>
      <x:c r="O177" s="37" t="n">
        <x:f>24</x:f>
        <x:v>24</x:v>
      </x:c>
      <x:c r="P177" s="37" t="n">
        <x:f>IF(AND(N177&gt;0,N177&lt;=O177),1,0)</x:f>
        <x:v>0</x:v>
      </x:c>
      <x:c r="Q177" s="22" t="n">
        <x:v>0</x:v>
      </x:c>
      <x:c r="R177" s="37" t="n">
        <x:f>IF(AND(P177=1,Q177=1),MIN(F177,M177,R176),0)</x:f>
        <x:v>0</x:v>
      </x:c>
      <x:c r="S177" s="23" t="str">
        <x:f>IF(R177&gt;=F177,"ADMITTED","NOT ADMITTED")</x:f>
        <x:v>NOT ADMITTED</x:v>
      </x:c>
    </x:row>
    <x:row r="178">
      <x:c r="B178" s="21" t="str">
        <x:v>SL-0172</x:v>
      </x:c>
      <x:c r="C178" s="21" t="str">
        <x:v>F15</x:v>
      </x:c>
      <x:c r="D178" s="21" t="n">
        <x:v>4</x:v>
      </x:c>
      <x:c r="E178" s="21" t="str">
        <x:v>Material tooling and instrument release</x:v>
      </x:c>
      <x:c r="F178" s="37" t="n">
        <x:f>'Family Register'!L21</x:f>
        <x:v>6</x:v>
      </x:c>
      <x:c r="G178" s="37" t="n">
        <x:f>INDEX(Scenarios!$E$7:$E$12,Assumptions!C7)</x:f>
        <x:v>0.75</x:v>
      </x:c>
      <x:c r="H178" s="37" t="n">
        <x:f>'Family Register'!G21*'Family Register'!I21*G178</x:f>
        <x:v>7.200000000000001</x:v>
      </x:c>
      <x:c r="I178" s="37" t="n">
        <x:f>J177</x:f>
        <x:v>6</x:v>
      </x:c>
      <x:c r="J178" s="37" t="n">
        <x:f>MIN(F178,H178,I178)</x:f>
        <x:v>6</x:v>
      </x:c>
      <x:c r="K178" s="22" t="n">
        <x:v>0</x:v>
      </x:c>
      <x:c r="L178" s="22" t="n">
        <x:v>0</x:v>
      </x:c>
      <x:c r="M178" s="37" t="n">
        <x:f>K178*L178</x:f>
        <x:v>0</x:v>
      </x:c>
      <x:c r="N178" s="22" t="n">
        <x:v>0</x:v>
      </x:c>
      <x:c r="O178" s="37" t="n">
        <x:f>36</x:f>
        <x:v>36</x:v>
      </x:c>
      <x:c r="P178" s="37" t="n">
        <x:f>IF(AND(N178&gt;0,N178&lt;=O178),1,0)</x:f>
        <x:v>0</x:v>
      </x:c>
      <x:c r="Q178" s="22" t="n">
        <x:v>0</x:v>
      </x:c>
      <x:c r="R178" s="37" t="n">
        <x:f>IF(AND(P178=1,Q178=1),MIN(F178,M178,R177),0)</x:f>
        <x:v>0</x:v>
      </x:c>
      <x:c r="S178" s="23" t="str">
        <x:f>IF(R178&gt;=F178,"ADMITTED","NOT ADMITTED")</x:f>
        <x:v>NOT ADMITTED</x:v>
      </x:c>
    </x:row>
    <x:row r="179">
      <x:c r="B179" s="21" t="str">
        <x:v>SL-0173</x:v>
      </x:c>
      <x:c r="C179" s="21" t="str">
        <x:v>F15</x:v>
      </x:c>
      <x:c r="D179" s="21" t="n">
        <x:v>5</x:v>
      </x:c>
      <x:c r="E179" s="21" t="str">
        <x:v>Supplier and process activation</x:v>
      </x:c>
      <x:c r="F179" s="37" t="n">
        <x:f>'Family Register'!L21</x:f>
        <x:v>6</x:v>
      </x:c>
      <x:c r="G179" s="37" t="n">
        <x:f>MIN(INDEX(Scenarios!$E$7:$E$12,Assumptions!C7),INDEX(Scenarios!$F$7:$F$12,Assumptions!C7))</x:f>
        <x:v>0.7</x:v>
      </x:c>
      <x:c r="H179" s="37" t="n">
        <x:f>'Family Register'!G21*'Family Register'!I21*G179</x:f>
        <x:v>6.720000000000001</x:v>
      </x:c>
      <x:c r="I179" s="37" t="n">
        <x:f>J178</x:f>
        <x:v>6</x:v>
      </x:c>
      <x:c r="J179" s="37" t="n">
        <x:f>MIN(F179,H179,I179)</x:f>
        <x:v>6</x:v>
      </x:c>
      <x:c r="K179" s="22" t="n">
        <x:v>0</x:v>
      </x:c>
      <x:c r="L179" s="22" t="n">
        <x:v>0</x:v>
      </x:c>
      <x:c r="M179" s="37" t="n">
        <x:f>K179*L179</x:f>
        <x:v>0</x:v>
      </x:c>
      <x:c r="N179" s="22" t="n">
        <x:v>0</x:v>
      </x:c>
      <x:c r="O179" s="37" t="n">
        <x:f>48</x:f>
        <x:v>48</x:v>
      </x:c>
      <x:c r="P179" s="37" t="n">
        <x:f>IF(AND(N179&gt;0,N179&lt;=O179),1,0)</x:f>
        <x:v>0</x:v>
      </x:c>
      <x:c r="Q179" s="22" t="n">
        <x:v>0</x:v>
      </x:c>
      <x:c r="R179" s="37" t="n">
        <x:f>IF(AND(P179=1,Q179=1),MIN(F179,M179,R178),0)</x:f>
        <x:v>0</x:v>
      </x:c>
      <x:c r="S179" s="23" t="str">
        <x:f>IF(R179&gt;=F179,"ADMITTED","NOT ADMITTED")</x:f>
        <x:v>NOT ADMITTED</x:v>
      </x:c>
    </x:row>
    <x:row r="180">
      <x:c r="B180" s="21" t="str">
        <x:v>SL-0174</x:v>
      </x:c>
      <x:c r="C180" s="21" t="str">
        <x:v>F15</x:v>
      </x:c>
      <x:c r="D180" s="21" t="n">
        <x:v>6</x:v>
      </x:c>
      <x:c r="E180" s="21" t="str">
        <x:v>Conforming production</x:v>
      </x:c>
      <x:c r="F180" s="37" t="n">
        <x:f>'Family Register'!L21</x:f>
        <x:v>6</x:v>
      </x:c>
      <x:c r="G180" s="37" t="n">
        <x:f>INDEX(Scenarios!$F$7:$F$12,Assumptions!C7)</x:f>
        <x:v>0.7</x:v>
      </x:c>
      <x:c r="H180" s="37" t="n">
        <x:f>'Family Register'!G21*'Family Register'!I21*G180</x:f>
        <x:v>6.720000000000001</x:v>
      </x:c>
      <x:c r="I180" s="37" t="n">
        <x:f>J179</x:f>
        <x:v>6</x:v>
      </x:c>
      <x:c r="J180" s="37" t="n">
        <x:f>MIN(F180,H180,I180)</x:f>
        <x:v>6</x:v>
      </x:c>
      <x:c r="K180" s="22" t="n">
        <x:v>0</x:v>
      </x:c>
      <x:c r="L180" s="22" t="n">
        <x:v>0</x:v>
      </x:c>
      <x:c r="M180" s="37" t="n">
        <x:f>K180*L180</x:f>
        <x:v>0</x:v>
      </x:c>
      <x:c r="N180" s="22" t="n">
        <x:v>0</x:v>
      </x:c>
      <x:c r="O180" s="37" t="n">
        <x:f>'Family Register'!H21*0.55</x:f>
        <x:v>184.8</x:v>
      </x:c>
      <x:c r="P180" s="37" t="n">
        <x:f>IF(AND(N180&gt;0,N180&lt;=O180),1,0)</x:f>
        <x:v>0</x:v>
      </x:c>
      <x:c r="Q180" s="22" t="n">
        <x:v>0</x:v>
      </x:c>
      <x:c r="R180" s="37" t="n">
        <x:f>IF(AND(P180=1,Q180=1),MIN(F180,M180,R179),0)</x:f>
        <x:v>0</x:v>
      </x:c>
      <x:c r="S180" s="23" t="str">
        <x:f>IF(R180&gt;=F180,"ADMITTED","NOT ADMITTED")</x:f>
        <x:v>NOT ADMITTED</x:v>
      </x:c>
    </x:row>
    <x:row r="181">
      <x:c r="B181" s="21" t="str">
        <x:v>SL-0175</x:v>
      </x:c>
      <x:c r="C181" s="21" t="str">
        <x:v>F15</x:v>
      </x:c>
      <x:c r="D181" s="21" t="n">
        <x:v>7</x:v>
      </x:c>
      <x:c r="E181" s="21" t="str">
        <x:v>Independent acceptance</x:v>
      </x:c>
      <x:c r="F181" s="37" t="n">
        <x:f>'Family Register'!L21</x:f>
        <x:v>6</x:v>
      </x:c>
      <x:c r="G181" s="37" t="n">
        <x:f>INDEX(Scenarios!$L$7:$L$12,Assumptions!C7)</x:f>
        <x:v>0.8</x:v>
      </x:c>
      <x:c r="H181" s="37" t="n">
        <x:f>'Family Register'!G21*'Family Register'!I21*G181</x:f>
        <x:v>7.6800000000000015</x:v>
      </x:c>
      <x:c r="I181" s="37" t="n">
        <x:f>J180</x:f>
        <x:v>6</x:v>
      </x:c>
      <x:c r="J181" s="37" t="n">
        <x:f>MIN(F181,H181,I181)</x:f>
        <x:v>6</x:v>
      </x:c>
      <x:c r="K181" s="22" t="n">
        <x:v>0</x:v>
      </x:c>
      <x:c r="L181" s="22" t="n">
        <x:v>0</x:v>
      </x:c>
      <x:c r="M181" s="37" t="n">
        <x:f>K181*L181</x:f>
        <x:v>0</x:v>
      </x:c>
      <x:c r="N181" s="22" t="n">
        <x:v>0</x:v>
      </x:c>
      <x:c r="O181" s="37" t="n">
        <x:f>'Family Register'!H21*0.65</x:f>
        <x:v>218.4</x:v>
      </x:c>
      <x:c r="P181" s="37" t="n">
        <x:f>IF(AND(N181&gt;0,N181&lt;=O181),1,0)</x:f>
        <x:v>0</x:v>
      </x:c>
      <x:c r="Q181" s="22" t="n">
        <x:v>0</x:v>
      </x:c>
      <x:c r="R181" s="37" t="n">
        <x:f>IF(AND(P181=1,Q181=1),MIN(F181,M181,R180),0)</x:f>
        <x:v>0</x:v>
      </x:c>
      <x:c r="S181" s="23" t="str">
        <x:f>IF(R181&gt;=F181,"ADMITTED","NOT ADMITTED")</x:f>
        <x:v>NOT ADMITTED</x:v>
      </x:c>
    </x:row>
    <x:row r="182">
      <x:c r="B182" s="21" t="str">
        <x:v>SL-0176</x:v>
      </x:c>
      <x:c r="C182" s="21" t="str">
        <x:v>F15</x:v>
      </x:c>
      <x:c r="D182" s="21" t="n">
        <x:v>8</x:v>
      </x:c>
      <x:c r="E182" s="21" t="str">
        <x:v>Loadout and custody transfer</x:v>
      </x:c>
      <x:c r="F182" s="37" t="n">
        <x:f>'Family Register'!L21</x:f>
        <x:v>6</x:v>
      </x:c>
      <x:c r="G182" s="37" t="n">
        <x:f>INDEX(Scenarios!$H$7:$H$12,Assumptions!C7)</x:f>
        <x:v>0.65</x:v>
      </x:c>
      <x:c r="H182" s="37" t="n">
        <x:f>'Family Register'!G21*'Family Register'!I21*G182</x:f>
        <x:v>6.240000000000001</x:v>
      </x:c>
      <x:c r="I182" s="37" t="n">
        <x:f>J181</x:f>
        <x:v>6</x:v>
      </x:c>
      <x:c r="J182" s="37" t="n">
        <x:f>MIN(F182,H182,I182)</x:f>
        <x:v>6</x:v>
      </x:c>
      <x:c r="K182" s="22" t="n">
        <x:v>0</x:v>
      </x:c>
      <x:c r="L182" s="22" t="n">
        <x:v>0</x:v>
      </x:c>
      <x:c r="M182" s="37" t="n">
        <x:f>K182*L182</x:f>
        <x:v>0</x:v>
      </x:c>
      <x:c r="N182" s="22" t="n">
        <x:v>0</x:v>
      </x:c>
      <x:c r="O182" s="37" t="n">
        <x:f>'Family Register'!H21*0.7</x:f>
        <x:v>235.2</x:v>
      </x:c>
      <x:c r="P182" s="37" t="n">
        <x:f>IF(AND(N182&gt;0,N182&lt;=O182),1,0)</x:f>
        <x:v>0</x:v>
      </x:c>
      <x:c r="Q182" s="22" t="n">
        <x:v>0</x:v>
      </x:c>
      <x:c r="R182" s="37" t="n">
        <x:f>IF(AND(P182=1,Q182=1),MIN(F182,M182,R181),0)</x:f>
        <x:v>0</x:v>
      </x:c>
      <x:c r="S182" s="23" t="str">
        <x:f>IF(R182&gt;=F182,"ADMITTED","NOT ADMITTED")</x:f>
        <x:v>NOT ADMITTED</x:v>
      </x:c>
    </x:row>
    <x:row r="183">
      <x:c r="B183" s="21" t="str">
        <x:v>SL-0177</x:v>
      </x:c>
      <x:c r="C183" s="21" t="str">
        <x:v>F15</x:v>
      </x:c>
      <x:c r="D183" s="21" t="n">
        <x:v>9</x:v>
      </x:c>
      <x:c r="E183" s="21" t="str">
        <x:v>Strategic transport</x:v>
      </x:c>
      <x:c r="F183" s="37" t="n">
        <x:f>'Family Register'!L21</x:f>
        <x:v>6</x:v>
      </x:c>
      <x:c r="G183" s="37" t="n">
        <x:f>INDEX(Scenarios!$H$7:$H$12,Assumptions!C7)</x:f>
        <x:v>0.65</x:v>
      </x:c>
      <x:c r="H183" s="37" t="n">
        <x:f>'Family Register'!G21*'Family Register'!I21*G183</x:f>
        <x:v>6.240000000000001</x:v>
      </x:c>
      <x:c r="I183" s="37" t="n">
        <x:f>J182</x:f>
        <x:v>6</x:v>
      </x:c>
      <x:c r="J183" s="37" t="n">
        <x:f>MIN(F183,H183,I183)</x:f>
        <x:v>6</x:v>
      </x:c>
      <x:c r="K183" s="22" t="n">
        <x:v>0</x:v>
      </x:c>
      <x:c r="L183" s="22" t="n">
        <x:v>0</x:v>
      </x:c>
      <x:c r="M183" s="37" t="n">
        <x:f>K183*L183</x:f>
        <x:v>0</x:v>
      </x:c>
      <x:c r="N183" s="22" t="n">
        <x:v>0</x:v>
      </x:c>
      <x:c r="O183" s="37" t="n">
        <x:f>'Family Register'!H21*0.9</x:f>
        <x:v>302.40000000000003</x:v>
      </x:c>
      <x:c r="P183" s="37" t="n">
        <x:f>IF(AND(N183&gt;0,N183&lt;=O183),1,0)</x:f>
        <x:v>0</x:v>
      </x:c>
      <x:c r="Q183" s="22" t="n">
        <x:v>0</x:v>
      </x:c>
      <x:c r="R183" s="37" t="n">
        <x:f>IF(AND(P183=1,Q183=1),MIN(F183,M183,R182),0)</x:f>
        <x:v>0</x:v>
      </x:c>
      <x:c r="S183" s="23" t="str">
        <x:f>IF(R183&gt;=F183,"ADMITTED","NOT ADMITTED")</x:f>
        <x:v>NOT ADMITTED</x:v>
      </x:c>
    </x:row>
    <x:row r="184">
      <x:c r="B184" s="21" t="str">
        <x:v>SL-0178</x:v>
      </x:c>
      <x:c r="C184" s="21" t="str">
        <x:v>F15</x:v>
      </x:c>
      <x:c r="D184" s="21" t="n">
        <x:v>10</x:v>
      </x:c>
      <x:c r="E184" s="21" t="str">
        <x:v>Receiving-node admission</x:v>
      </x:c>
      <x:c r="F184" s="37" t="n">
        <x:f>'Family Register'!L21</x:f>
        <x:v>6</x:v>
      </x:c>
      <x:c r="G184" s="37" t="n">
        <x:f>INDEX(Scenarios!$I$7:$I$12,Assumptions!C7)</x:f>
        <x:v>0.75</x:v>
      </x:c>
      <x:c r="H184" s="37" t="n">
        <x:f>'Family Register'!G21*'Family Register'!I21*G184</x:f>
        <x:v>7.200000000000001</x:v>
      </x:c>
      <x:c r="I184" s="37" t="n">
        <x:f>J183</x:f>
        <x:v>6</x:v>
      </x:c>
      <x:c r="J184" s="37" t="n">
        <x:f>MIN(F184,H184,I184)</x:f>
        <x:v>6</x:v>
      </x:c>
      <x:c r="K184" s="22" t="n">
        <x:v>0</x:v>
      </x:c>
      <x:c r="L184" s="22" t="n">
        <x:v>0</x:v>
      </x:c>
      <x:c r="M184" s="37" t="n">
        <x:f>K184*L184</x:f>
        <x:v>0</x:v>
      </x:c>
      <x:c r="N184" s="22" t="n">
        <x:v>0</x:v>
      </x:c>
      <x:c r="O184" s="37" t="n">
        <x:f>'Family Register'!H21*0.94</x:f>
        <x:v>315.84</x:v>
      </x:c>
      <x:c r="P184" s="37" t="n">
        <x:f>IF(AND(N184&gt;0,N184&lt;=O184),1,0)</x:f>
        <x:v>0</x:v>
      </x:c>
      <x:c r="Q184" s="22" t="n">
        <x:v>0</x:v>
      </x:c>
      <x:c r="R184" s="37" t="n">
        <x:f>IF(AND(P184=1,Q184=1),MIN(F184,M184,R183),0)</x:f>
        <x:v>0</x:v>
      </x:c>
      <x:c r="S184" s="23" t="str">
        <x:f>IF(R184&gt;=F184,"ADMITTED","NOT ADMITTED")</x:f>
        <x:v>NOT ADMITTED</x:v>
      </x:c>
    </x:row>
    <x:row r="185">
      <x:c r="B185" s="21" t="str">
        <x:v>SL-0179</x:v>
      </x:c>
      <x:c r="C185" s="21" t="str">
        <x:v>F15</x:v>
      </x:c>
      <x:c r="D185" s="21" t="n">
        <x:v>11</x:v>
      </x:c>
      <x:c r="E185" s="21" t="str">
        <x:v>Commissioned public service</x:v>
      </x:c>
      <x:c r="F185" s="37" t="n">
        <x:f>'Family Register'!L21</x:f>
        <x:v>6</x:v>
      </x:c>
      <x:c r="G185" s="37" t="n">
        <x:f>MIN(INDEX(Scenarios!$G$7:$G$12,Assumptions!C7),INDEX(Scenarios!$I$7:$I$12,Assumptions!C7))</x:f>
        <x:v>0.7</x:v>
      </x:c>
      <x:c r="H185" s="37" t="n">
        <x:f>'Family Register'!G21*'Family Register'!I21*G185</x:f>
        <x:v>6.720000000000001</x:v>
      </x:c>
      <x:c r="I185" s="37" t="n">
        <x:f>J184</x:f>
        <x:v>6</x:v>
      </x:c>
      <x:c r="J185" s="37" t="n">
        <x:f>MIN(F185,H185,I185)</x:f>
        <x:v>6</x:v>
      </x:c>
      <x:c r="K185" s="22" t="n">
        <x:v>0</x:v>
      </x:c>
      <x:c r="L185" s="22" t="n">
        <x:v>0</x:v>
      </x:c>
      <x:c r="M185" s="37" t="n">
        <x:f>K185*L185</x:f>
        <x:v>0</x:v>
      </x:c>
      <x:c r="N185" s="22" t="n">
        <x:v>0</x:v>
      </x:c>
      <x:c r="O185" s="37" t="n">
        <x:f>'Family Register'!H21*1</x:f>
        <x:v>336</x:v>
      </x:c>
      <x:c r="P185" s="37" t="n">
        <x:f>IF(AND(N185&gt;0,N185&lt;=O185),1,0)</x:f>
        <x:v>0</x:v>
      </x:c>
      <x:c r="Q185" s="22" t="n">
        <x:v>0</x:v>
      </x:c>
      <x:c r="R185" s="37" t="n">
        <x:f>IF(AND(P185=1,Q185=1),MIN(F185,M185,R184),0)</x:f>
        <x:v>0</x:v>
      </x:c>
      <x:c r="S185" s="23" t="str">
        <x:f>IF(R185&gt;=F185,"ADMITTED","NOT ADMITTED")</x:f>
        <x:v>NOT ADMITTED</x:v>
      </x:c>
    </x:row>
    <x:row r="186">
      <x:c r="B186" s="21" t="str">
        <x:v>SL-0180</x:v>
      </x:c>
      <x:c r="C186" s="21" t="str">
        <x:v>F15</x:v>
      </x:c>
      <x:c r="D186" s="21" t="n">
        <x:v>12</x:v>
      </x:c>
      <x:c r="E186" s="21" t="str">
        <x:v>Regeneration and replacement</x:v>
      </x:c>
      <x:c r="F186" s="37" t="n">
        <x:f>'Family Register'!L21</x:f>
        <x:v>6</x:v>
      </x:c>
      <x:c r="G186" s="37" t="n">
        <x:f>MIN(INDEX(Scenarios!$E$7:$E$12,Assumptions!C7),INDEX(Scenarios!$F$7:$F$12,Assumptions!C7))</x:f>
        <x:v>0.7</x:v>
      </x:c>
      <x:c r="H186" s="37" t="n">
        <x:f>'Family Register'!G21*'Family Register'!I21*G186</x:f>
        <x:v>6.720000000000001</x:v>
      </x:c>
      <x:c r="I186" s="37" t="n">
        <x:f>J185</x:f>
        <x:v>6</x:v>
      </x:c>
      <x:c r="J186" s="37" t="n">
        <x:f>MIN(F186,H186,I186)</x:f>
        <x:v>6</x:v>
      </x:c>
      <x:c r="K186" s="22" t="n">
        <x:v>0</x:v>
      </x:c>
      <x:c r="L186" s="22" t="n">
        <x:v>0</x:v>
      </x:c>
      <x:c r="M186" s="37" t="n">
        <x:f>K186*L186</x:f>
        <x:v>0</x:v>
      </x:c>
      <x:c r="N186" s="22" t="n">
        <x:v>0</x:v>
      </x:c>
      <x:c r="O186" s="37" t="n">
        <x:f>'Family Register'!H21+168</x:f>
        <x:v>504</x:v>
      </x:c>
      <x:c r="P186" s="37" t="n">
        <x:f>IF(AND(N186&gt;0,N186&lt;=O186),1,0)</x:f>
        <x:v>0</x:v>
      </x:c>
      <x:c r="Q186" s="22" t="n">
        <x:v>0</x:v>
      </x:c>
      <x:c r="R186" s="37" t="n">
        <x:f>IF(AND(P186=1,Q186=1),MIN(F186,M186,R185),0)</x:f>
        <x:v>0</x:v>
      </x:c>
      <x:c r="S186" s="23" t="str">
        <x:f>IF(R186&gt;=F186,"ADMITTED","NOT ADMITTED")</x:f>
        <x:v>NOT ADMITTED</x:v>
      </x:c>
    </x:row>
    <x:row r="187">
      <x:c r="B187" s="21" t="str">
        <x:v>SL-0181</x:v>
      </x:c>
      <x:c r="C187" s="21" t="str">
        <x:v>F16</x:v>
      </x:c>
      <x:c r="D187" s="21" t="n">
        <x:v>1</x:v>
      </x:c>
      <x:c r="E187" s="21" t="str">
        <x:v>Alert authentication</x:v>
      </x:c>
      <x:c r="F187" s="37" t="n">
        <x:f>'Family Register'!L22</x:f>
        <x:v>4</x:v>
      </x:c>
      <x:c r="G187" s="37" t="n">
        <x:f>INDEX(Scenarios!$K$7:$K$12,Assumptions!C7)</x:f>
        <x:v>0.75</x:v>
      </x:c>
      <x:c r="H187" s="37" t="n">
        <x:f>'Family Register'!G22*'Family Register'!I22*G187</x:f>
        <x:v>4.800000000000001</x:v>
      </x:c>
      <x:c r="I187" s="37" t="n">
        <x:f>F187</x:f>
        <x:v>4</x:v>
      </x:c>
      <x:c r="J187" s="37" t="n">
        <x:f>MIN(F187,H187,I187)</x:f>
        <x:v>4</x:v>
      </x:c>
      <x:c r="K187" s="22" t="n">
        <x:v>0</x:v>
      </x:c>
      <x:c r="L187" s="22" t="n">
        <x:v>0</x:v>
      </x:c>
      <x:c r="M187" s="37" t="n">
        <x:f>K187*L187</x:f>
        <x:v>0</x:v>
      </x:c>
      <x:c r="N187" s="22" t="n">
        <x:v>0</x:v>
      </x:c>
      <x:c r="O187" s="37" t="n">
        <x:f>2</x:f>
        <x:v>2</x:v>
      </x:c>
      <x:c r="P187" s="37" t="n">
        <x:f>IF(AND(N187&gt;0,N187&lt;=O187),1,0)</x:f>
        <x:v>0</x:v>
      </x:c>
      <x:c r="Q187" s="22" t="n">
        <x:v>0</x:v>
      </x:c>
      <x:c r="R187" s="37" t="n">
        <x:f>IF(AND(P187=1,Q187=1),MIN(F187,M187),0)</x:f>
        <x:v>0</x:v>
      </x:c>
      <x:c r="S187" s="23" t="str">
        <x:f>IF(R187&gt;=F187,"ADMITTED","NOT ADMITTED")</x:f>
        <x:v>NOT ADMITTED</x:v>
      </x:c>
    </x:row>
    <x:row r="188">
      <x:c r="B188" s="21" t="str">
        <x:v>SL-0182</x:v>
      </x:c>
      <x:c r="C188" s="21" t="str">
        <x:v>F16</x:v>
      </x:c>
      <x:c r="D188" s="21" t="n">
        <x:v>2</x:v>
      </x:c>
      <x:c r="E188" s="21" t="str">
        <x:v>Workforce muster</x:v>
      </x:c>
      <x:c r="F188" s="37" t="n">
        <x:f>'Family Register'!L22</x:f>
        <x:v>4</x:v>
      </x:c>
      <x:c r="G188" s="37" t="n">
        <x:f>INDEX(Scenarios!$J$7:$J$12,Assumptions!C7)</x:f>
        <x:v>0.8</x:v>
      </x:c>
      <x:c r="H188" s="37" t="n">
        <x:f>'Family Register'!G22*'Family Register'!I22*G188</x:f>
        <x:v>5.120000000000001</x:v>
      </x:c>
      <x:c r="I188" s="37" t="n">
        <x:f>J187</x:f>
        <x:v>4</x:v>
      </x:c>
      <x:c r="J188" s="37" t="n">
        <x:f>MIN(F188,H188,I188)</x:f>
        <x:v>4</x:v>
      </x:c>
      <x:c r="K188" s="22" t="n">
        <x:v>0</x:v>
      </x:c>
      <x:c r="L188" s="22" t="n">
        <x:v>0</x:v>
      </x:c>
      <x:c r="M188" s="37" t="n">
        <x:f>K188*L188</x:f>
        <x:v>0</x:v>
      </x:c>
      <x:c r="N188" s="22" t="n">
        <x:v>0</x:v>
      </x:c>
      <x:c r="O188" s="37" t="n">
        <x:f>12</x:f>
        <x:v>12</x:v>
      </x:c>
      <x:c r="P188" s="37" t="n">
        <x:f>IF(AND(N188&gt;0,N188&lt;=O188),1,0)</x:f>
        <x:v>0</x:v>
      </x:c>
      <x:c r="Q188" s="22" t="n">
        <x:v>0</x:v>
      </x:c>
      <x:c r="R188" s="37" t="n">
        <x:f>IF(AND(P188=1,Q188=1),MIN(F188,M188,R187),0)</x:f>
        <x:v>0</x:v>
      </x:c>
      <x:c r="S188" s="23" t="str">
        <x:f>IF(R188&gt;=F188,"ADMITTED","NOT ADMITTED")</x:f>
        <x:v>NOT ADMITTED</x:v>
      </x:c>
    </x:row>
    <x:row r="189">
      <x:c r="B189" s="21" t="str">
        <x:v>SL-0183</x:v>
      </x:c>
      <x:c r="C189" s="21" t="str">
        <x:v>F16</x:v>
      </x:c>
      <x:c r="D189" s="21" t="n">
        <x:v>3</x:v>
      </x:c>
      <x:c r="E189" s="21" t="str">
        <x:v>Facility utility and safe start</x:v>
      </x:c>
      <x:c r="F189" s="37" t="n">
        <x:f>'Family Register'!L22</x:f>
        <x:v>4</x:v>
      </x:c>
      <x:c r="G189" s="37" t="n">
        <x:f>INDEX(Scenarios!$G$7:$G$12,Assumptions!C7)</x:f>
        <x:v>0.7</x:v>
      </x:c>
      <x:c r="H189" s="37" t="n">
        <x:f>'Family Register'!G22*'Family Register'!I22*G189</x:f>
        <x:v>4.4799999999999995</x:v>
      </x:c>
      <x:c r="I189" s="37" t="n">
        <x:f>J188</x:f>
        <x:v>4</x:v>
      </x:c>
      <x:c r="J189" s="37" t="n">
        <x:f>MIN(F189,H189,I189)</x:f>
        <x:v>4</x:v>
      </x:c>
      <x:c r="K189" s="22" t="n">
        <x:v>0</x:v>
      </x:c>
      <x:c r="L189" s="22" t="n">
        <x:v>0</x:v>
      </x:c>
      <x:c r="M189" s="37" t="n">
        <x:f>K189*L189</x:f>
        <x:v>0</x:v>
      </x:c>
      <x:c r="N189" s="22" t="n">
        <x:v>0</x:v>
      </x:c>
      <x:c r="O189" s="37" t="n">
        <x:f>24</x:f>
        <x:v>24</x:v>
      </x:c>
      <x:c r="P189" s="37" t="n">
        <x:f>IF(AND(N189&gt;0,N189&lt;=O189),1,0)</x:f>
        <x:v>0</x:v>
      </x:c>
      <x:c r="Q189" s="22" t="n">
        <x:v>0</x:v>
      </x:c>
      <x:c r="R189" s="37" t="n">
        <x:f>IF(AND(P189=1,Q189=1),MIN(F189,M189,R188),0)</x:f>
        <x:v>0</x:v>
      </x:c>
      <x:c r="S189" s="23" t="str">
        <x:f>IF(R189&gt;=F189,"ADMITTED","NOT ADMITTED")</x:f>
        <x:v>NOT ADMITTED</x:v>
      </x:c>
    </x:row>
    <x:row r="190">
      <x:c r="B190" s="21" t="str">
        <x:v>SL-0184</x:v>
      </x:c>
      <x:c r="C190" s="21" t="str">
        <x:v>F16</x:v>
      </x:c>
      <x:c r="D190" s="21" t="n">
        <x:v>4</x:v>
      </x:c>
      <x:c r="E190" s="21" t="str">
        <x:v>Material tooling and instrument release</x:v>
      </x:c>
      <x:c r="F190" s="37" t="n">
        <x:f>'Family Register'!L22</x:f>
        <x:v>4</x:v>
      </x:c>
      <x:c r="G190" s="37" t="n">
        <x:f>INDEX(Scenarios!$E$7:$E$12,Assumptions!C7)</x:f>
        <x:v>0.75</x:v>
      </x:c>
      <x:c r="H190" s="37" t="n">
        <x:f>'Family Register'!G22*'Family Register'!I22*G190</x:f>
        <x:v>4.800000000000001</x:v>
      </x:c>
      <x:c r="I190" s="37" t="n">
        <x:f>J189</x:f>
        <x:v>4</x:v>
      </x:c>
      <x:c r="J190" s="37" t="n">
        <x:f>MIN(F190,H190,I190)</x:f>
        <x:v>4</x:v>
      </x:c>
      <x:c r="K190" s="22" t="n">
        <x:v>0</x:v>
      </x:c>
      <x:c r="L190" s="22" t="n">
        <x:v>0</x:v>
      </x:c>
      <x:c r="M190" s="37" t="n">
        <x:f>K190*L190</x:f>
        <x:v>0</x:v>
      </x:c>
      <x:c r="N190" s="22" t="n">
        <x:v>0</x:v>
      </x:c>
      <x:c r="O190" s="37" t="n">
        <x:f>36</x:f>
        <x:v>36</x:v>
      </x:c>
      <x:c r="P190" s="37" t="n">
        <x:f>IF(AND(N190&gt;0,N190&lt;=O190),1,0)</x:f>
        <x:v>0</x:v>
      </x:c>
      <x:c r="Q190" s="22" t="n">
        <x:v>0</x:v>
      </x:c>
      <x:c r="R190" s="37" t="n">
        <x:f>IF(AND(P190=1,Q190=1),MIN(F190,M190,R189),0)</x:f>
        <x:v>0</x:v>
      </x:c>
      <x:c r="S190" s="23" t="str">
        <x:f>IF(R190&gt;=F190,"ADMITTED","NOT ADMITTED")</x:f>
        <x:v>NOT ADMITTED</x:v>
      </x:c>
    </x:row>
    <x:row r="191">
      <x:c r="B191" s="21" t="str">
        <x:v>SL-0185</x:v>
      </x:c>
      <x:c r="C191" s="21" t="str">
        <x:v>F16</x:v>
      </x:c>
      <x:c r="D191" s="21" t="n">
        <x:v>5</x:v>
      </x:c>
      <x:c r="E191" s="21" t="str">
        <x:v>Supplier and process activation</x:v>
      </x:c>
      <x:c r="F191" s="37" t="n">
        <x:f>'Family Register'!L22</x:f>
        <x:v>4</x:v>
      </x:c>
      <x:c r="G191" s="37" t="n">
        <x:f>MIN(INDEX(Scenarios!$E$7:$E$12,Assumptions!C7),INDEX(Scenarios!$F$7:$F$12,Assumptions!C7))</x:f>
        <x:v>0.7</x:v>
      </x:c>
      <x:c r="H191" s="37" t="n">
        <x:f>'Family Register'!G22*'Family Register'!I22*G191</x:f>
        <x:v>4.4799999999999995</x:v>
      </x:c>
      <x:c r="I191" s="37" t="n">
        <x:f>J190</x:f>
        <x:v>4</x:v>
      </x:c>
      <x:c r="J191" s="37" t="n">
        <x:f>MIN(F191,H191,I191)</x:f>
        <x:v>4</x:v>
      </x:c>
      <x:c r="K191" s="22" t="n">
        <x:v>0</x:v>
      </x:c>
      <x:c r="L191" s="22" t="n">
        <x:v>0</x:v>
      </x:c>
      <x:c r="M191" s="37" t="n">
        <x:f>K191*L191</x:f>
        <x:v>0</x:v>
      </x:c>
      <x:c r="N191" s="22" t="n">
        <x:v>0</x:v>
      </x:c>
      <x:c r="O191" s="37" t="n">
        <x:f>48</x:f>
        <x:v>48</x:v>
      </x:c>
      <x:c r="P191" s="37" t="n">
        <x:f>IF(AND(N191&gt;0,N191&lt;=O191),1,0)</x:f>
        <x:v>0</x:v>
      </x:c>
      <x:c r="Q191" s="22" t="n">
        <x:v>0</x:v>
      </x:c>
      <x:c r="R191" s="37" t="n">
        <x:f>IF(AND(P191=1,Q191=1),MIN(F191,M191,R190),0)</x:f>
        <x:v>0</x:v>
      </x:c>
      <x:c r="S191" s="23" t="str">
        <x:f>IF(R191&gt;=F191,"ADMITTED","NOT ADMITTED")</x:f>
        <x:v>NOT ADMITTED</x:v>
      </x:c>
    </x:row>
    <x:row r="192">
      <x:c r="B192" s="21" t="str">
        <x:v>SL-0186</x:v>
      </x:c>
      <x:c r="C192" s="21" t="str">
        <x:v>F16</x:v>
      </x:c>
      <x:c r="D192" s="21" t="n">
        <x:v>6</x:v>
      </x:c>
      <x:c r="E192" s="21" t="str">
        <x:v>Conforming production</x:v>
      </x:c>
      <x:c r="F192" s="37" t="n">
        <x:f>'Family Register'!L22</x:f>
        <x:v>4</x:v>
      </x:c>
      <x:c r="G192" s="37" t="n">
        <x:f>INDEX(Scenarios!$F$7:$F$12,Assumptions!C7)</x:f>
        <x:v>0.7</x:v>
      </x:c>
      <x:c r="H192" s="37" t="n">
        <x:f>'Family Register'!G22*'Family Register'!I22*G192</x:f>
        <x:v>4.4799999999999995</x:v>
      </x:c>
      <x:c r="I192" s="37" t="n">
        <x:f>J191</x:f>
        <x:v>4</x:v>
      </x:c>
      <x:c r="J192" s="37" t="n">
        <x:f>MIN(F192,H192,I192)</x:f>
        <x:v>4</x:v>
      </x:c>
      <x:c r="K192" s="22" t="n">
        <x:v>0</x:v>
      </x:c>
      <x:c r="L192" s="22" t="n">
        <x:v>0</x:v>
      </x:c>
      <x:c r="M192" s="37" t="n">
        <x:f>K192*L192</x:f>
        <x:v>0</x:v>
      </x:c>
      <x:c r="N192" s="22" t="n">
        <x:v>0</x:v>
      </x:c>
      <x:c r="O192" s="37" t="n">
        <x:f>'Family Register'!H22*0.55</x:f>
        <x:v>184.8</x:v>
      </x:c>
      <x:c r="P192" s="37" t="n">
        <x:f>IF(AND(N192&gt;0,N192&lt;=O192),1,0)</x:f>
        <x:v>0</x:v>
      </x:c>
      <x:c r="Q192" s="22" t="n">
        <x:v>0</x:v>
      </x:c>
      <x:c r="R192" s="37" t="n">
        <x:f>IF(AND(P192=1,Q192=1),MIN(F192,M192,R191),0)</x:f>
        <x:v>0</x:v>
      </x:c>
      <x:c r="S192" s="23" t="str">
        <x:f>IF(R192&gt;=F192,"ADMITTED","NOT ADMITTED")</x:f>
        <x:v>NOT ADMITTED</x:v>
      </x:c>
    </x:row>
    <x:row r="193">
      <x:c r="B193" s="21" t="str">
        <x:v>SL-0187</x:v>
      </x:c>
      <x:c r="C193" s="21" t="str">
        <x:v>F16</x:v>
      </x:c>
      <x:c r="D193" s="21" t="n">
        <x:v>7</x:v>
      </x:c>
      <x:c r="E193" s="21" t="str">
        <x:v>Independent acceptance</x:v>
      </x:c>
      <x:c r="F193" s="37" t="n">
        <x:f>'Family Register'!L22</x:f>
        <x:v>4</x:v>
      </x:c>
      <x:c r="G193" s="37" t="n">
        <x:f>INDEX(Scenarios!$L$7:$L$12,Assumptions!C7)</x:f>
        <x:v>0.8</x:v>
      </x:c>
      <x:c r="H193" s="37" t="n">
        <x:f>'Family Register'!G22*'Family Register'!I22*G193</x:f>
        <x:v>5.120000000000001</x:v>
      </x:c>
      <x:c r="I193" s="37" t="n">
        <x:f>J192</x:f>
        <x:v>4</x:v>
      </x:c>
      <x:c r="J193" s="37" t="n">
        <x:f>MIN(F193,H193,I193)</x:f>
        <x:v>4</x:v>
      </x:c>
      <x:c r="K193" s="22" t="n">
        <x:v>0</x:v>
      </x:c>
      <x:c r="L193" s="22" t="n">
        <x:v>0</x:v>
      </x:c>
      <x:c r="M193" s="37" t="n">
        <x:f>K193*L193</x:f>
        <x:v>0</x:v>
      </x:c>
      <x:c r="N193" s="22" t="n">
        <x:v>0</x:v>
      </x:c>
      <x:c r="O193" s="37" t="n">
        <x:f>'Family Register'!H22*0.65</x:f>
        <x:v>218.4</x:v>
      </x:c>
      <x:c r="P193" s="37" t="n">
        <x:f>IF(AND(N193&gt;0,N193&lt;=O193),1,0)</x:f>
        <x:v>0</x:v>
      </x:c>
      <x:c r="Q193" s="22" t="n">
        <x:v>0</x:v>
      </x:c>
      <x:c r="R193" s="37" t="n">
        <x:f>IF(AND(P193=1,Q193=1),MIN(F193,M193,R192),0)</x:f>
        <x:v>0</x:v>
      </x:c>
      <x:c r="S193" s="23" t="str">
        <x:f>IF(R193&gt;=F193,"ADMITTED","NOT ADMITTED")</x:f>
        <x:v>NOT ADMITTED</x:v>
      </x:c>
    </x:row>
    <x:row r="194">
      <x:c r="B194" s="21" t="str">
        <x:v>SL-0188</x:v>
      </x:c>
      <x:c r="C194" s="21" t="str">
        <x:v>F16</x:v>
      </x:c>
      <x:c r="D194" s="21" t="n">
        <x:v>8</x:v>
      </x:c>
      <x:c r="E194" s="21" t="str">
        <x:v>Loadout and custody transfer</x:v>
      </x:c>
      <x:c r="F194" s="37" t="n">
        <x:f>'Family Register'!L22</x:f>
        <x:v>4</x:v>
      </x:c>
      <x:c r="G194" s="37" t="n">
        <x:f>INDEX(Scenarios!$H$7:$H$12,Assumptions!C7)</x:f>
        <x:v>0.65</x:v>
      </x:c>
      <x:c r="H194" s="37" t="n">
        <x:f>'Family Register'!G22*'Family Register'!I22*G194</x:f>
        <x:v>4.16</x:v>
      </x:c>
      <x:c r="I194" s="37" t="n">
        <x:f>J193</x:f>
        <x:v>4</x:v>
      </x:c>
      <x:c r="J194" s="37" t="n">
        <x:f>MIN(F194,H194,I194)</x:f>
        <x:v>4</x:v>
      </x:c>
      <x:c r="K194" s="22" t="n">
        <x:v>0</x:v>
      </x:c>
      <x:c r="L194" s="22" t="n">
        <x:v>0</x:v>
      </x:c>
      <x:c r="M194" s="37" t="n">
        <x:f>K194*L194</x:f>
        <x:v>0</x:v>
      </x:c>
      <x:c r="N194" s="22" t="n">
        <x:v>0</x:v>
      </x:c>
      <x:c r="O194" s="37" t="n">
        <x:f>'Family Register'!H22*0.7</x:f>
        <x:v>235.2</x:v>
      </x:c>
      <x:c r="P194" s="37" t="n">
        <x:f>IF(AND(N194&gt;0,N194&lt;=O194),1,0)</x:f>
        <x:v>0</x:v>
      </x:c>
      <x:c r="Q194" s="22" t="n">
        <x:v>0</x:v>
      </x:c>
      <x:c r="R194" s="37" t="n">
        <x:f>IF(AND(P194=1,Q194=1),MIN(F194,M194,R193),0)</x:f>
        <x:v>0</x:v>
      </x:c>
      <x:c r="S194" s="23" t="str">
        <x:f>IF(R194&gt;=F194,"ADMITTED","NOT ADMITTED")</x:f>
        <x:v>NOT ADMITTED</x:v>
      </x:c>
    </x:row>
    <x:row r="195">
      <x:c r="B195" s="21" t="str">
        <x:v>SL-0189</x:v>
      </x:c>
      <x:c r="C195" s="21" t="str">
        <x:v>F16</x:v>
      </x:c>
      <x:c r="D195" s="21" t="n">
        <x:v>9</x:v>
      </x:c>
      <x:c r="E195" s="21" t="str">
        <x:v>Strategic transport</x:v>
      </x:c>
      <x:c r="F195" s="37" t="n">
        <x:f>'Family Register'!L22</x:f>
        <x:v>4</x:v>
      </x:c>
      <x:c r="G195" s="37" t="n">
        <x:f>INDEX(Scenarios!$H$7:$H$12,Assumptions!C7)</x:f>
        <x:v>0.65</x:v>
      </x:c>
      <x:c r="H195" s="37" t="n">
        <x:f>'Family Register'!G22*'Family Register'!I22*G195</x:f>
        <x:v>4.16</x:v>
      </x:c>
      <x:c r="I195" s="37" t="n">
        <x:f>J194</x:f>
        <x:v>4</x:v>
      </x:c>
      <x:c r="J195" s="37" t="n">
        <x:f>MIN(F195,H195,I195)</x:f>
        <x:v>4</x:v>
      </x:c>
      <x:c r="K195" s="22" t="n">
        <x:v>0</x:v>
      </x:c>
      <x:c r="L195" s="22" t="n">
        <x:v>0</x:v>
      </x:c>
      <x:c r="M195" s="37" t="n">
        <x:f>K195*L195</x:f>
        <x:v>0</x:v>
      </x:c>
      <x:c r="N195" s="22" t="n">
        <x:v>0</x:v>
      </x:c>
      <x:c r="O195" s="37" t="n">
        <x:f>'Family Register'!H22*0.9</x:f>
        <x:v>302.40000000000003</x:v>
      </x:c>
      <x:c r="P195" s="37" t="n">
        <x:f>IF(AND(N195&gt;0,N195&lt;=O195),1,0)</x:f>
        <x:v>0</x:v>
      </x:c>
      <x:c r="Q195" s="22" t="n">
        <x:v>0</x:v>
      </x:c>
      <x:c r="R195" s="37" t="n">
        <x:f>IF(AND(P195=1,Q195=1),MIN(F195,M195,R194),0)</x:f>
        <x:v>0</x:v>
      </x:c>
      <x:c r="S195" s="23" t="str">
        <x:f>IF(R195&gt;=F195,"ADMITTED","NOT ADMITTED")</x:f>
        <x:v>NOT ADMITTED</x:v>
      </x:c>
    </x:row>
    <x:row r="196">
      <x:c r="B196" s="21" t="str">
        <x:v>SL-0190</x:v>
      </x:c>
      <x:c r="C196" s="21" t="str">
        <x:v>F16</x:v>
      </x:c>
      <x:c r="D196" s="21" t="n">
        <x:v>10</x:v>
      </x:c>
      <x:c r="E196" s="21" t="str">
        <x:v>Receiving-node admission</x:v>
      </x:c>
      <x:c r="F196" s="37" t="n">
        <x:f>'Family Register'!L22</x:f>
        <x:v>4</x:v>
      </x:c>
      <x:c r="G196" s="37" t="n">
        <x:f>INDEX(Scenarios!$I$7:$I$12,Assumptions!C7)</x:f>
        <x:v>0.75</x:v>
      </x:c>
      <x:c r="H196" s="37" t="n">
        <x:f>'Family Register'!G22*'Family Register'!I22*G196</x:f>
        <x:v>4.800000000000001</x:v>
      </x:c>
      <x:c r="I196" s="37" t="n">
        <x:f>J195</x:f>
        <x:v>4</x:v>
      </x:c>
      <x:c r="J196" s="37" t="n">
        <x:f>MIN(F196,H196,I196)</x:f>
        <x:v>4</x:v>
      </x:c>
      <x:c r="K196" s="22" t="n">
        <x:v>0</x:v>
      </x:c>
      <x:c r="L196" s="22" t="n">
        <x:v>0</x:v>
      </x:c>
      <x:c r="M196" s="37" t="n">
        <x:f>K196*L196</x:f>
        <x:v>0</x:v>
      </x:c>
      <x:c r="N196" s="22" t="n">
        <x:v>0</x:v>
      </x:c>
      <x:c r="O196" s="37" t="n">
        <x:f>'Family Register'!H22*0.94</x:f>
        <x:v>315.84</x:v>
      </x:c>
      <x:c r="P196" s="37" t="n">
        <x:f>IF(AND(N196&gt;0,N196&lt;=O196),1,0)</x:f>
        <x:v>0</x:v>
      </x:c>
      <x:c r="Q196" s="22" t="n">
        <x:v>0</x:v>
      </x:c>
      <x:c r="R196" s="37" t="n">
        <x:f>IF(AND(P196=1,Q196=1),MIN(F196,M196,R195),0)</x:f>
        <x:v>0</x:v>
      </x:c>
      <x:c r="S196" s="23" t="str">
        <x:f>IF(R196&gt;=F196,"ADMITTED","NOT ADMITTED")</x:f>
        <x:v>NOT ADMITTED</x:v>
      </x:c>
    </x:row>
    <x:row r="197">
      <x:c r="B197" s="21" t="str">
        <x:v>SL-0191</x:v>
      </x:c>
      <x:c r="C197" s="21" t="str">
        <x:v>F16</x:v>
      </x:c>
      <x:c r="D197" s="21" t="n">
        <x:v>11</x:v>
      </x:c>
      <x:c r="E197" s="21" t="str">
        <x:v>Commissioned public service</x:v>
      </x:c>
      <x:c r="F197" s="37" t="n">
        <x:f>'Family Register'!L22</x:f>
        <x:v>4</x:v>
      </x:c>
      <x:c r="G197" s="37" t="n">
        <x:f>MIN(INDEX(Scenarios!$G$7:$G$12,Assumptions!C7),INDEX(Scenarios!$I$7:$I$12,Assumptions!C7))</x:f>
        <x:v>0.7</x:v>
      </x:c>
      <x:c r="H197" s="37" t="n">
        <x:f>'Family Register'!G22*'Family Register'!I22*G197</x:f>
        <x:v>4.4799999999999995</x:v>
      </x:c>
      <x:c r="I197" s="37" t="n">
        <x:f>J196</x:f>
        <x:v>4</x:v>
      </x:c>
      <x:c r="J197" s="37" t="n">
        <x:f>MIN(F197,H197,I197)</x:f>
        <x:v>4</x:v>
      </x:c>
      <x:c r="K197" s="22" t="n">
        <x:v>0</x:v>
      </x:c>
      <x:c r="L197" s="22" t="n">
        <x:v>0</x:v>
      </x:c>
      <x:c r="M197" s="37" t="n">
        <x:f>K197*L197</x:f>
        <x:v>0</x:v>
      </x:c>
      <x:c r="N197" s="22" t="n">
        <x:v>0</x:v>
      </x:c>
      <x:c r="O197" s="37" t="n">
        <x:f>'Family Register'!H22*1</x:f>
        <x:v>336</x:v>
      </x:c>
      <x:c r="P197" s="37" t="n">
        <x:f>IF(AND(N197&gt;0,N197&lt;=O197),1,0)</x:f>
        <x:v>0</x:v>
      </x:c>
      <x:c r="Q197" s="22" t="n">
        <x:v>0</x:v>
      </x:c>
      <x:c r="R197" s="37" t="n">
        <x:f>IF(AND(P197=1,Q197=1),MIN(F197,M197,R196),0)</x:f>
        <x:v>0</x:v>
      </x:c>
      <x:c r="S197" s="23" t="str">
        <x:f>IF(R197&gt;=F197,"ADMITTED","NOT ADMITTED")</x:f>
        <x:v>NOT ADMITTED</x:v>
      </x:c>
    </x:row>
    <x:row r="198">
      <x:c r="B198" s="21" t="str">
        <x:v>SL-0192</x:v>
      </x:c>
      <x:c r="C198" s="21" t="str">
        <x:v>F16</x:v>
      </x:c>
      <x:c r="D198" s="21" t="n">
        <x:v>12</x:v>
      </x:c>
      <x:c r="E198" s="21" t="str">
        <x:v>Regeneration and replacement</x:v>
      </x:c>
      <x:c r="F198" s="37" t="n">
        <x:f>'Family Register'!L22</x:f>
        <x:v>4</x:v>
      </x:c>
      <x:c r="G198" s="37" t="n">
        <x:f>MIN(INDEX(Scenarios!$E$7:$E$12,Assumptions!C7),INDEX(Scenarios!$F$7:$F$12,Assumptions!C7))</x:f>
        <x:v>0.7</x:v>
      </x:c>
      <x:c r="H198" s="37" t="n">
        <x:f>'Family Register'!G22*'Family Register'!I22*G198</x:f>
        <x:v>4.4799999999999995</x:v>
      </x:c>
      <x:c r="I198" s="37" t="n">
        <x:f>J197</x:f>
        <x:v>4</x:v>
      </x:c>
      <x:c r="J198" s="37" t="n">
        <x:f>MIN(F198,H198,I198)</x:f>
        <x:v>4</x:v>
      </x:c>
      <x:c r="K198" s="22" t="n">
        <x:v>0</x:v>
      </x:c>
      <x:c r="L198" s="22" t="n">
        <x:v>0</x:v>
      </x:c>
      <x:c r="M198" s="37" t="n">
        <x:f>K198*L198</x:f>
        <x:v>0</x:v>
      </x:c>
      <x:c r="N198" s="22" t="n">
        <x:v>0</x:v>
      </x:c>
      <x:c r="O198" s="37" t="n">
        <x:f>'Family Register'!H22+168</x:f>
        <x:v>504</x:v>
      </x:c>
      <x:c r="P198" s="37" t="n">
        <x:f>IF(AND(N198&gt;0,N198&lt;=O198),1,0)</x:f>
        <x:v>0</x:v>
      </x:c>
      <x:c r="Q198" s="22" t="n">
        <x:v>0</x:v>
      </x:c>
      <x:c r="R198" s="37" t="n">
        <x:f>IF(AND(P198=1,Q198=1),MIN(F198,M198,R197),0)</x:f>
        <x:v>0</x:v>
      </x:c>
      <x:c r="S198" s="23" t="str">
        <x:f>IF(R198&gt;=F198,"ADMITTED","NOT ADMITTED")</x:f>
        <x:v>NOT ADMITTED</x:v>
      </x:c>
    </x:row>
    <x:row r="199">
      <x:c r="B199" s="21" t="str">
        <x:v>SL-0193</x:v>
      </x:c>
      <x:c r="C199" s="21" t="str">
        <x:v>F17</x:v>
      </x:c>
      <x:c r="D199" s="21" t="n">
        <x:v>1</x:v>
      </x:c>
      <x:c r="E199" s="21" t="str">
        <x:v>Alert authentication</x:v>
      </x:c>
      <x:c r="F199" s="37" t="n">
        <x:f>'Family Register'!L23</x:f>
        <x:v>4</x:v>
      </x:c>
      <x:c r="G199" s="37" t="n">
        <x:f>INDEX(Scenarios!$K$7:$K$12,Assumptions!C7)</x:f>
        <x:v>0.75</x:v>
      </x:c>
      <x:c r="H199" s="37" t="n">
        <x:f>'Family Register'!G23*'Family Register'!I23*G199</x:f>
        <x:v>4.35</x:v>
      </x:c>
      <x:c r="I199" s="37" t="n">
        <x:f>F199</x:f>
        <x:v>4</x:v>
      </x:c>
      <x:c r="J199" s="37" t="n">
        <x:f>MIN(F199,H199,I199)</x:f>
        <x:v>4</x:v>
      </x:c>
      <x:c r="K199" s="22" t="n">
        <x:v>0</x:v>
      </x:c>
      <x:c r="L199" s="22" t="n">
        <x:v>0</x:v>
      </x:c>
      <x:c r="M199" s="37" t="n">
        <x:f>K199*L199</x:f>
        <x:v>0</x:v>
      </x:c>
      <x:c r="N199" s="22" t="n">
        <x:v>0</x:v>
      </x:c>
      <x:c r="O199" s="37" t="n">
        <x:f>2</x:f>
        <x:v>2</x:v>
      </x:c>
      <x:c r="P199" s="37" t="n">
        <x:f>IF(AND(N199&gt;0,N199&lt;=O199),1,0)</x:f>
        <x:v>0</x:v>
      </x:c>
      <x:c r="Q199" s="22" t="n">
        <x:v>0</x:v>
      </x:c>
      <x:c r="R199" s="37" t="n">
        <x:f>IF(AND(P199=1,Q199=1),MIN(F199,M199),0)</x:f>
        <x:v>0</x:v>
      </x:c>
      <x:c r="S199" s="23" t="str">
        <x:f>IF(R199&gt;=F199,"ADMITTED","NOT ADMITTED")</x:f>
        <x:v>NOT ADMITTED</x:v>
      </x:c>
    </x:row>
    <x:row r="200">
      <x:c r="B200" s="21" t="str">
        <x:v>SL-0194</x:v>
      </x:c>
      <x:c r="C200" s="21" t="str">
        <x:v>F17</x:v>
      </x:c>
      <x:c r="D200" s="21" t="n">
        <x:v>2</x:v>
      </x:c>
      <x:c r="E200" s="21" t="str">
        <x:v>Workforce muster</x:v>
      </x:c>
      <x:c r="F200" s="37" t="n">
        <x:f>'Family Register'!L23</x:f>
        <x:v>4</x:v>
      </x:c>
      <x:c r="G200" s="37" t="n">
        <x:f>INDEX(Scenarios!$J$7:$J$12,Assumptions!C7)</x:f>
        <x:v>0.8</x:v>
      </x:c>
      <x:c r="H200" s="37" t="n">
        <x:f>'Family Register'!G23*'Family Register'!I23*G200</x:f>
        <x:v>4.64</x:v>
      </x:c>
      <x:c r="I200" s="37" t="n">
        <x:f>J199</x:f>
        <x:v>4</x:v>
      </x:c>
      <x:c r="J200" s="37" t="n">
        <x:f>MIN(F200,H200,I200)</x:f>
        <x:v>4</x:v>
      </x:c>
      <x:c r="K200" s="22" t="n">
        <x:v>0</x:v>
      </x:c>
      <x:c r="L200" s="22" t="n">
        <x:v>0</x:v>
      </x:c>
      <x:c r="M200" s="37" t="n">
        <x:f>K200*L200</x:f>
        <x:v>0</x:v>
      </x:c>
      <x:c r="N200" s="22" t="n">
        <x:v>0</x:v>
      </x:c>
      <x:c r="O200" s="37" t="n">
        <x:f>12</x:f>
        <x:v>12</x:v>
      </x:c>
      <x:c r="P200" s="37" t="n">
        <x:f>IF(AND(N200&gt;0,N200&lt;=O200),1,0)</x:f>
        <x:v>0</x:v>
      </x:c>
      <x:c r="Q200" s="22" t="n">
        <x:v>0</x:v>
      </x:c>
      <x:c r="R200" s="37" t="n">
        <x:f>IF(AND(P200=1,Q200=1),MIN(F200,M200,R199),0)</x:f>
        <x:v>0</x:v>
      </x:c>
      <x:c r="S200" s="23" t="str">
        <x:f>IF(R200&gt;=F200,"ADMITTED","NOT ADMITTED")</x:f>
        <x:v>NOT ADMITTED</x:v>
      </x:c>
    </x:row>
    <x:row r="201">
      <x:c r="B201" s="21" t="str">
        <x:v>SL-0195</x:v>
      </x:c>
      <x:c r="C201" s="21" t="str">
        <x:v>F17</x:v>
      </x:c>
      <x:c r="D201" s="21" t="n">
        <x:v>3</x:v>
      </x:c>
      <x:c r="E201" s="21" t="str">
        <x:v>Facility utility and safe start</x:v>
      </x:c>
      <x:c r="F201" s="37" t="n">
        <x:f>'Family Register'!L23</x:f>
        <x:v>4</x:v>
      </x:c>
      <x:c r="G201" s="37" t="n">
        <x:f>INDEX(Scenarios!$G$7:$G$12,Assumptions!C7)</x:f>
        <x:v>0.7</x:v>
      </x:c>
      <x:c r="H201" s="37" t="n">
        <x:f>'Family Register'!G23*'Family Register'!I23*G201</x:f>
        <x:v>4.06</x:v>
      </x:c>
      <x:c r="I201" s="37" t="n">
        <x:f>J200</x:f>
        <x:v>4</x:v>
      </x:c>
      <x:c r="J201" s="37" t="n">
        <x:f>MIN(F201,H201,I201)</x:f>
        <x:v>4</x:v>
      </x:c>
      <x:c r="K201" s="22" t="n">
        <x:v>0</x:v>
      </x:c>
      <x:c r="L201" s="22" t="n">
        <x:v>0</x:v>
      </x:c>
      <x:c r="M201" s="37" t="n">
        <x:f>K201*L201</x:f>
        <x:v>0</x:v>
      </x:c>
      <x:c r="N201" s="22" t="n">
        <x:v>0</x:v>
      </x:c>
      <x:c r="O201" s="37" t="n">
        <x:f>24</x:f>
        <x:v>24</x:v>
      </x:c>
      <x:c r="P201" s="37" t="n">
        <x:f>IF(AND(N201&gt;0,N201&lt;=O201),1,0)</x:f>
        <x:v>0</x:v>
      </x:c>
      <x:c r="Q201" s="22" t="n">
        <x:v>0</x:v>
      </x:c>
      <x:c r="R201" s="37" t="n">
        <x:f>IF(AND(P201=1,Q201=1),MIN(F201,M201,R200),0)</x:f>
        <x:v>0</x:v>
      </x:c>
      <x:c r="S201" s="23" t="str">
        <x:f>IF(R201&gt;=F201,"ADMITTED","NOT ADMITTED")</x:f>
        <x:v>NOT ADMITTED</x:v>
      </x:c>
    </x:row>
    <x:row r="202">
      <x:c r="B202" s="21" t="str">
        <x:v>SL-0196</x:v>
      </x:c>
      <x:c r="C202" s="21" t="str">
        <x:v>F17</x:v>
      </x:c>
      <x:c r="D202" s="21" t="n">
        <x:v>4</x:v>
      </x:c>
      <x:c r="E202" s="21" t="str">
        <x:v>Material tooling and instrument release</x:v>
      </x:c>
      <x:c r="F202" s="37" t="n">
        <x:f>'Family Register'!L23</x:f>
        <x:v>4</x:v>
      </x:c>
      <x:c r="G202" s="37" t="n">
        <x:f>INDEX(Scenarios!$E$7:$E$12,Assumptions!C7)</x:f>
        <x:v>0.75</x:v>
      </x:c>
      <x:c r="H202" s="37" t="n">
        <x:f>'Family Register'!G23*'Family Register'!I23*G202</x:f>
        <x:v>4.35</x:v>
      </x:c>
      <x:c r="I202" s="37" t="n">
        <x:f>J201</x:f>
        <x:v>4</x:v>
      </x:c>
      <x:c r="J202" s="37" t="n">
        <x:f>MIN(F202,H202,I202)</x:f>
        <x:v>4</x:v>
      </x:c>
      <x:c r="K202" s="22" t="n">
        <x:v>0</x:v>
      </x:c>
      <x:c r="L202" s="22" t="n">
        <x:v>0</x:v>
      </x:c>
      <x:c r="M202" s="37" t="n">
        <x:f>K202*L202</x:f>
        <x:v>0</x:v>
      </x:c>
      <x:c r="N202" s="22" t="n">
        <x:v>0</x:v>
      </x:c>
      <x:c r="O202" s="37" t="n">
        <x:f>36</x:f>
        <x:v>36</x:v>
      </x:c>
      <x:c r="P202" s="37" t="n">
        <x:f>IF(AND(N202&gt;0,N202&lt;=O202),1,0)</x:f>
        <x:v>0</x:v>
      </x:c>
      <x:c r="Q202" s="22" t="n">
        <x:v>0</x:v>
      </x:c>
      <x:c r="R202" s="37" t="n">
        <x:f>IF(AND(P202=1,Q202=1),MIN(F202,M202,R201),0)</x:f>
        <x:v>0</x:v>
      </x:c>
      <x:c r="S202" s="23" t="str">
        <x:f>IF(R202&gt;=F202,"ADMITTED","NOT ADMITTED")</x:f>
        <x:v>NOT ADMITTED</x:v>
      </x:c>
    </x:row>
    <x:row r="203">
      <x:c r="B203" s="21" t="str">
        <x:v>SL-0197</x:v>
      </x:c>
      <x:c r="C203" s="21" t="str">
        <x:v>F17</x:v>
      </x:c>
      <x:c r="D203" s="21" t="n">
        <x:v>5</x:v>
      </x:c>
      <x:c r="E203" s="21" t="str">
        <x:v>Supplier and process activation</x:v>
      </x:c>
      <x:c r="F203" s="37" t="n">
        <x:f>'Family Register'!L23</x:f>
        <x:v>4</x:v>
      </x:c>
      <x:c r="G203" s="37" t="n">
        <x:f>MIN(INDEX(Scenarios!$E$7:$E$12,Assumptions!C7),INDEX(Scenarios!$F$7:$F$12,Assumptions!C7))</x:f>
        <x:v>0.7</x:v>
      </x:c>
      <x:c r="H203" s="37" t="n">
        <x:f>'Family Register'!G23*'Family Register'!I23*G203</x:f>
        <x:v>4.06</x:v>
      </x:c>
      <x:c r="I203" s="37" t="n">
        <x:f>J202</x:f>
        <x:v>4</x:v>
      </x:c>
      <x:c r="J203" s="37" t="n">
        <x:f>MIN(F203,H203,I203)</x:f>
        <x:v>4</x:v>
      </x:c>
      <x:c r="K203" s="22" t="n">
        <x:v>0</x:v>
      </x:c>
      <x:c r="L203" s="22" t="n">
        <x:v>0</x:v>
      </x:c>
      <x:c r="M203" s="37" t="n">
        <x:f>K203*L203</x:f>
        <x:v>0</x:v>
      </x:c>
      <x:c r="N203" s="22" t="n">
        <x:v>0</x:v>
      </x:c>
      <x:c r="O203" s="37" t="n">
        <x:f>48</x:f>
        <x:v>48</x:v>
      </x:c>
      <x:c r="P203" s="37" t="n">
        <x:f>IF(AND(N203&gt;0,N203&lt;=O203),1,0)</x:f>
        <x:v>0</x:v>
      </x:c>
      <x:c r="Q203" s="22" t="n">
        <x:v>0</x:v>
      </x:c>
      <x:c r="R203" s="37" t="n">
        <x:f>IF(AND(P203=1,Q203=1),MIN(F203,M203,R202),0)</x:f>
        <x:v>0</x:v>
      </x:c>
      <x:c r="S203" s="23" t="str">
        <x:f>IF(R203&gt;=F203,"ADMITTED","NOT ADMITTED")</x:f>
        <x:v>NOT ADMITTED</x:v>
      </x:c>
    </x:row>
    <x:row r="204">
      <x:c r="B204" s="21" t="str">
        <x:v>SL-0198</x:v>
      </x:c>
      <x:c r="C204" s="21" t="str">
        <x:v>F17</x:v>
      </x:c>
      <x:c r="D204" s="21" t="n">
        <x:v>6</x:v>
      </x:c>
      <x:c r="E204" s="21" t="str">
        <x:v>Conforming production</x:v>
      </x:c>
      <x:c r="F204" s="37" t="n">
        <x:f>'Family Register'!L23</x:f>
        <x:v>4</x:v>
      </x:c>
      <x:c r="G204" s="37" t="n">
        <x:f>INDEX(Scenarios!$F$7:$F$12,Assumptions!C7)</x:f>
        <x:v>0.7</x:v>
      </x:c>
      <x:c r="H204" s="37" t="n">
        <x:f>'Family Register'!G23*'Family Register'!I23*G204</x:f>
        <x:v>4.06</x:v>
      </x:c>
      <x:c r="I204" s="37" t="n">
        <x:f>J203</x:f>
        <x:v>4</x:v>
      </x:c>
      <x:c r="J204" s="37" t="n">
        <x:f>MIN(F204,H204,I204)</x:f>
        <x:v>4</x:v>
      </x:c>
      <x:c r="K204" s="22" t="n">
        <x:v>0</x:v>
      </x:c>
      <x:c r="L204" s="22" t="n">
        <x:v>0</x:v>
      </x:c>
      <x:c r="M204" s="37" t="n">
        <x:f>K204*L204</x:f>
        <x:v>0</x:v>
      </x:c>
      <x:c r="N204" s="22" t="n">
        <x:v>0</x:v>
      </x:c>
      <x:c r="O204" s="37" t="n">
        <x:f>'Family Register'!H23*0.55</x:f>
        <x:v>396.00000000000006</x:v>
      </x:c>
      <x:c r="P204" s="37" t="n">
        <x:f>IF(AND(N204&gt;0,N204&lt;=O204),1,0)</x:f>
        <x:v>0</x:v>
      </x:c>
      <x:c r="Q204" s="22" t="n">
        <x:v>0</x:v>
      </x:c>
      <x:c r="R204" s="37" t="n">
        <x:f>IF(AND(P204=1,Q204=1),MIN(F204,M204,R203),0)</x:f>
        <x:v>0</x:v>
      </x:c>
      <x:c r="S204" s="23" t="str">
        <x:f>IF(R204&gt;=F204,"ADMITTED","NOT ADMITTED")</x:f>
        <x:v>NOT ADMITTED</x:v>
      </x:c>
    </x:row>
    <x:row r="205">
      <x:c r="B205" s="21" t="str">
        <x:v>SL-0199</x:v>
      </x:c>
      <x:c r="C205" s="21" t="str">
        <x:v>F17</x:v>
      </x:c>
      <x:c r="D205" s="21" t="n">
        <x:v>7</x:v>
      </x:c>
      <x:c r="E205" s="21" t="str">
        <x:v>Independent acceptance</x:v>
      </x:c>
      <x:c r="F205" s="37" t="n">
        <x:f>'Family Register'!L23</x:f>
        <x:v>4</x:v>
      </x:c>
      <x:c r="G205" s="37" t="n">
        <x:f>INDEX(Scenarios!$L$7:$L$12,Assumptions!C7)</x:f>
        <x:v>0.8</x:v>
      </x:c>
      <x:c r="H205" s="37" t="n">
        <x:f>'Family Register'!G23*'Family Register'!I23*G205</x:f>
        <x:v>4.64</x:v>
      </x:c>
      <x:c r="I205" s="37" t="n">
        <x:f>J204</x:f>
        <x:v>4</x:v>
      </x:c>
      <x:c r="J205" s="37" t="n">
        <x:f>MIN(F205,H205,I205)</x:f>
        <x:v>4</x:v>
      </x:c>
      <x:c r="K205" s="22" t="n">
        <x:v>0</x:v>
      </x:c>
      <x:c r="L205" s="22" t="n">
        <x:v>0</x:v>
      </x:c>
      <x:c r="M205" s="37" t="n">
        <x:f>K205*L205</x:f>
        <x:v>0</x:v>
      </x:c>
      <x:c r="N205" s="22" t="n">
        <x:v>0</x:v>
      </x:c>
      <x:c r="O205" s="37" t="n">
        <x:f>'Family Register'!H23*0.65</x:f>
        <x:v>468</x:v>
      </x:c>
      <x:c r="P205" s="37" t="n">
        <x:f>IF(AND(N205&gt;0,N205&lt;=O205),1,0)</x:f>
        <x:v>0</x:v>
      </x:c>
      <x:c r="Q205" s="22" t="n">
        <x:v>0</x:v>
      </x:c>
      <x:c r="R205" s="37" t="n">
        <x:f>IF(AND(P205=1,Q205=1),MIN(F205,M205,R204),0)</x:f>
        <x:v>0</x:v>
      </x:c>
      <x:c r="S205" s="23" t="str">
        <x:f>IF(R205&gt;=F205,"ADMITTED","NOT ADMITTED")</x:f>
        <x:v>NOT ADMITTED</x:v>
      </x:c>
    </x:row>
    <x:row r="206">
      <x:c r="B206" s="21" t="str">
        <x:v>SL-0200</x:v>
      </x:c>
      <x:c r="C206" s="21" t="str">
        <x:v>F17</x:v>
      </x:c>
      <x:c r="D206" s="21" t="n">
        <x:v>8</x:v>
      </x:c>
      <x:c r="E206" s="21" t="str">
        <x:v>Loadout and custody transfer</x:v>
      </x:c>
      <x:c r="F206" s="37" t="n">
        <x:f>'Family Register'!L23</x:f>
        <x:v>4</x:v>
      </x:c>
      <x:c r="G206" s="37" t="n">
        <x:f>INDEX(Scenarios!$H$7:$H$12,Assumptions!C7)</x:f>
        <x:v>0.65</x:v>
      </x:c>
      <x:c r="H206" s="37" t="n">
        <x:f>'Family Register'!G23*'Family Register'!I23*G206</x:f>
        <x:v>3.77</x:v>
      </x:c>
      <x:c r="I206" s="37" t="n">
        <x:f>J205</x:f>
        <x:v>4</x:v>
      </x:c>
      <x:c r="J206" s="37" t="n">
        <x:f>MIN(F206,H206,I206)</x:f>
        <x:v>3.77</x:v>
      </x:c>
      <x:c r="K206" s="22" t="n">
        <x:v>0</x:v>
      </x:c>
      <x:c r="L206" s="22" t="n">
        <x:v>0</x:v>
      </x:c>
      <x:c r="M206" s="37" t="n">
        <x:f>K206*L206</x:f>
        <x:v>0</x:v>
      </x:c>
      <x:c r="N206" s="22" t="n">
        <x:v>0</x:v>
      </x:c>
      <x:c r="O206" s="37" t="n">
        <x:f>'Family Register'!H23*0.7</x:f>
        <x:v>503.99999999999994</x:v>
      </x:c>
      <x:c r="P206" s="37" t="n">
        <x:f>IF(AND(N206&gt;0,N206&lt;=O206),1,0)</x:f>
        <x:v>0</x:v>
      </x:c>
      <x:c r="Q206" s="22" t="n">
        <x:v>0</x:v>
      </x:c>
      <x:c r="R206" s="37" t="n">
        <x:f>IF(AND(P206=1,Q206=1),MIN(F206,M206,R205),0)</x:f>
        <x:v>0</x:v>
      </x:c>
      <x:c r="S206" s="23" t="str">
        <x:f>IF(R206&gt;=F206,"ADMITTED","NOT ADMITTED")</x:f>
        <x:v>NOT ADMITTED</x:v>
      </x:c>
    </x:row>
    <x:row r="207">
      <x:c r="B207" s="21" t="str">
        <x:v>SL-0201</x:v>
      </x:c>
      <x:c r="C207" s="21" t="str">
        <x:v>F17</x:v>
      </x:c>
      <x:c r="D207" s="21" t="n">
        <x:v>9</x:v>
      </x:c>
      <x:c r="E207" s="21" t="str">
        <x:v>Strategic transport</x:v>
      </x:c>
      <x:c r="F207" s="37" t="n">
        <x:f>'Family Register'!L23</x:f>
        <x:v>4</x:v>
      </x:c>
      <x:c r="G207" s="37" t="n">
        <x:f>INDEX(Scenarios!$H$7:$H$12,Assumptions!C7)</x:f>
        <x:v>0.65</x:v>
      </x:c>
      <x:c r="H207" s="37" t="n">
        <x:f>'Family Register'!G23*'Family Register'!I23*G207</x:f>
        <x:v>3.77</x:v>
      </x:c>
      <x:c r="I207" s="37" t="n">
        <x:f>J206</x:f>
        <x:v>3.77</x:v>
      </x:c>
      <x:c r="J207" s="37" t="n">
        <x:f>MIN(F207,H207,I207)</x:f>
        <x:v>3.77</x:v>
      </x:c>
      <x:c r="K207" s="22" t="n">
        <x:v>0</x:v>
      </x:c>
      <x:c r="L207" s="22" t="n">
        <x:v>0</x:v>
      </x:c>
      <x:c r="M207" s="37" t="n">
        <x:f>K207*L207</x:f>
        <x:v>0</x:v>
      </x:c>
      <x:c r="N207" s="22" t="n">
        <x:v>0</x:v>
      </x:c>
      <x:c r="O207" s="37" t="n">
        <x:f>'Family Register'!H23*0.9</x:f>
        <x:v>648</x:v>
      </x:c>
      <x:c r="P207" s="37" t="n">
        <x:f>IF(AND(N207&gt;0,N207&lt;=O207),1,0)</x:f>
        <x:v>0</x:v>
      </x:c>
      <x:c r="Q207" s="22" t="n">
        <x:v>0</x:v>
      </x:c>
      <x:c r="R207" s="37" t="n">
        <x:f>IF(AND(P207=1,Q207=1),MIN(F207,M207,R206),0)</x:f>
        <x:v>0</x:v>
      </x:c>
      <x:c r="S207" s="23" t="str">
        <x:f>IF(R207&gt;=F207,"ADMITTED","NOT ADMITTED")</x:f>
        <x:v>NOT ADMITTED</x:v>
      </x:c>
    </x:row>
    <x:row r="208">
      <x:c r="B208" s="21" t="str">
        <x:v>SL-0202</x:v>
      </x:c>
      <x:c r="C208" s="21" t="str">
        <x:v>F17</x:v>
      </x:c>
      <x:c r="D208" s="21" t="n">
        <x:v>10</x:v>
      </x:c>
      <x:c r="E208" s="21" t="str">
        <x:v>Receiving-node admission</x:v>
      </x:c>
      <x:c r="F208" s="37" t="n">
        <x:f>'Family Register'!L23</x:f>
        <x:v>4</x:v>
      </x:c>
      <x:c r="G208" s="37" t="n">
        <x:f>INDEX(Scenarios!$I$7:$I$12,Assumptions!C7)</x:f>
        <x:v>0.75</x:v>
      </x:c>
      <x:c r="H208" s="37" t="n">
        <x:f>'Family Register'!G23*'Family Register'!I23*G208</x:f>
        <x:v>4.35</x:v>
      </x:c>
      <x:c r="I208" s="37" t="n">
        <x:f>J207</x:f>
        <x:v>3.77</x:v>
      </x:c>
      <x:c r="J208" s="37" t="n">
        <x:f>MIN(F208,H208,I208)</x:f>
        <x:v>3.77</x:v>
      </x:c>
      <x:c r="K208" s="22" t="n">
        <x:v>0</x:v>
      </x:c>
      <x:c r="L208" s="22" t="n">
        <x:v>0</x:v>
      </x:c>
      <x:c r="M208" s="37" t="n">
        <x:f>K208*L208</x:f>
        <x:v>0</x:v>
      </x:c>
      <x:c r="N208" s="22" t="n">
        <x:v>0</x:v>
      </x:c>
      <x:c r="O208" s="37" t="n">
        <x:f>'Family Register'!H23*0.94</x:f>
        <x:v>676.8</x:v>
      </x:c>
      <x:c r="P208" s="37" t="n">
        <x:f>IF(AND(N208&gt;0,N208&lt;=O208),1,0)</x:f>
        <x:v>0</x:v>
      </x:c>
      <x:c r="Q208" s="22" t="n">
        <x:v>0</x:v>
      </x:c>
      <x:c r="R208" s="37" t="n">
        <x:f>IF(AND(P208=1,Q208=1),MIN(F208,M208,R207),0)</x:f>
        <x:v>0</x:v>
      </x:c>
      <x:c r="S208" s="23" t="str">
        <x:f>IF(R208&gt;=F208,"ADMITTED","NOT ADMITTED")</x:f>
        <x:v>NOT ADMITTED</x:v>
      </x:c>
    </x:row>
    <x:row r="209">
      <x:c r="B209" s="21" t="str">
        <x:v>SL-0203</x:v>
      </x:c>
      <x:c r="C209" s="21" t="str">
        <x:v>F17</x:v>
      </x:c>
      <x:c r="D209" s="21" t="n">
        <x:v>11</x:v>
      </x:c>
      <x:c r="E209" s="21" t="str">
        <x:v>Commissioned public service</x:v>
      </x:c>
      <x:c r="F209" s="37" t="n">
        <x:f>'Family Register'!L23</x:f>
        <x:v>4</x:v>
      </x:c>
      <x:c r="G209" s="37" t="n">
        <x:f>MIN(INDEX(Scenarios!$G$7:$G$12,Assumptions!C7),INDEX(Scenarios!$I$7:$I$12,Assumptions!C7))</x:f>
        <x:v>0.7</x:v>
      </x:c>
      <x:c r="H209" s="37" t="n">
        <x:f>'Family Register'!G23*'Family Register'!I23*G209</x:f>
        <x:v>4.06</x:v>
      </x:c>
      <x:c r="I209" s="37" t="n">
        <x:f>J208</x:f>
        <x:v>3.77</x:v>
      </x:c>
      <x:c r="J209" s="37" t="n">
        <x:f>MIN(F209,H209,I209)</x:f>
        <x:v>3.77</x:v>
      </x:c>
      <x:c r="K209" s="22" t="n">
        <x:v>0</x:v>
      </x:c>
      <x:c r="L209" s="22" t="n">
        <x:v>0</x:v>
      </x:c>
      <x:c r="M209" s="37" t="n">
        <x:f>K209*L209</x:f>
        <x:v>0</x:v>
      </x:c>
      <x:c r="N209" s="22" t="n">
        <x:v>0</x:v>
      </x:c>
      <x:c r="O209" s="37" t="n">
        <x:f>'Family Register'!H23*1</x:f>
        <x:v>720</x:v>
      </x:c>
      <x:c r="P209" s="37" t="n">
        <x:f>IF(AND(N209&gt;0,N209&lt;=O209),1,0)</x:f>
        <x:v>0</x:v>
      </x:c>
      <x:c r="Q209" s="22" t="n">
        <x:v>0</x:v>
      </x:c>
      <x:c r="R209" s="37" t="n">
        <x:f>IF(AND(P209=1,Q209=1),MIN(F209,M209,R208),0)</x:f>
        <x:v>0</x:v>
      </x:c>
      <x:c r="S209" s="23" t="str">
        <x:f>IF(R209&gt;=F209,"ADMITTED","NOT ADMITTED")</x:f>
        <x:v>NOT ADMITTED</x:v>
      </x:c>
    </x:row>
    <x:row r="210">
      <x:c r="B210" s="21" t="str">
        <x:v>SL-0204</x:v>
      </x:c>
      <x:c r="C210" s="21" t="str">
        <x:v>F17</x:v>
      </x:c>
      <x:c r="D210" s="21" t="n">
        <x:v>12</x:v>
      </x:c>
      <x:c r="E210" s="21" t="str">
        <x:v>Regeneration and replacement</x:v>
      </x:c>
      <x:c r="F210" s="37" t="n">
        <x:f>'Family Register'!L23</x:f>
        <x:v>4</x:v>
      </x:c>
      <x:c r="G210" s="37" t="n">
        <x:f>MIN(INDEX(Scenarios!$E$7:$E$12,Assumptions!C7),INDEX(Scenarios!$F$7:$F$12,Assumptions!C7))</x:f>
        <x:v>0.7</x:v>
      </x:c>
      <x:c r="H210" s="37" t="n">
        <x:f>'Family Register'!G23*'Family Register'!I23*G210</x:f>
        <x:v>4.06</x:v>
      </x:c>
      <x:c r="I210" s="37" t="n">
        <x:f>J209</x:f>
        <x:v>3.77</x:v>
      </x:c>
      <x:c r="J210" s="37" t="n">
        <x:f>MIN(F210,H210,I210)</x:f>
        <x:v>3.77</x:v>
      </x:c>
      <x:c r="K210" s="22" t="n">
        <x:v>0</x:v>
      </x:c>
      <x:c r="L210" s="22" t="n">
        <x:v>0</x:v>
      </x:c>
      <x:c r="M210" s="37" t="n">
        <x:f>K210*L210</x:f>
        <x:v>0</x:v>
      </x:c>
      <x:c r="N210" s="22" t="n">
        <x:v>0</x:v>
      </x:c>
      <x:c r="O210" s="37" t="n">
        <x:f>'Family Register'!H23+168</x:f>
        <x:v>888</x:v>
      </x:c>
      <x:c r="P210" s="37" t="n">
        <x:f>IF(AND(N210&gt;0,N210&lt;=O210),1,0)</x:f>
        <x:v>0</x:v>
      </x:c>
      <x:c r="Q210" s="22" t="n">
        <x:v>0</x:v>
      </x:c>
      <x:c r="R210" s="37" t="n">
        <x:f>IF(AND(P210=1,Q210=1),MIN(F210,M210,R209),0)</x:f>
        <x:v>0</x:v>
      </x:c>
      <x:c r="S210" s="23" t="str">
        <x:f>IF(R210&gt;=F210,"ADMITTED","NOT ADMITTED")</x:f>
        <x:v>NOT ADMITTED</x:v>
      </x:c>
    </x:row>
    <x:row r="211">
      <x:c r="B211" s="21" t="str">
        <x:v>SL-0205</x:v>
      </x:c>
      <x:c r="C211" s="21" t="str">
        <x:v>F18</x:v>
      </x:c>
      <x:c r="D211" s="21" t="n">
        <x:v>1</x:v>
      </x:c>
      <x:c r="E211" s="21" t="str">
        <x:v>Alert authentication</x:v>
      </x:c>
      <x:c r="F211" s="37" t="n">
        <x:f>'Family Register'!L24</x:f>
        <x:v>4</x:v>
      </x:c>
      <x:c r="G211" s="37" t="n">
        <x:f>INDEX(Scenarios!$K$7:$K$12,Assumptions!C7)</x:f>
        <x:v>0.75</x:v>
      </x:c>
      <x:c r="H211" s="37" t="n">
        <x:f>'Family Register'!G24*'Family Register'!I24*G211</x:f>
        <x:v>4.35</x:v>
      </x:c>
      <x:c r="I211" s="37" t="n">
        <x:f>F211</x:f>
        <x:v>4</x:v>
      </x:c>
      <x:c r="J211" s="37" t="n">
        <x:f>MIN(F211,H211,I211)</x:f>
        <x:v>4</x:v>
      </x:c>
      <x:c r="K211" s="22" t="n">
        <x:v>0</x:v>
      </x:c>
      <x:c r="L211" s="22" t="n">
        <x:v>0</x:v>
      </x:c>
      <x:c r="M211" s="37" t="n">
        <x:f>K211*L211</x:f>
        <x:v>0</x:v>
      </x:c>
      <x:c r="N211" s="22" t="n">
        <x:v>0</x:v>
      </x:c>
      <x:c r="O211" s="37" t="n">
        <x:f>2</x:f>
        <x:v>2</x:v>
      </x:c>
      <x:c r="P211" s="37" t="n">
        <x:f>IF(AND(N211&gt;0,N211&lt;=O211),1,0)</x:f>
        <x:v>0</x:v>
      </x:c>
      <x:c r="Q211" s="22" t="n">
        <x:v>0</x:v>
      </x:c>
      <x:c r="R211" s="37" t="n">
        <x:f>IF(AND(P211=1,Q211=1),MIN(F211,M211),0)</x:f>
        <x:v>0</x:v>
      </x:c>
      <x:c r="S211" s="23" t="str">
        <x:f>IF(R211&gt;=F211,"ADMITTED","NOT ADMITTED")</x:f>
        <x:v>NOT ADMITTED</x:v>
      </x:c>
    </x:row>
    <x:row r="212">
      <x:c r="B212" s="21" t="str">
        <x:v>SL-0206</x:v>
      </x:c>
      <x:c r="C212" s="21" t="str">
        <x:v>F18</x:v>
      </x:c>
      <x:c r="D212" s="21" t="n">
        <x:v>2</x:v>
      </x:c>
      <x:c r="E212" s="21" t="str">
        <x:v>Workforce muster</x:v>
      </x:c>
      <x:c r="F212" s="37" t="n">
        <x:f>'Family Register'!L24</x:f>
        <x:v>4</x:v>
      </x:c>
      <x:c r="G212" s="37" t="n">
        <x:f>INDEX(Scenarios!$J$7:$J$12,Assumptions!C7)</x:f>
        <x:v>0.8</x:v>
      </x:c>
      <x:c r="H212" s="37" t="n">
        <x:f>'Family Register'!G24*'Family Register'!I24*G212</x:f>
        <x:v>4.64</x:v>
      </x:c>
      <x:c r="I212" s="37" t="n">
        <x:f>J211</x:f>
        <x:v>4</x:v>
      </x:c>
      <x:c r="J212" s="37" t="n">
        <x:f>MIN(F212,H212,I212)</x:f>
        <x:v>4</x:v>
      </x:c>
      <x:c r="K212" s="22" t="n">
        <x:v>0</x:v>
      </x:c>
      <x:c r="L212" s="22" t="n">
        <x:v>0</x:v>
      </x:c>
      <x:c r="M212" s="37" t="n">
        <x:f>K212*L212</x:f>
        <x:v>0</x:v>
      </x:c>
      <x:c r="N212" s="22" t="n">
        <x:v>0</x:v>
      </x:c>
      <x:c r="O212" s="37" t="n">
        <x:f>12</x:f>
        <x:v>12</x:v>
      </x:c>
      <x:c r="P212" s="37" t="n">
        <x:f>IF(AND(N212&gt;0,N212&lt;=O212),1,0)</x:f>
        <x:v>0</x:v>
      </x:c>
      <x:c r="Q212" s="22" t="n">
        <x:v>0</x:v>
      </x:c>
      <x:c r="R212" s="37" t="n">
        <x:f>IF(AND(P212=1,Q212=1),MIN(F212,M212,R211),0)</x:f>
        <x:v>0</x:v>
      </x:c>
      <x:c r="S212" s="23" t="str">
        <x:f>IF(R212&gt;=F212,"ADMITTED","NOT ADMITTED")</x:f>
        <x:v>NOT ADMITTED</x:v>
      </x:c>
    </x:row>
    <x:row r="213">
      <x:c r="B213" s="21" t="str">
        <x:v>SL-0207</x:v>
      </x:c>
      <x:c r="C213" s="21" t="str">
        <x:v>F18</x:v>
      </x:c>
      <x:c r="D213" s="21" t="n">
        <x:v>3</x:v>
      </x:c>
      <x:c r="E213" s="21" t="str">
        <x:v>Facility utility and safe start</x:v>
      </x:c>
      <x:c r="F213" s="37" t="n">
        <x:f>'Family Register'!L24</x:f>
        <x:v>4</x:v>
      </x:c>
      <x:c r="G213" s="37" t="n">
        <x:f>INDEX(Scenarios!$G$7:$G$12,Assumptions!C7)</x:f>
        <x:v>0.7</x:v>
      </x:c>
      <x:c r="H213" s="37" t="n">
        <x:f>'Family Register'!G24*'Family Register'!I24*G213</x:f>
        <x:v>4.06</x:v>
      </x:c>
      <x:c r="I213" s="37" t="n">
        <x:f>J212</x:f>
        <x:v>4</x:v>
      </x:c>
      <x:c r="J213" s="37" t="n">
        <x:f>MIN(F213,H213,I213)</x:f>
        <x:v>4</x:v>
      </x:c>
      <x:c r="K213" s="22" t="n">
        <x:v>0</x:v>
      </x:c>
      <x:c r="L213" s="22" t="n">
        <x:v>0</x:v>
      </x:c>
      <x:c r="M213" s="37" t="n">
        <x:f>K213*L213</x:f>
        <x:v>0</x:v>
      </x:c>
      <x:c r="N213" s="22" t="n">
        <x:v>0</x:v>
      </x:c>
      <x:c r="O213" s="37" t="n">
        <x:f>24</x:f>
        <x:v>24</x:v>
      </x:c>
      <x:c r="P213" s="37" t="n">
        <x:f>IF(AND(N213&gt;0,N213&lt;=O213),1,0)</x:f>
        <x:v>0</x:v>
      </x:c>
      <x:c r="Q213" s="22" t="n">
        <x:v>0</x:v>
      </x:c>
      <x:c r="R213" s="37" t="n">
        <x:f>IF(AND(P213=1,Q213=1),MIN(F213,M213,R212),0)</x:f>
        <x:v>0</x:v>
      </x:c>
      <x:c r="S213" s="23" t="str">
        <x:f>IF(R213&gt;=F213,"ADMITTED","NOT ADMITTED")</x:f>
        <x:v>NOT ADMITTED</x:v>
      </x:c>
    </x:row>
    <x:row r="214">
      <x:c r="B214" s="21" t="str">
        <x:v>SL-0208</x:v>
      </x:c>
      <x:c r="C214" s="21" t="str">
        <x:v>F18</x:v>
      </x:c>
      <x:c r="D214" s="21" t="n">
        <x:v>4</x:v>
      </x:c>
      <x:c r="E214" s="21" t="str">
        <x:v>Material tooling and instrument release</x:v>
      </x:c>
      <x:c r="F214" s="37" t="n">
        <x:f>'Family Register'!L24</x:f>
        <x:v>4</x:v>
      </x:c>
      <x:c r="G214" s="37" t="n">
        <x:f>INDEX(Scenarios!$E$7:$E$12,Assumptions!C7)</x:f>
        <x:v>0.75</x:v>
      </x:c>
      <x:c r="H214" s="37" t="n">
        <x:f>'Family Register'!G24*'Family Register'!I24*G214</x:f>
        <x:v>4.35</x:v>
      </x:c>
      <x:c r="I214" s="37" t="n">
        <x:f>J213</x:f>
        <x:v>4</x:v>
      </x:c>
      <x:c r="J214" s="37" t="n">
        <x:f>MIN(F214,H214,I214)</x:f>
        <x:v>4</x:v>
      </x:c>
      <x:c r="K214" s="22" t="n">
        <x:v>0</x:v>
      </x:c>
      <x:c r="L214" s="22" t="n">
        <x:v>0</x:v>
      </x:c>
      <x:c r="M214" s="37" t="n">
        <x:f>K214*L214</x:f>
        <x:v>0</x:v>
      </x:c>
      <x:c r="N214" s="22" t="n">
        <x:v>0</x:v>
      </x:c>
      <x:c r="O214" s="37" t="n">
        <x:f>36</x:f>
        <x:v>36</x:v>
      </x:c>
      <x:c r="P214" s="37" t="n">
        <x:f>IF(AND(N214&gt;0,N214&lt;=O214),1,0)</x:f>
        <x:v>0</x:v>
      </x:c>
      <x:c r="Q214" s="22" t="n">
        <x:v>0</x:v>
      </x:c>
      <x:c r="R214" s="37" t="n">
        <x:f>IF(AND(P214=1,Q214=1),MIN(F214,M214,R213),0)</x:f>
        <x:v>0</x:v>
      </x:c>
      <x:c r="S214" s="23" t="str">
        <x:f>IF(R214&gt;=F214,"ADMITTED","NOT ADMITTED")</x:f>
        <x:v>NOT ADMITTED</x:v>
      </x:c>
    </x:row>
    <x:row r="215">
      <x:c r="B215" s="21" t="str">
        <x:v>SL-0209</x:v>
      </x:c>
      <x:c r="C215" s="21" t="str">
        <x:v>F18</x:v>
      </x:c>
      <x:c r="D215" s="21" t="n">
        <x:v>5</x:v>
      </x:c>
      <x:c r="E215" s="21" t="str">
        <x:v>Supplier and process activation</x:v>
      </x:c>
      <x:c r="F215" s="37" t="n">
        <x:f>'Family Register'!L24</x:f>
        <x:v>4</x:v>
      </x:c>
      <x:c r="G215" s="37" t="n">
        <x:f>MIN(INDEX(Scenarios!$E$7:$E$12,Assumptions!C7),INDEX(Scenarios!$F$7:$F$12,Assumptions!C7))</x:f>
        <x:v>0.7</x:v>
      </x:c>
      <x:c r="H215" s="37" t="n">
        <x:f>'Family Register'!G24*'Family Register'!I24*G215</x:f>
        <x:v>4.06</x:v>
      </x:c>
      <x:c r="I215" s="37" t="n">
        <x:f>J214</x:f>
        <x:v>4</x:v>
      </x:c>
      <x:c r="J215" s="37" t="n">
        <x:f>MIN(F215,H215,I215)</x:f>
        <x:v>4</x:v>
      </x:c>
      <x:c r="K215" s="22" t="n">
        <x:v>0</x:v>
      </x:c>
      <x:c r="L215" s="22" t="n">
        <x:v>0</x:v>
      </x:c>
      <x:c r="M215" s="37" t="n">
        <x:f>K215*L215</x:f>
        <x:v>0</x:v>
      </x:c>
      <x:c r="N215" s="22" t="n">
        <x:v>0</x:v>
      </x:c>
      <x:c r="O215" s="37" t="n">
        <x:f>48</x:f>
        <x:v>48</x:v>
      </x:c>
      <x:c r="P215" s="37" t="n">
        <x:f>IF(AND(N215&gt;0,N215&lt;=O215),1,0)</x:f>
        <x:v>0</x:v>
      </x:c>
      <x:c r="Q215" s="22" t="n">
        <x:v>0</x:v>
      </x:c>
      <x:c r="R215" s="37" t="n">
        <x:f>IF(AND(P215=1,Q215=1),MIN(F215,M215,R214),0)</x:f>
        <x:v>0</x:v>
      </x:c>
      <x:c r="S215" s="23" t="str">
        <x:f>IF(R215&gt;=F215,"ADMITTED","NOT ADMITTED")</x:f>
        <x:v>NOT ADMITTED</x:v>
      </x:c>
    </x:row>
    <x:row r="216">
      <x:c r="B216" s="21" t="str">
        <x:v>SL-0210</x:v>
      </x:c>
      <x:c r="C216" s="21" t="str">
        <x:v>F18</x:v>
      </x:c>
      <x:c r="D216" s="21" t="n">
        <x:v>6</x:v>
      </x:c>
      <x:c r="E216" s="21" t="str">
        <x:v>Conforming production</x:v>
      </x:c>
      <x:c r="F216" s="37" t="n">
        <x:f>'Family Register'!L24</x:f>
        <x:v>4</x:v>
      </x:c>
      <x:c r="G216" s="37" t="n">
        <x:f>INDEX(Scenarios!$F$7:$F$12,Assumptions!C7)</x:f>
        <x:v>0.7</x:v>
      </x:c>
      <x:c r="H216" s="37" t="n">
        <x:f>'Family Register'!G24*'Family Register'!I24*G216</x:f>
        <x:v>4.06</x:v>
      </x:c>
      <x:c r="I216" s="37" t="n">
        <x:f>J215</x:f>
        <x:v>4</x:v>
      </x:c>
      <x:c r="J216" s="37" t="n">
        <x:f>MIN(F216,H216,I216)</x:f>
        <x:v>4</x:v>
      </x:c>
      <x:c r="K216" s="22" t="n">
        <x:v>0</x:v>
      </x:c>
      <x:c r="L216" s="22" t="n">
        <x:v>0</x:v>
      </x:c>
      <x:c r="M216" s="37" t="n">
        <x:f>K216*L216</x:f>
        <x:v>0</x:v>
      </x:c>
      <x:c r="N216" s="22" t="n">
        <x:v>0</x:v>
      </x:c>
      <x:c r="O216" s="37" t="n">
        <x:f>'Family Register'!H24*0.55</x:f>
        <x:v>396.00000000000006</x:v>
      </x:c>
      <x:c r="P216" s="37" t="n">
        <x:f>IF(AND(N216&gt;0,N216&lt;=O216),1,0)</x:f>
        <x:v>0</x:v>
      </x:c>
      <x:c r="Q216" s="22" t="n">
        <x:v>0</x:v>
      </x:c>
      <x:c r="R216" s="37" t="n">
        <x:f>IF(AND(P216=1,Q216=1),MIN(F216,M216,R215),0)</x:f>
        <x:v>0</x:v>
      </x:c>
      <x:c r="S216" s="23" t="str">
        <x:f>IF(R216&gt;=F216,"ADMITTED","NOT ADMITTED")</x:f>
        <x:v>NOT ADMITTED</x:v>
      </x:c>
    </x:row>
    <x:row r="217">
      <x:c r="B217" s="21" t="str">
        <x:v>SL-0211</x:v>
      </x:c>
      <x:c r="C217" s="21" t="str">
        <x:v>F18</x:v>
      </x:c>
      <x:c r="D217" s="21" t="n">
        <x:v>7</x:v>
      </x:c>
      <x:c r="E217" s="21" t="str">
        <x:v>Independent acceptance</x:v>
      </x:c>
      <x:c r="F217" s="37" t="n">
        <x:f>'Family Register'!L24</x:f>
        <x:v>4</x:v>
      </x:c>
      <x:c r="G217" s="37" t="n">
        <x:f>INDEX(Scenarios!$L$7:$L$12,Assumptions!C7)</x:f>
        <x:v>0.8</x:v>
      </x:c>
      <x:c r="H217" s="37" t="n">
        <x:f>'Family Register'!G24*'Family Register'!I24*G217</x:f>
        <x:v>4.64</x:v>
      </x:c>
      <x:c r="I217" s="37" t="n">
        <x:f>J216</x:f>
        <x:v>4</x:v>
      </x:c>
      <x:c r="J217" s="37" t="n">
        <x:f>MIN(F217,H217,I217)</x:f>
        <x:v>4</x:v>
      </x:c>
      <x:c r="K217" s="22" t="n">
        <x:v>0</x:v>
      </x:c>
      <x:c r="L217" s="22" t="n">
        <x:v>0</x:v>
      </x:c>
      <x:c r="M217" s="37" t="n">
        <x:f>K217*L217</x:f>
        <x:v>0</x:v>
      </x:c>
      <x:c r="N217" s="22" t="n">
        <x:v>0</x:v>
      </x:c>
      <x:c r="O217" s="37" t="n">
        <x:f>'Family Register'!H24*0.65</x:f>
        <x:v>468</x:v>
      </x:c>
      <x:c r="P217" s="37" t="n">
        <x:f>IF(AND(N217&gt;0,N217&lt;=O217),1,0)</x:f>
        <x:v>0</x:v>
      </x:c>
      <x:c r="Q217" s="22" t="n">
        <x:v>0</x:v>
      </x:c>
      <x:c r="R217" s="37" t="n">
        <x:f>IF(AND(P217=1,Q217=1),MIN(F217,M217,R216),0)</x:f>
        <x:v>0</x:v>
      </x:c>
      <x:c r="S217" s="23" t="str">
        <x:f>IF(R217&gt;=F217,"ADMITTED","NOT ADMITTED")</x:f>
        <x:v>NOT ADMITTED</x:v>
      </x:c>
    </x:row>
    <x:row r="218">
      <x:c r="B218" s="21" t="str">
        <x:v>SL-0212</x:v>
      </x:c>
      <x:c r="C218" s="21" t="str">
        <x:v>F18</x:v>
      </x:c>
      <x:c r="D218" s="21" t="n">
        <x:v>8</x:v>
      </x:c>
      <x:c r="E218" s="21" t="str">
        <x:v>Loadout and custody transfer</x:v>
      </x:c>
      <x:c r="F218" s="37" t="n">
        <x:f>'Family Register'!L24</x:f>
        <x:v>4</x:v>
      </x:c>
      <x:c r="G218" s="37" t="n">
        <x:f>INDEX(Scenarios!$H$7:$H$12,Assumptions!C7)</x:f>
        <x:v>0.65</x:v>
      </x:c>
      <x:c r="H218" s="37" t="n">
        <x:f>'Family Register'!G24*'Family Register'!I24*G218</x:f>
        <x:v>3.77</x:v>
      </x:c>
      <x:c r="I218" s="37" t="n">
        <x:f>J217</x:f>
        <x:v>4</x:v>
      </x:c>
      <x:c r="J218" s="37" t="n">
        <x:f>MIN(F218,H218,I218)</x:f>
        <x:v>3.77</x:v>
      </x:c>
      <x:c r="K218" s="22" t="n">
        <x:v>0</x:v>
      </x:c>
      <x:c r="L218" s="22" t="n">
        <x:v>0</x:v>
      </x:c>
      <x:c r="M218" s="37" t="n">
        <x:f>K218*L218</x:f>
        <x:v>0</x:v>
      </x:c>
      <x:c r="N218" s="22" t="n">
        <x:v>0</x:v>
      </x:c>
      <x:c r="O218" s="37" t="n">
        <x:f>'Family Register'!H24*0.7</x:f>
        <x:v>503.99999999999994</x:v>
      </x:c>
      <x:c r="P218" s="37" t="n">
        <x:f>IF(AND(N218&gt;0,N218&lt;=O218),1,0)</x:f>
        <x:v>0</x:v>
      </x:c>
      <x:c r="Q218" s="22" t="n">
        <x:v>0</x:v>
      </x:c>
      <x:c r="R218" s="37" t="n">
        <x:f>IF(AND(P218=1,Q218=1),MIN(F218,M218,R217),0)</x:f>
        <x:v>0</x:v>
      </x:c>
      <x:c r="S218" s="23" t="str">
        <x:f>IF(R218&gt;=F218,"ADMITTED","NOT ADMITTED")</x:f>
        <x:v>NOT ADMITTED</x:v>
      </x:c>
    </x:row>
    <x:row r="219">
      <x:c r="B219" s="21" t="str">
        <x:v>SL-0213</x:v>
      </x:c>
      <x:c r="C219" s="21" t="str">
        <x:v>F18</x:v>
      </x:c>
      <x:c r="D219" s="21" t="n">
        <x:v>9</x:v>
      </x:c>
      <x:c r="E219" s="21" t="str">
        <x:v>Strategic transport</x:v>
      </x:c>
      <x:c r="F219" s="37" t="n">
        <x:f>'Family Register'!L24</x:f>
        <x:v>4</x:v>
      </x:c>
      <x:c r="G219" s="37" t="n">
        <x:f>INDEX(Scenarios!$H$7:$H$12,Assumptions!C7)</x:f>
        <x:v>0.65</x:v>
      </x:c>
      <x:c r="H219" s="37" t="n">
        <x:f>'Family Register'!G24*'Family Register'!I24*G219</x:f>
        <x:v>3.77</x:v>
      </x:c>
      <x:c r="I219" s="37" t="n">
        <x:f>J218</x:f>
        <x:v>3.77</x:v>
      </x:c>
      <x:c r="J219" s="37" t="n">
        <x:f>MIN(F219,H219,I219)</x:f>
        <x:v>3.77</x:v>
      </x:c>
      <x:c r="K219" s="22" t="n">
        <x:v>0</x:v>
      </x:c>
      <x:c r="L219" s="22" t="n">
        <x:v>0</x:v>
      </x:c>
      <x:c r="M219" s="37" t="n">
        <x:f>K219*L219</x:f>
        <x:v>0</x:v>
      </x:c>
      <x:c r="N219" s="22" t="n">
        <x:v>0</x:v>
      </x:c>
      <x:c r="O219" s="37" t="n">
        <x:f>'Family Register'!H24*0.9</x:f>
        <x:v>648</x:v>
      </x:c>
      <x:c r="P219" s="37" t="n">
        <x:f>IF(AND(N219&gt;0,N219&lt;=O219),1,0)</x:f>
        <x:v>0</x:v>
      </x:c>
      <x:c r="Q219" s="22" t="n">
        <x:v>0</x:v>
      </x:c>
      <x:c r="R219" s="37" t="n">
        <x:f>IF(AND(P219=1,Q219=1),MIN(F219,M219,R218),0)</x:f>
        <x:v>0</x:v>
      </x:c>
      <x:c r="S219" s="23" t="str">
        <x:f>IF(R219&gt;=F219,"ADMITTED","NOT ADMITTED")</x:f>
        <x:v>NOT ADMITTED</x:v>
      </x:c>
    </x:row>
    <x:row r="220">
      <x:c r="B220" s="21" t="str">
        <x:v>SL-0214</x:v>
      </x:c>
      <x:c r="C220" s="21" t="str">
        <x:v>F18</x:v>
      </x:c>
      <x:c r="D220" s="21" t="n">
        <x:v>10</x:v>
      </x:c>
      <x:c r="E220" s="21" t="str">
        <x:v>Receiving-node admission</x:v>
      </x:c>
      <x:c r="F220" s="37" t="n">
        <x:f>'Family Register'!L24</x:f>
        <x:v>4</x:v>
      </x:c>
      <x:c r="G220" s="37" t="n">
        <x:f>INDEX(Scenarios!$I$7:$I$12,Assumptions!C7)</x:f>
        <x:v>0.75</x:v>
      </x:c>
      <x:c r="H220" s="37" t="n">
        <x:f>'Family Register'!G24*'Family Register'!I24*G220</x:f>
        <x:v>4.35</x:v>
      </x:c>
      <x:c r="I220" s="37" t="n">
        <x:f>J219</x:f>
        <x:v>3.77</x:v>
      </x:c>
      <x:c r="J220" s="37" t="n">
        <x:f>MIN(F220,H220,I220)</x:f>
        <x:v>3.77</x:v>
      </x:c>
      <x:c r="K220" s="22" t="n">
        <x:v>0</x:v>
      </x:c>
      <x:c r="L220" s="22" t="n">
        <x:v>0</x:v>
      </x:c>
      <x:c r="M220" s="37" t="n">
        <x:f>K220*L220</x:f>
        <x:v>0</x:v>
      </x:c>
      <x:c r="N220" s="22" t="n">
        <x:v>0</x:v>
      </x:c>
      <x:c r="O220" s="37" t="n">
        <x:f>'Family Register'!H24*0.94</x:f>
        <x:v>676.8</x:v>
      </x:c>
      <x:c r="P220" s="37" t="n">
        <x:f>IF(AND(N220&gt;0,N220&lt;=O220),1,0)</x:f>
        <x:v>0</x:v>
      </x:c>
      <x:c r="Q220" s="22" t="n">
        <x:v>0</x:v>
      </x:c>
      <x:c r="R220" s="37" t="n">
        <x:f>IF(AND(P220=1,Q220=1),MIN(F220,M220,R219),0)</x:f>
        <x:v>0</x:v>
      </x:c>
      <x:c r="S220" s="23" t="str">
        <x:f>IF(R220&gt;=F220,"ADMITTED","NOT ADMITTED")</x:f>
        <x:v>NOT ADMITTED</x:v>
      </x:c>
    </x:row>
    <x:row r="221">
      <x:c r="B221" s="21" t="str">
        <x:v>SL-0215</x:v>
      </x:c>
      <x:c r="C221" s="21" t="str">
        <x:v>F18</x:v>
      </x:c>
      <x:c r="D221" s="21" t="n">
        <x:v>11</x:v>
      </x:c>
      <x:c r="E221" s="21" t="str">
        <x:v>Commissioned public service</x:v>
      </x:c>
      <x:c r="F221" s="37" t="n">
        <x:f>'Family Register'!L24</x:f>
        <x:v>4</x:v>
      </x:c>
      <x:c r="G221" s="37" t="n">
        <x:f>MIN(INDEX(Scenarios!$G$7:$G$12,Assumptions!C7),INDEX(Scenarios!$I$7:$I$12,Assumptions!C7))</x:f>
        <x:v>0.7</x:v>
      </x:c>
      <x:c r="H221" s="37" t="n">
        <x:f>'Family Register'!G24*'Family Register'!I24*G221</x:f>
        <x:v>4.06</x:v>
      </x:c>
      <x:c r="I221" s="37" t="n">
        <x:f>J220</x:f>
        <x:v>3.77</x:v>
      </x:c>
      <x:c r="J221" s="37" t="n">
        <x:f>MIN(F221,H221,I221)</x:f>
        <x:v>3.77</x:v>
      </x:c>
      <x:c r="K221" s="22" t="n">
        <x:v>0</x:v>
      </x:c>
      <x:c r="L221" s="22" t="n">
        <x:v>0</x:v>
      </x:c>
      <x:c r="M221" s="37" t="n">
        <x:f>K221*L221</x:f>
        <x:v>0</x:v>
      </x:c>
      <x:c r="N221" s="22" t="n">
        <x:v>0</x:v>
      </x:c>
      <x:c r="O221" s="37" t="n">
        <x:f>'Family Register'!H24*1</x:f>
        <x:v>720</x:v>
      </x:c>
      <x:c r="P221" s="37" t="n">
        <x:f>IF(AND(N221&gt;0,N221&lt;=O221),1,0)</x:f>
        <x:v>0</x:v>
      </x:c>
      <x:c r="Q221" s="22" t="n">
        <x:v>0</x:v>
      </x:c>
      <x:c r="R221" s="37" t="n">
        <x:f>IF(AND(P221=1,Q221=1),MIN(F221,M221,R220),0)</x:f>
        <x:v>0</x:v>
      </x:c>
      <x:c r="S221" s="23" t="str">
        <x:f>IF(R221&gt;=F221,"ADMITTED","NOT ADMITTED")</x:f>
        <x:v>NOT ADMITTED</x:v>
      </x:c>
    </x:row>
    <x:row r="222">
      <x:c r="B222" s="21" t="str">
        <x:v>SL-0216</x:v>
      </x:c>
      <x:c r="C222" s="21" t="str">
        <x:v>F18</x:v>
      </x:c>
      <x:c r="D222" s="21" t="n">
        <x:v>12</x:v>
      </x:c>
      <x:c r="E222" s="21" t="str">
        <x:v>Regeneration and replacement</x:v>
      </x:c>
      <x:c r="F222" s="37" t="n">
        <x:f>'Family Register'!L24</x:f>
        <x:v>4</x:v>
      </x:c>
      <x:c r="G222" s="37" t="n">
        <x:f>MIN(INDEX(Scenarios!$E$7:$E$12,Assumptions!C7),INDEX(Scenarios!$F$7:$F$12,Assumptions!C7))</x:f>
        <x:v>0.7</x:v>
      </x:c>
      <x:c r="H222" s="37" t="n">
        <x:f>'Family Register'!G24*'Family Register'!I24*G222</x:f>
        <x:v>4.06</x:v>
      </x:c>
      <x:c r="I222" s="37" t="n">
        <x:f>J221</x:f>
        <x:v>3.77</x:v>
      </x:c>
      <x:c r="J222" s="37" t="n">
        <x:f>MIN(F222,H222,I222)</x:f>
        <x:v>3.77</x:v>
      </x:c>
      <x:c r="K222" s="22" t="n">
        <x:v>0</x:v>
      </x:c>
      <x:c r="L222" s="22" t="n">
        <x:v>0</x:v>
      </x:c>
      <x:c r="M222" s="37" t="n">
        <x:f>K222*L222</x:f>
        <x:v>0</x:v>
      </x:c>
      <x:c r="N222" s="22" t="n">
        <x:v>0</x:v>
      </x:c>
      <x:c r="O222" s="37" t="n">
        <x:f>'Family Register'!H24+168</x:f>
        <x:v>888</x:v>
      </x:c>
      <x:c r="P222" s="37" t="n">
        <x:f>IF(AND(N222&gt;0,N222&lt;=O222),1,0)</x:f>
        <x:v>0</x:v>
      </x:c>
      <x:c r="Q222" s="22" t="n">
        <x:v>0</x:v>
      </x:c>
      <x:c r="R222" s="37" t="n">
        <x:f>IF(AND(P222=1,Q222=1),MIN(F222,M222,R221),0)</x:f>
        <x:v>0</x:v>
      </x:c>
      <x:c r="S222" s="23" t="str">
        <x:f>IF(R222&gt;=F222,"ADMITTED","NOT ADMITTED")</x:f>
        <x:v>NOT ADMITTED</x:v>
      </x:c>
    </x:row>
    <x:row r="223">
      <x:c r="B223" s="21" t="str">
        <x:v>SL-0217</x:v>
      </x:c>
      <x:c r="C223" s="21" t="str">
        <x:v>F19</x:v>
      </x:c>
      <x:c r="D223" s="21" t="n">
        <x:v>1</x:v>
      </x:c>
      <x:c r="E223" s="21" t="str">
        <x:v>Alert authentication</x:v>
      </x:c>
      <x:c r="F223" s="37" t="n">
        <x:f>'Family Register'!L25</x:f>
        <x:v>4</x:v>
      </x:c>
      <x:c r="G223" s="37" t="n">
        <x:f>INDEX(Scenarios!$K$7:$K$12,Assumptions!C7)</x:f>
        <x:v>0.75</x:v>
      </x:c>
      <x:c r="H223" s="37" t="n">
        <x:f>'Family Register'!G25*'Family Register'!I25*G223</x:f>
        <x:v>4.800000000000001</x:v>
      </x:c>
      <x:c r="I223" s="37" t="n">
        <x:f>F223</x:f>
        <x:v>4</x:v>
      </x:c>
      <x:c r="J223" s="37" t="n">
        <x:f>MIN(F223,H223,I223)</x:f>
        <x:v>4</x:v>
      </x:c>
      <x:c r="K223" s="22" t="n">
        <x:v>0</x:v>
      </x:c>
      <x:c r="L223" s="22" t="n">
        <x:v>0</x:v>
      </x:c>
      <x:c r="M223" s="37" t="n">
        <x:f>K223*L223</x:f>
        <x:v>0</x:v>
      </x:c>
      <x:c r="N223" s="22" t="n">
        <x:v>0</x:v>
      </x:c>
      <x:c r="O223" s="37" t="n">
        <x:f>2</x:f>
        <x:v>2</x:v>
      </x:c>
      <x:c r="P223" s="37" t="n">
        <x:f>IF(AND(N223&gt;0,N223&lt;=O223),1,0)</x:f>
        <x:v>0</x:v>
      </x:c>
      <x:c r="Q223" s="22" t="n">
        <x:v>0</x:v>
      </x:c>
      <x:c r="R223" s="37" t="n">
        <x:f>IF(AND(P223=1,Q223=1),MIN(F223,M223),0)</x:f>
        <x:v>0</x:v>
      </x:c>
      <x:c r="S223" s="23" t="str">
        <x:f>IF(R223&gt;=F223,"ADMITTED","NOT ADMITTED")</x:f>
        <x:v>NOT ADMITTED</x:v>
      </x:c>
    </x:row>
    <x:row r="224">
      <x:c r="B224" s="21" t="str">
        <x:v>SL-0218</x:v>
      </x:c>
      <x:c r="C224" s="21" t="str">
        <x:v>F19</x:v>
      </x:c>
      <x:c r="D224" s="21" t="n">
        <x:v>2</x:v>
      </x:c>
      <x:c r="E224" s="21" t="str">
        <x:v>Workforce muster</x:v>
      </x:c>
      <x:c r="F224" s="37" t="n">
        <x:f>'Family Register'!L25</x:f>
        <x:v>4</x:v>
      </x:c>
      <x:c r="G224" s="37" t="n">
        <x:f>INDEX(Scenarios!$J$7:$J$12,Assumptions!C7)</x:f>
        <x:v>0.8</x:v>
      </x:c>
      <x:c r="H224" s="37" t="n">
        <x:f>'Family Register'!G25*'Family Register'!I25*G224</x:f>
        <x:v>5.120000000000001</x:v>
      </x:c>
      <x:c r="I224" s="37" t="n">
        <x:f>J223</x:f>
        <x:v>4</x:v>
      </x:c>
      <x:c r="J224" s="37" t="n">
        <x:f>MIN(F224,H224,I224)</x:f>
        <x:v>4</x:v>
      </x:c>
      <x:c r="K224" s="22" t="n">
        <x:v>0</x:v>
      </x:c>
      <x:c r="L224" s="22" t="n">
        <x:v>0</x:v>
      </x:c>
      <x:c r="M224" s="37" t="n">
        <x:f>K224*L224</x:f>
        <x:v>0</x:v>
      </x:c>
      <x:c r="N224" s="22" t="n">
        <x:v>0</x:v>
      </x:c>
      <x:c r="O224" s="37" t="n">
        <x:f>12</x:f>
        <x:v>12</x:v>
      </x:c>
      <x:c r="P224" s="37" t="n">
        <x:f>IF(AND(N224&gt;0,N224&lt;=O224),1,0)</x:f>
        <x:v>0</x:v>
      </x:c>
      <x:c r="Q224" s="22" t="n">
        <x:v>0</x:v>
      </x:c>
      <x:c r="R224" s="37" t="n">
        <x:f>IF(AND(P224=1,Q224=1),MIN(F224,M224,R223),0)</x:f>
        <x:v>0</x:v>
      </x:c>
      <x:c r="S224" s="23" t="str">
        <x:f>IF(R224&gt;=F224,"ADMITTED","NOT ADMITTED")</x:f>
        <x:v>NOT ADMITTED</x:v>
      </x:c>
    </x:row>
    <x:row r="225">
      <x:c r="B225" s="21" t="str">
        <x:v>SL-0219</x:v>
      </x:c>
      <x:c r="C225" s="21" t="str">
        <x:v>F19</x:v>
      </x:c>
      <x:c r="D225" s="21" t="n">
        <x:v>3</x:v>
      </x:c>
      <x:c r="E225" s="21" t="str">
        <x:v>Facility utility and safe start</x:v>
      </x:c>
      <x:c r="F225" s="37" t="n">
        <x:f>'Family Register'!L25</x:f>
        <x:v>4</x:v>
      </x:c>
      <x:c r="G225" s="37" t="n">
        <x:f>INDEX(Scenarios!$G$7:$G$12,Assumptions!C7)</x:f>
        <x:v>0.7</x:v>
      </x:c>
      <x:c r="H225" s="37" t="n">
        <x:f>'Family Register'!G25*'Family Register'!I25*G225</x:f>
        <x:v>4.4799999999999995</x:v>
      </x:c>
      <x:c r="I225" s="37" t="n">
        <x:f>J224</x:f>
        <x:v>4</x:v>
      </x:c>
      <x:c r="J225" s="37" t="n">
        <x:f>MIN(F225,H225,I225)</x:f>
        <x:v>4</x:v>
      </x:c>
      <x:c r="K225" s="22" t="n">
        <x:v>0</x:v>
      </x:c>
      <x:c r="L225" s="22" t="n">
        <x:v>0</x:v>
      </x:c>
      <x:c r="M225" s="37" t="n">
        <x:f>K225*L225</x:f>
        <x:v>0</x:v>
      </x:c>
      <x:c r="N225" s="22" t="n">
        <x:v>0</x:v>
      </x:c>
      <x:c r="O225" s="37" t="n">
        <x:f>24</x:f>
        <x:v>24</x:v>
      </x:c>
      <x:c r="P225" s="37" t="n">
        <x:f>IF(AND(N225&gt;0,N225&lt;=O225),1,0)</x:f>
        <x:v>0</x:v>
      </x:c>
      <x:c r="Q225" s="22" t="n">
        <x:v>0</x:v>
      </x:c>
      <x:c r="R225" s="37" t="n">
        <x:f>IF(AND(P225=1,Q225=1),MIN(F225,M225,R224),0)</x:f>
        <x:v>0</x:v>
      </x:c>
      <x:c r="S225" s="23" t="str">
        <x:f>IF(R225&gt;=F225,"ADMITTED","NOT ADMITTED")</x:f>
        <x:v>NOT ADMITTED</x:v>
      </x:c>
    </x:row>
    <x:row r="226">
      <x:c r="B226" s="21" t="str">
        <x:v>SL-0220</x:v>
      </x:c>
      <x:c r="C226" s="21" t="str">
        <x:v>F19</x:v>
      </x:c>
      <x:c r="D226" s="21" t="n">
        <x:v>4</x:v>
      </x:c>
      <x:c r="E226" s="21" t="str">
        <x:v>Material tooling and instrument release</x:v>
      </x:c>
      <x:c r="F226" s="37" t="n">
        <x:f>'Family Register'!L25</x:f>
        <x:v>4</x:v>
      </x:c>
      <x:c r="G226" s="37" t="n">
        <x:f>INDEX(Scenarios!$E$7:$E$12,Assumptions!C7)</x:f>
        <x:v>0.75</x:v>
      </x:c>
      <x:c r="H226" s="37" t="n">
        <x:f>'Family Register'!G25*'Family Register'!I25*G226</x:f>
        <x:v>4.800000000000001</x:v>
      </x:c>
      <x:c r="I226" s="37" t="n">
        <x:f>J225</x:f>
        <x:v>4</x:v>
      </x:c>
      <x:c r="J226" s="37" t="n">
        <x:f>MIN(F226,H226,I226)</x:f>
        <x:v>4</x:v>
      </x:c>
      <x:c r="K226" s="22" t="n">
        <x:v>0</x:v>
      </x:c>
      <x:c r="L226" s="22" t="n">
        <x:v>0</x:v>
      </x:c>
      <x:c r="M226" s="37" t="n">
        <x:f>K226*L226</x:f>
        <x:v>0</x:v>
      </x:c>
      <x:c r="N226" s="22" t="n">
        <x:v>0</x:v>
      </x:c>
      <x:c r="O226" s="37" t="n">
        <x:f>36</x:f>
        <x:v>36</x:v>
      </x:c>
      <x:c r="P226" s="37" t="n">
        <x:f>IF(AND(N226&gt;0,N226&lt;=O226),1,0)</x:f>
        <x:v>0</x:v>
      </x:c>
      <x:c r="Q226" s="22" t="n">
        <x:v>0</x:v>
      </x:c>
      <x:c r="R226" s="37" t="n">
        <x:f>IF(AND(P226=1,Q226=1),MIN(F226,M226,R225),0)</x:f>
        <x:v>0</x:v>
      </x:c>
      <x:c r="S226" s="23" t="str">
        <x:f>IF(R226&gt;=F226,"ADMITTED","NOT ADMITTED")</x:f>
        <x:v>NOT ADMITTED</x:v>
      </x:c>
    </x:row>
    <x:row r="227">
      <x:c r="B227" s="21" t="str">
        <x:v>SL-0221</x:v>
      </x:c>
      <x:c r="C227" s="21" t="str">
        <x:v>F19</x:v>
      </x:c>
      <x:c r="D227" s="21" t="n">
        <x:v>5</x:v>
      </x:c>
      <x:c r="E227" s="21" t="str">
        <x:v>Supplier and process activation</x:v>
      </x:c>
      <x:c r="F227" s="37" t="n">
        <x:f>'Family Register'!L25</x:f>
        <x:v>4</x:v>
      </x:c>
      <x:c r="G227" s="37" t="n">
        <x:f>MIN(INDEX(Scenarios!$E$7:$E$12,Assumptions!C7),INDEX(Scenarios!$F$7:$F$12,Assumptions!C7))</x:f>
        <x:v>0.7</x:v>
      </x:c>
      <x:c r="H227" s="37" t="n">
        <x:f>'Family Register'!G25*'Family Register'!I25*G227</x:f>
        <x:v>4.4799999999999995</x:v>
      </x:c>
      <x:c r="I227" s="37" t="n">
        <x:f>J226</x:f>
        <x:v>4</x:v>
      </x:c>
      <x:c r="J227" s="37" t="n">
        <x:f>MIN(F227,H227,I227)</x:f>
        <x:v>4</x:v>
      </x:c>
      <x:c r="K227" s="22" t="n">
        <x:v>0</x:v>
      </x:c>
      <x:c r="L227" s="22" t="n">
        <x:v>0</x:v>
      </x:c>
      <x:c r="M227" s="37" t="n">
        <x:f>K227*L227</x:f>
        <x:v>0</x:v>
      </x:c>
      <x:c r="N227" s="22" t="n">
        <x:v>0</x:v>
      </x:c>
      <x:c r="O227" s="37" t="n">
        <x:f>48</x:f>
        <x:v>48</x:v>
      </x:c>
      <x:c r="P227" s="37" t="n">
        <x:f>IF(AND(N227&gt;0,N227&lt;=O227),1,0)</x:f>
        <x:v>0</x:v>
      </x:c>
      <x:c r="Q227" s="22" t="n">
        <x:v>0</x:v>
      </x:c>
      <x:c r="R227" s="37" t="n">
        <x:f>IF(AND(P227=1,Q227=1),MIN(F227,M227,R226),0)</x:f>
        <x:v>0</x:v>
      </x:c>
      <x:c r="S227" s="23" t="str">
        <x:f>IF(R227&gt;=F227,"ADMITTED","NOT ADMITTED")</x:f>
        <x:v>NOT ADMITTED</x:v>
      </x:c>
    </x:row>
    <x:row r="228">
      <x:c r="B228" s="21" t="str">
        <x:v>SL-0222</x:v>
      </x:c>
      <x:c r="C228" s="21" t="str">
        <x:v>F19</x:v>
      </x:c>
      <x:c r="D228" s="21" t="n">
        <x:v>6</x:v>
      </x:c>
      <x:c r="E228" s="21" t="str">
        <x:v>Conforming production</x:v>
      </x:c>
      <x:c r="F228" s="37" t="n">
        <x:f>'Family Register'!L25</x:f>
        <x:v>4</x:v>
      </x:c>
      <x:c r="G228" s="37" t="n">
        <x:f>INDEX(Scenarios!$F$7:$F$12,Assumptions!C7)</x:f>
        <x:v>0.7</x:v>
      </x:c>
      <x:c r="H228" s="37" t="n">
        <x:f>'Family Register'!G25*'Family Register'!I25*G228</x:f>
        <x:v>4.4799999999999995</x:v>
      </x:c>
      <x:c r="I228" s="37" t="n">
        <x:f>J227</x:f>
        <x:v>4</x:v>
      </x:c>
      <x:c r="J228" s="37" t="n">
        <x:f>MIN(F228,H228,I228)</x:f>
        <x:v>4</x:v>
      </x:c>
      <x:c r="K228" s="22" t="n">
        <x:v>0</x:v>
      </x:c>
      <x:c r="L228" s="22" t="n">
        <x:v>0</x:v>
      </x:c>
      <x:c r="M228" s="37" t="n">
        <x:f>K228*L228</x:f>
        <x:v>0</x:v>
      </x:c>
      <x:c r="N228" s="22" t="n">
        <x:v>0</x:v>
      </x:c>
      <x:c r="O228" s="37" t="n">
        <x:f>'Family Register'!H25*0.55</x:f>
        <x:v>184.8</x:v>
      </x:c>
      <x:c r="P228" s="37" t="n">
        <x:f>IF(AND(N228&gt;0,N228&lt;=O228),1,0)</x:f>
        <x:v>0</x:v>
      </x:c>
      <x:c r="Q228" s="22" t="n">
        <x:v>0</x:v>
      </x:c>
      <x:c r="R228" s="37" t="n">
        <x:f>IF(AND(P228=1,Q228=1),MIN(F228,M228,R227),0)</x:f>
        <x:v>0</x:v>
      </x:c>
      <x:c r="S228" s="23" t="str">
        <x:f>IF(R228&gt;=F228,"ADMITTED","NOT ADMITTED")</x:f>
        <x:v>NOT ADMITTED</x:v>
      </x:c>
    </x:row>
    <x:row r="229">
      <x:c r="B229" s="21" t="str">
        <x:v>SL-0223</x:v>
      </x:c>
      <x:c r="C229" s="21" t="str">
        <x:v>F19</x:v>
      </x:c>
      <x:c r="D229" s="21" t="n">
        <x:v>7</x:v>
      </x:c>
      <x:c r="E229" s="21" t="str">
        <x:v>Independent acceptance</x:v>
      </x:c>
      <x:c r="F229" s="37" t="n">
        <x:f>'Family Register'!L25</x:f>
        <x:v>4</x:v>
      </x:c>
      <x:c r="G229" s="37" t="n">
        <x:f>INDEX(Scenarios!$L$7:$L$12,Assumptions!C7)</x:f>
        <x:v>0.8</x:v>
      </x:c>
      <x:c r="H229" s="37" t="n">
        <x:f>'Family Register'!G25*'Family Register'!I25*G229</x:f>
        <x:v>5.120000000000001</x:v>
      </x:c>
      <x:c r="I229" s="37" t="n">
        <x:f>J228</x:f>
        <x:v>4</x:v>
      </x:c>
      <x:c r="J229" s="37" t="n">
        <x:f>MIN(F229,H229,I229)</x:f>
        <x:v>4</x:v>
      </x:c>
      <x:c r="K229" s="22" t="n">
        <x:v>0</x:v>
      </x:c>
      <x:c r="L229" s="22" t="n">
        <x:v>0</x:v>
      </x:c>
      <x:c r="M229" s="37" t="n">
        <x:f>K229*L229</x:f>
        <x:v>0</x:v>
      </x:c>
      <x:c r="N229" s="22" t="n">
        <x:v>0</x:v>
      </x:c>
      <x:c r="O229" s="37" t="n">
        <x:f>'Family Register'!H25*0.65</x:f>
        <x:v>218.4</x:v>
      </x:c>
      <x:c r="P229" s="37" t="n">
        <x:f>IF(AND(N229&gt;0,N229&lt;=O229),1,0)</x:f>
        <x:v>0</x:v>
      </x:c>
      <x:c r="Q229" s="22" t="n">
        <x:v>0</x:v>
      </x:c>
      <x:c r="R229" s="37" t="n">
        <x:f>IF(AND(P229=1,Q229=1),MIN(F229,M229,R228),0)</x:f>
        <x:v>0</x:v>
      </x:c>
      <x:c r="S229" s="23" t="str">
        <x:f>IF(R229&gt;=F229,"ADMITTED","NOT ADMITTED")</x:f>
        <x:v>NOT ADMITTED</x:v>
      </x:c>
    </x:row>
    <x:row r="230">
      <x:c r="B230" s="21" t="str">
        <x:v>SL-0224</x:v>
      </x:c>
      <x:c r="C230" s="21" t="str">
        <x:v>F19</x:v>
      </x:c>
      <x:c r="D230" s="21" t="n">
        <x:v>8</x:v>
      </x:c>
      <x:c r="E230" s="21" t="str">
        <x:v>Loadout and custody transfer</x:v>
      </x:c>
      <x:c r="F230" s="37" t="n">
        <x:f>'Family Register'!L25</x:f>
        <x:v>4</x:v>
      </x:c>
      <x:c r="G230" s="37" t="n">
        <x:f>INDEX(Scenarios!$H$7:$H$12,Assumptions!C7)</x:f>
        <x:v>0.65</x:v>
      </x:c>
      <x:c r="H230" s="37" t="n">
        <x:f>'Family Register'!G25*'Family Register'!I25*G230</x:f>
        <x:v>4.16</x:v>
      </x:c>
      <x:c r="I230" s="37" t="n">
        <x:f>J229</x:f>
        <x:v>4</x:v>
      </x:c>
      <x:c r="J230" s="37" t="n">
        <x:f>MIN(F230,H230,I230)</x:f>
        <x:v>4</x:v>
      </x:c>
      <x:c r="K230" s="22" t="n">
        <x:v>0</x:v>
      </x:c>
      <x:c r="L230" s="22" t="n">
        <x:v>0</x:v>
      </x:c>
      <x:c r="M230" s="37" t="n">
        <x:f>K230*L230</x:f>
        <x:v>0</x:v>
      </x:c>
      <x:c r="N230" s="22" t="n">
        <x:v>0</x:v>
      </x:c>
      <x:c r="O230" s="37" t="n">
        <x:f>'Family Register'!H25*0.7</x:f>
        <x:v>235.2</x:v>
      </x:c>
      <x:c r="P230" s="37" t="n">
        <x:f>IF(AND(N230&gt;0,N230&lt;=O230),1,0)</x:f>
        <x:v>0</x:v>
      </x:c>
      <x:c r="Q230" s="22" t="n">
        <x:v>0</x:v>
      </x:c>
      <x:c r="R230" s="37" t="n">
        <x:f>IF(AND(P230=1,Q230=1),MIN(F230,M230,R229),0)</x:f>
        <x:v>0</x:v>
      </x:c>
      <x:c r="S230" s="23" t="str">
        <x:f>IF(R230&gt;=F230,"ADMITTED","NOT ADMITTED")</x:f>
        <x:v>NOT ADMITTED</x:v>
      </x:c>
    </x:row>
    <x:row r="231">
      <x:c r="B231" s="21" t="str">
        <x:v>SL-0225</x:v>
      </x:c>
      <x:c r="C231" s="21" t="str">
        <x:v>F19</x:v>
      </x:c>
      <x:c r="D231" s="21" t="n">
        <x:v>9</x:v>
      </x:c>
      <x:c r="E231" s="21" t="str">
        <x:v>Strategic transport</x:v>
      </x:c>
      <x:c r="F231" s="37" t="n">
        <x:f>'Family Register'!L25</x:f>
        <x:v>4</x:v>
      </x:c>
      <x:c r="G231" s="37" t="n">
        <x:f>INDEX(Scenarios!$H$7:$H$12,Assumptions!C7)</x:f>
        <x:v>0.65</x:v>
      </x:c>
      <x:c r="H231" s="37" t="n">
        <x:f>'Family Register'!G25*'Family Register'!I25*G231</x:f>
        <x:v>4.16</x:v>
      </x:c>
      <x:c r="I231" s="37" t="n">
        <x:f>J230</x:f>
        <x:v>4</x:v>
      </x:c>
      <x:c r="J231" s="37" t="n">
        <x:f>MIN(F231,H231,I231)</x:f>
        <x:v>4</x:v>
      </x:c>
      <x:c r="K231" s="22" t="n">
        <x:v>0</x:v>
      </x:c>
      <x:c r="L231" s="22" t="n">
        <x:v>0</x:v>
      </x:c>
      <x:c r="M231" s="37" t="n">
        <x:f>K231*L231</x:f>
        <x:v>0</x:v>
      </x:c>
      <x:c r="N231" s="22" t="n">
        <x:v>0</x:v>
      </x:c>
      <x:c r="O231" s="37" t="n">
        <x:f>'Family Register'!H25*0.9</x:f>
        <x:v>302.40000000000003</x:v>
      </x:c>
      <x:c r="P231" s="37" t="n">
        <x:f>IF(AND(N231&gt;0,N231&lt;=O231),1,0)</x:f>
        <x:v>0</x:v>
      </x:c>
      <x:c r="Q231" s="22" t="n">
        <x:v>0</x:v>
      </x:c>
      <x:c r="R231" s="37" t="n">
        <x:f>IF(AND(P231=1,Q231=1),MIN(F231,M231,R230),0)</x:f>
        <x:v>0</x:v>
      </x:c>
      <x:c r="S231" s="23" t="str">
        <x:f>IF(R231&gt;=F231,"ADMITTED","NOT ADMITTED")</x:f>
        <x:v>NOT ADMITTED</x:v>
      </x:c>
    </x:row>
    <x:row r="232">
      <x:c r="B232" s="21" t="str">
        <x:v>SL-0226</x:v>
      </x:c>
      <x:c r="C232" s="21" t="str">
        <x:v>F19</x:v>
      </x:c>
      <x:c r="D232" s="21" t="n">
        <x:v>10</x:v>
      </x:c>
      <x:c r="E232" s="21" t="str">
        <x:v>Receiving-node admission</x:v>
      </x:c>
      <x:c r="F232" s="37" t="n">
        <x:f>'Family Register'!L25</x:f>
        <x:v>4</x:v>
      </x:c>
      <x:c r="G232" s="37" t="n">
        <x:f>INDEX(Scenarios!$I$7:$I$12,Assumptions!C7)</x:f>
        <x:v>0.75</x:v>
      </x:c>
      <x:c r="H232" s="37" t="n">
        <x:f>'Family Register'!G25*'Family Register'!I25*G232</x:f>
        <x:v>4.800000000000001</x:v>
      </x:c>
      <x:c r="I232" s="37" t="n">
        <x:f>J231</x:f>
        <x:v>4</x:v>
      </x:c>
      <x:c r="J232" s="37" t="n">
        <x:f>MIN(F232,H232,I232)</x:f>
        <x:v>4</x:v>
      </x:c>
      <x:c r="K232" s="22" t="n">
        <x:v>0</x:v>
      </x:c>
      <x:c r="L232" s="22" t="n">
        <x:v>0</x:v>
      </x:c>
      <x:c r="M232" s="37" t="n">
        <x:f>K232*L232</x:f>
        <x:v>0</x:v>
      </x:c>
      <x:c r="N232" s="22" t="n">
        <x:v>0</x:v>
      </x:c>
      <x:c r="O232" s="37" t="n">
        <x:f>'Family Register'!H25*0.94</x:f>
        <x:v>315.84</x:v>
      </x:c>
      <x:c r="P232" s="37" t="n">
        <x:f>IF(AND(N232&gt;0,N232&lt;=O232),1,0)</x:f>
        <x:v>0</x:v>
      </x:c>
      <x:c r="Q232" s="22" t="n">
        <x:v>0</x:v>
      </x:c>
      <x:c r="R232" s="37" t="n">
        <x:f>IF(AND(P232=1,Q232=1),MIN(F232,M232,R231),0)</x:f>
        <x:v>0</x:v>
      </x:c>
      <x:c r="S232" s="23" t="str">
        <x:f>IF(R232&gt;=F232,"ADMITTED","NOT ADMITTED")</x:f>
        <x:v>NOT ADMITTED</x:v>
      </x:c>
    </x:row>
    <x:row r="233">
      <x:c r="B233" s="21" t="str">
        <x:v>SL-0227</x:v>
      </x:c>
      <x:c r="C233" s="21" t="str">
        <x:v>F19</x:v>
      </x:c>
      <x:c r="D233" s="21" t="n">
        <x:v>11</x:v>
      </x:c>
      <x:c r="E233" s="21" t="str">
        <x:v>Commissioned public service</x:v>
      </x:c>
      <x:c r="F233" s="37" t="n">
        <x:f>'Family Register'!L25</x:f>
        <x:v>4</x:v>
      </x:c>
      <x:c r="G233" s="37" t="n">
        <x:f>MIN(INDEX(Scenarios!$G$7:$G$12,Assumptions!C7),INDEX(Scenarios!$I$7:$I$12,Assumptions!C7))</x:f>
        <x:v>0.7</x:v>
      </x:c>
      <x:c r="H233" s="37" t="n">
        <x:f>'Family Register'!G25*'Family Register'!I25*G233</x:f>
        <x:v>4.4799999999999995</x:v>
      </x:c>
      <x:c r="I233" s="37" t="n">
        <x:f>J232</x:f>
        <x:v>4</x:v>
      </x:c>
      <x:c r="J233" s="37" t="n">
        <x:f>MIN(F233,H233,I233)</x:f>
        <x:v>4</x:v>
      </x:c>
      <x:c r="K233" s="22" t="n">
        <x:v>0</x:v>
      </x:c>
      <x:c r="L233" s="22" t="n">
        <x:v>0</x:v>
      </x:c>
      <x:c r="M233" s="37" t="n">
        <x:f>K233*L233</x:f>
        <x:v>0</x:v>
      </x:c>
      <x:c r="N233" s="22" t="n">
        <x:v>0</x:v>
      </x:c>
      <x:c r="O233" s="37" t="n">
        <x:f>'Family Register'!H25*1</x:f>
        <x:v>336</x:v>
      </x:c>
      <x:c r="P233" s="37" t="n">
        <x:f>IF(AND(N233&gt;0,N233&lt;=O233),1,0)</x:f>
        <x:v>0</x:v>
      </x:c>
      <x:c r="Q233" s="22" t="n">
        <x:v>0</x:v>
      </x:c>
      <x:c r="R233" s="37" t="n">
        <x:f>IF(AND(P233=1,Q233=1),MIN(F233,M233,R232),0)</x:f>
        <x:v>0</x:v>
      </x:c>
      <x:c r="S233" s="23" t="str">
        <x:f>IF(R233&gt;=F233,"ADMITTED","NOT ADMITTED")</x:f>
        <x:v>NOT ADMITTED</x:v>
      </x:c>
    </x:row>
    <x:row r="234">
      <x:c r="B234" s="21" t="str">
        <x:v>SL-0228</x:v>
      </x:c>
      <x:c r="C234" s="21" t="str">
        <x:v>F19</x:v>
      </x:c>
      <x:c r="D234" s="21" t="n">
        <x:v>12</x:v>
      </x:c>
      <x:c r="E234" s="21" t="str">
        <x:v>Regeneration and replacement</x:v>
      </x:c>
      <x:c r="F234" s="37" t="n">
        <x:f>'Family Register'!L25</x:f>
        <x:v>4</x:v>
      </x:c>
      <x:c r="G234" s="37" t="n">
        <x:f>MIN(INDEX(Scenarios!$E$7:$E$12,Assumptions!C7),INDEX(Scenarios!$F$7:$F$12,Assumptions!C7))</x:f>
        <x:v>0.7</x:v>
      </x:c>
      <x:c r="H234" s="37" t="n">
        <x:f>'Family Register'!G25*'Family Register'!I25*G234</x:f>
        <x:v>4.4799999999999995</x:v>
      </x:c>
      <x:c r="I234" s="37" t="n">
        <x:f>J233</x:f>
        <x:v>4</x:v>
      </x:c>
      <x:c r="J234" s="37" t="n">
        <x:f>MIN(F234,H234,I234)</x:f>
        <x:v>4</x:v>
      </x:c>
      <x:c r="K234" s="22" t="n">
        <x:v>0</x:v>
      </x:c>
      <x:c r="L234" s="22" t="n">
        <x:v>0</x:v>
      </x:c>
      <x:c r="M234" s="37" t="n">
        <x:f>K234*L234</x:f>
        <x:v>0</x:v>
      </x:c>
      <x:c r="N234" s="22" t="n">
        <x:v>0</x:v>
      </x:c>
      <x:c r="O234" s="37" t="n">
        <x:f>'Family Register'!H25+168</x:f>
        <x:v>504</x:v>
      </x:c>
      <x:c r="P234" s="37" t="n">
        <x:f>IF(AND(N234&gt;0,N234&lt;=O234),1,0)</x:f>
        <x:v>0</x:v>
      </x:c>
      <x:c r="Q234" s="22" t="n">
        <x:v>0</x:v>
      </x:c>
      <x:c r="R234" s="37" t="n">
        <x:f>IF(AND(P234=1,Q234=1),MIN(F234,M234,R233),0)</x:f>
        <x:v>0</x:v>
      </x:c>
      <x:c r="S234" s="23" t="str">
        <x:f>IF(R234&gt;=F234,"ADMITTED","NOT ADMITTED")</x:f>
        <x:v>NOT ADMITTED</x:v>
      </x:c>
    </x:row>
    <x:row r="235">
      <x:c r="B235" s="21" t="str">
        <x:v>SL-0229</x:v>
      </x:c>
      <x:c r="C235" s="21" t="str">
        <x:v>F20</x:v>
      </x:c>
      <x:c r="D235" s="21" t="n">
        <x:v>1</x:v>
      </x:c>
      <x:c r="E235" s="21" t="str">
        <x:v>Alert authentication</x:v>
      </x:c>
      <x:c r="F235" s="37" t="n">
        <x:f>'Family Register'!L26</x:f>
        <x:v>8</x:v>
      </x:c>
      <x:c r="G235" s="37" t="n">
        <x:f>INDEX(Scenarios!$K$7:$K$12,Assumptions!C7)</x:f>
        <x:v>0.75</x:v>
      </x:c>
      <x:c r="H235" s="37" t="n">
        <x:f>'Family Register'!G26*'Family Register'!I26*G235</x:f>
        <x:v>7.800000000000001</x:v>
      </x:c>
      <x:c r="I235" s="37" t="n">
        <x:f>F235</x:f>
        <x:v>8</x:v>
      </x:c>
      <x:c r="J235" s="37" t="n">
        <x:f>MIN(F235,H235,I235)</x:f>
        <x:v>7.800000000000001</x:v>
      </x:c>
      <x:c r="K235" s="22" t="n">
        <x:v>0</x:v>
      </x:c>
      <x:c r="L235" s="22" t="n">
        <x:v>0</x:v>
      </x:c>
      <x:c r="M235" s="37" t="n">
        <x:f>K235*L235</x:f>
        <x:v>0</x:v>
      </x:c>
      <x:c r="N235" s="22" t="n">
        <x:v>0</x:v>
      </x:c>
      <x:c r="O235" s="37" t="n">
        <x:f>2</x:f>
        <x:v>2</x:v>
      </x:c>
      <x:c r="P235" s="37" t="n">
        <x:f>IF(AND(N235&gt;0,N235&lt;=O235),1,0)</x:f>
        <x:v>0</x:v>
      </x:c>
      <x:c r="Q235" s="22" t="n">
        <x:v>0</x:v>
      </x:c>
      <x:c r="R235" s="37" t="n">
        <x:f>IF(AND(P235=1,Q235=1),MIN(F235,M235),0)</x:f>
        <x:v>0</x:v>
      </x:c>
      <x:c r="S235" s="23" t="str">
        <x:f>IF(R235&gt;=F235,"ADMITTED","NOT ADMITTED")</x:f>
        <x:v>NOT ADMITTED</x:v>
      </x:c>
    </x:row>
    <x:row r="236">
      <x:c r="B236" s="21" t="str">
        <x:v>SL-0230</x:v>
      </x:c>
      <x:c r="C236" s="21" t="str">
        <x:v>F20</x:v>
      </x:c>
      <x:c r="D236" s="21" t="n">
        <x:v>2</x:v>
      </x:c>
      <x:c r="E236" s="21" t="str">
        <x:v>Workforce muster</x:v>
      </x:c>
      <x:c r="F236" s="37" t="n">
        <x:f>'Family Register'!L26</x:f>
        <x:v>8</x:v>
      </x:c>
      <x:c r="G236" s="37" t="n">
        <x:f>INDEX(Scenarios!$J$7:$J$12,Assumptions!C7)</x:f>
        <x:v>0.8</x:v>
      </x:c>
      <x:c r="H236" s="37" t="n">
        <x:f>'Family Register'!G26*'Family Register'!I26*G236</x:f>
        <x:v>8.32</x:v>
      </x:c>
      <x:c r="I236" s="37" t="n">
        <x:f>J235</x:f>
        <x:v>7.800000000000001</x:v>
      </x:c>
      <x:c r="J236" s="37" t="n">
        <x:f>MIN(F236,H236,I236)</x:f>
        <x:v>7.800000000000001</x:v>
      </x:c>
      <x:c r="K236" s="22" t="n">
        <x:v>0</x:v>
      </x:c>
      <x:c r="L236" s="22" t="n">
        <x:v>0</x:v>
      </x:c>
      <x:c r="M236" s="37" t="n">
        <x:f>K236*L236</x:f>
        <x:v>0</x:v>
      </x:c>
      <x:c r="N236" s="22" t="n">
        <x:v>0</x:v>
      </x:c>
      <x:c r="O236" s="37" t="n">
        <x:f>12</x:f>
        <x:v>12</x:v>
      </x:c>
      <x:c r="P236" s="37" t="n">
        <x:f>IF(AND(N236&gt;0,N236&lt;=O236),1,0)</x:f>
        <x:v>0</x:v>
      </x:c>
      <x:c r="Q236" s="22" t="n">
        <x:v>0</x:v>
      </x:c>
      <x:c r="R236" s="37" t="n">
        <x:f>IF(AND(P236=1,Q236=1),MIN(F236,M236,R235),0)</x:f>
        <x:v>0</x:v>
      </x:c>
      <x:c r="S236" s="23" t="str">
        <x:f>IF(R236&gt;=F236,"ADMITTED","NOT ADMITTED")</x:f>
        <x:v>NOT ADMITTED</x:v>
      </x:c>
    </x:row>
    <x:row r="237">
      <x:c r="B237" s="21" t="str">
        <x:v>SL-0231</x:v>
      </x:c>
      <x:c r="C237" s="21" t="str">
        <x:v>F20</x:v>
      </x:c>
      <x:c r="D237" s="21" t="n">
        <x:v>3</x:v>
      </x:c>
      <x:c r="E237" s="21" t="str">
        <x:v>Facility utility and safe start</x:v>
      </x:c>
      <x:c r="F237" s="37" t="n">
        <x:f>'Family Register'!L26</x:f>
        <x:v>8</x:v>
      </x:c>
      <x:c r="G237" s="37" t="n">
        <x:f>INDEX(Scenarios!$G$7:$G$12,Assumptions!C7)</x:f>
        <x:v>0.7</x:v>
      </x:c>
      <x:c r="H237" s="37" t="n">
        <x:f>'Family Register'!G26*'Family Register'!I26*G237</x:f>
        <x:v>7.279999999999999</x:v>
      </x:c>
      <x:c r="I237" s="37" t="n">
        <x:f>J236</x:f>
        <x:v>7.800000000000001</x:v>
      </x:c>
      <x:c r="J237" s="37" t="n">
        <x:f>MIN(F237,H237,I237)</x:f>
        <x:v>7.279999999999999</x:v>
      </x:c>
      <x:c r="K237" s="22" t="n">
        <x:v>0</x:v>
      </x:c>
      <x:c r="L237" s="22" t="n">
        <x:v>0</x:v>
      </x:c>
      <x:c r="M237" s="37" t="n">
        <x:f>K237*L237</x:f>
        <x:v>0</x:v>
      </x:c>
      <x:c r="N237" s="22" t="n">
        <x:v>0</x:v>
      </x:c>
      <x:c r="O237" s="37" t="n">
        <x:f>24</x:f>
        <x:v>24</x:v>
      </x:c>
      <x:c r="P237" s="37" t="n">
        <x:f>IF(AND(N237&gt;0,N237&lt;=O237),1,0)</x:f>
        <x:v>0</x:v>
      </x:c>
      <x:c r="Q237" s="22" t="n">
        <x:v>0</x:v>
      </x:c>
      <x:c r="R237" s="37" t="n">
        <x:f>IF(AND(P237=1,Q237=1),MIN(F237,M237,R236),0)</x:f>
        <x:v>0</x:v>
      </x:c>
      <x:c r="S237" s="23" t="str">
        <x:f>IF(R237&gt;=F237,"ADMITTED","NOT ADMITTED")</x:f>
        <x:v>NOT ADMITTED</x:v>
      </x:c>
    </x:row>
    <x:row r="238">
      <x:c r="B238" s="21" t="str">
        <x:v>SL-0232</x:v>
      </x:c>
      <x:c r="C238" s="21" t="str">
        <x:v>F20</x:v>
      </x:c>
      <x:c r="D238" s="21" t="n">
        <x:v>4</x:v>
      </x:c>
      <x:c r="E238" s="21" t="str">
        <x:v>Material tooling and instrument release</x:v>
      </x:c>
      <x:c r="F238" s="37" t="n">
        <x:f>'Family Register'!L26</x:f>
        <x:v>8</x:v>
      </x:c>
      <x:c r="G238" s="37" t="n">
        <x:f>INDEX(Scenarios!$E$7:$E$12,Assumptions!C7)</x:f>
        <x:v>0.75</x:v>
      </x:c>
      <x:c r="H238" s="37" t="n">
        <x:f>'Family Register'!G26*'Family Register'!I26*G238</x:f>
        <x:v>7.800000000000001</x:v>
      </x:c>
      <x:c r="I238" s="37" t="n">
        <x:f>J237</x:f>
        <x:v>7.279999999999999</x:v>
      </x:c>
      <x:c r="J238" s="37" t="n">
        <x:f>MIN(F238,H238,I238)</x:f>
        <x:v>7.279999999999999</x:v>
      </x:c>
      <x:c r="K238" s="22" t="n">
        <x:v>0</x:v>
      </x:c>
      <x:c r="L238" s="22" t="n">
        <x:v>0</x:v>
      </x:c>
      <x:c r="M238" s="37" t="n">
        <x:f>K238*L238</x:f>
        <x:v>0</x:v>
      </x:c>
      <x:c r="N238" s="22" t="n">
        <x:v>0</x:v>
      </x:c>
      <x:c r="O238" s="37" t="n">
        <x:f>36</x:f>
        <x:v>36</x:v>
      </x:c>
      <x:c r="P238" s="37" t="n">
        <x:f>IF(AND(N238&gt;0,N238&lt;=O238),1,0)</x:f>
        <x:v>0</x:v>
      </x:c>
      <x:c r="Q238" s="22" t="n">
        <x:v>0</x:v>
      </x:c>
      <x:c r="R238" s="37" t="n">
        <x:f>IF(AND(P238=1,Q238=1),MIN(F238,M238,R237),0)</x:f>
        <x:v>0</x:v>
      </x:c>
      <x:c r="S238" s="23" t="str">
        <x:f>IF(R238&gt;=F238,"ADMITTED","NOT ADMITTED")</x:f>
        <x:v>NOT ADMITTED</x:v>
      </x:c>
    </x:row>
    <x:row r="239">
      <x:c r="B239" s="21" t="str">
        <x:v>SL-0233</x:v>
      </x:c>
      <x:c r="C239" s="21" t="str">
        <x:v>F20</x:v>
      </x:c>
      <x:c r="D239" s="21" t="n">
        <x:v>5</x:v>
      </x:c>
      <x:c r="E239" s="21" t="str">
        <x:v>Supplier and process activation</x:v>
      </x:c>
      <x:c r="F239" s="37" t="n">
        <x:f>'Family Register'!L26</x:f>
        <x:v>8</x:v>
      </x:c>
      <x:c r="G239" s="37" t="n">
        <x:f>MIN(INDEX(Scenarios!$E$7:$E$12,Assumptions!C7),INDEX(Scenarios!$F$7:$F$12,Assumptions!C7))</x:f>
        <x:v>0.7</x:v>
      </x:c>
      <x:c r="H239" s="37" t="n">
        <x:f>'Family Register'!G26*'Family Register'!I26*G239</x:f>
        <x:v>7.279999999999999</x:v>
      </x:c>
      <x:c r="I239" s="37" t="n">
        <x:f>J238</x:f>
        <x:v>7.279999999999999</x:v>
      </x:c>
      <x:c r="J239" s="37" t="n">
        <x:f>MIN(F239,H239,I239)</x:f>
        <x:v>7.279999999999999</x:v>
      </x:c>
      <x:c r="K239" s="22" t="n">
        <x:v>0</x:v>
      </x:c>
      <x:c r="L239" s="22" t="n">
        <x:v>0</x:v>
      </x:c>
      <x:c r="M239" s="37" t="n">
        <x:f>K239*L239</x:f>
        <x:v>0</x:v>
      </x:c>
      <x:c r="N239" s="22" t="n">
        <x:v>0</x:v>
      </x:c>
      <x:c r="O239" s="37" t="n">
        <x:f>48</x:f>
        <x:v>48</x:v>
      </x:c>
      <x:c r="P239" s="37" t="n">
        <x:f>IF(AND(N239&gt;0,N239&lt;=O239),1,0)</x:f>
        <x:v>0</x:v>
      </x:c>
      <x:c r="Q239" s="22" t="n">
        <x:v>0</x:v>
      </x:c>
      <x:c r="R239" s="37" t="n">
        <x:f>IF(AND(P239=1,Q239=1),MIN(F239,M239,R238),0)</x:f>
        <x:v>0</x:v>
      </x:c>
      <x:c r="S239" s="23" t="str">
        <x:f>IF(R239&gt;=F239,"ADMITTED","NOT ADMITTED")</x:f>
        <x:v>NOT ADMITTED</x:v>
      </x:c>
    </x:row>
    <x:row r="240">
      <x:c r="B240" s="21" t="str">
        <x:v>SL-0234</x:v>
      </x:c>
      <x:c r="C240" s="21" t="str">
        <x:v>F20</x:v>
      </x:c>
      <x:c r="D240" s="21" t="n">
        <x:v>6</x:v>
      </x:c>
      <x:c r="E240" s="21" t="str">
        <x:v>Conforming production</x:v>
      </x:c>
      <x:c r="F240" s="37" t="n">
        <x:f>'Family Register'!L26</x:f>
        <x:v>8</x:v>
      </x:c>
      <x:c r="G240" s="37" t="n">
        <x:f>INDEX(Scenarios!$F$7:$F$12,Assumptions!C7)</x:f>
        <x:v>0.7</x:v>
      </x:c>
      <x:c r="H240" s="37" t="n">
        <x:f>'Family Register'!G26*'Family Register'!I26*G240</x:f>
        <x:v>7.279999999999999</x:v>
      </x:c>
      <x:c r="I240" s="37" t="n">
        <x:f>J239</x:f>
        <x:v>7.279999999999999</x:v>
      </x:c>
      <x:c r="J240" s="37" t="n">
        <x:f>MIN(F240,H240,I240)</x:f>
        <x:v>7.279999999999999</x:v>
      </x:c>
      <x:c r="K240" s="22" t="n">
        <x:v>0</x:v>
      </x:c>
      <x:c r="L240" s="22" t="n">
        <x:v>0</x:v>
      </x:c>
      <x:c r="M240" s="37" t="n">
        <x:f>K240*L240</x:f>
        <x:v>0</x:v>
      </x:c>
      <x:c r="N240" s="22" t="n">
        <x:v>0</x:v>
      </x:c>
      <x:c r="O240" s="37" t="n">
        <x:f>'Family Register'!H26*0.55</x:f>
        <x:v>792.0000000000001</x:v>
      </x:c>
      <x:c r="P240" s="37" t="n">
        <x:f>IF(AND(N240&gt;0,N240&lt;=O240),1,0)</x:f>
        <x:v>0</x:v>
      </x:c>
      <x:c r="Q240" s="22" t="n">
        <x:v>0</x:v>
      </x:c>
      <x:c r="R240" s="37" t="n">
        <x:f>IF(AND(P240=1,Q240=1),MIN(F240,M240,R239),0)</x:f>
        <x:v>0</x:v>
      </x:c>
      <x:c r="S240" s="23" t="str">
        <x:f>IF(R240&gt;=F240,"ADMITTED","NOT ADMITTED")</x:f>
        <x:v>NOT ADMITTED</x:v>
      </x:c>
    </x:row>
    <x:row r="241">
      <x:c r="B241" s="21" t="str">
        <x:v>SL-0235</x:v>
      </x:c>
      <x:c r="C241" s="21" t="str">
        <x:v>F20</x:v>
      </x:c>
      <x:c r="D241" s="21" t="n">
        <x:v>7</x:v>
      </x:c>
      <x:c r="E241" s="21" t="str">
        <x:v>Independent acceptance</x:v>
      </x:c>
      <x:c r="F241" s="37" t="n">
        <x:f>'Family Register'!L26</x:f>
        <x:v>8</x:v>
      </x:c>
      <x:c r="G241" s="37" t="n">
        <x:f>INDEX(Scenarios!$L$7:$L$12,Assumptions!C7)</x:f>
        <x:v>0.8</x:v>
      </x:c>
      <x:c r="H241" s="37" t="n">
        <x:f>'Family Register'!G26*'Family Register'!I26*G241</x:f>
        <x:v>8.32</x:v>
      </x:c>
      <x:c r="I241" s="37" t="n">
        <x:f>J240</x:f>
        <x:v>7.279999999999999</x:v>
      </x:c>
      <x:c r="J241" s="37" t="n">
        <x:f>MIN(F241,H241,I241)</x:f>
        <x:v>7.279999999999999</x:v>
      </x:c>
      <x:c r="K241" s="22" t="n">
        <x:v>0</x:v>
      </x:c>
      <x:c r="L241" s="22" t="n">
        <x:v>0</x:v>
      </x:c>
      <x:c r="M241" s="37" t="n">
        <x:f>K241*L241</x:f>
        <x:v>0</x:v>
      </x:c>
      <x:c r="N241" s="22" t="n">
        <x:v>0</x:v>
      </x:c>
      <x:c r="O241" s="37" t="n">
        <x:f>'Family Register'!H26*0.65</x:f>
        <x:v>936</x:v>
      </x:c>
      <x:c r="P241" s="37" t="n">
        <x:f>IF(AND(N241&gt;0,N241&lt;=O241),1,0)</x:f>
        <x:v>0</x:v>
      </x:c>
      <x:c r="Q241" s="22" t="n">
        <x:v>0</x:v>
      </x:c>
      <x:c r="R241" s="37" t="n">
        <x:f>IF(AND(P241=1,Q241=1),MIN(F241,M241,R240),0)</x:f>
        <x:v>0</x:v>
      </x:c>
      <x:c r="S241" s="23" t="str">
        <x:f>IF(R241&gt;=F241,"ADMITTED","NOT ADMITTED")</x:f>
        <x:v>NOT ADMITTED</x:v>
      </x:c>
    </x:row>
    <x:row r="242">
      <x:c r="B242" s="21" t="str">
        <x:v>SL-0236</x:v>
      </x:c>
      <x:c r="C242" s="21" t="str">
        <x:v>F20</x:v>
      </x:c>
      <x:c r="D242" s="21" t="n">
        <x:v>8</x:v>
      </x:c>
      <x:c r="E242" s="21" t="str">
        <x:v>Loadout and custody transfer</x:v>
      </x:c>
      <x:c r="F242" s="37" t="n">
        <x:f>'Family Register'!L26</x:f>
        <x:v>8</x:v>
      </x:c>
      <x:c r="G242" s="37" t="n">
        <x:f>INDEX(Scenarios!$H$7:$H$12,Assumptions!C7)</x:f>
        <x:v>0.65</x:v>
      </x:c>
      <x:c r="H242" s="37" t="n">
        <x:f>'Family Register'!G26*'Family Register'!I26*G242</x:f>
        <x:v>6.760000000000001</x:v>
      </x:c>
      <x:c r="I242" s="37" t="n">
        <x:f>J241</x:f>
        <x:v>7.279999999999999</x:v>
      </x:c>
      <x:c r="J242" s="37" t="n">
        <x:f>MIN(F242,H242,I242)</x:f>
        <x:v>6.760000000000001</x:v>
      </x:c>
      <x:c r="K242" s="22" t="n">
        <x:v>0</x:v>
      </x:c>
      <x:c r="L242" s="22" t="n">
        <x:v>0</x:v>
      </x:c>
      <x:c r="M242" s="37" t="n">
        <x:f>K242*L242</x:f>
        <x:v>0</x:v>
      </x:c>
      <x:c r="N242" s="22" t="n">
        <x:v>0</x:v>
      </x:c>
      <x:c r="O242" s="37" t="n">
        <x:f>'Family Register'!H26*0.7</x:f>
        <x:v>1007.9999999999999</x:v>
      </x:c>
      <x:c r="P242" s="37" t="n">
        <x:f>IF(AND(N242&gt;0,N242&lt;=O242),1,0)</x:f>
        <x:v>0</x:v>
      </x:c>
      <x:c r="Q242" s="22" t="n">
        <x:v>0</x:v>
      </x:c>
      <x:c r="R242" s="37" t="n">
        <x:f>IF(AND(P242=1,Q242=1),MIN(F242,M242,R241),0)</x:f>
        <x:v>0</x:v>
      </x:c>
      <x:c r="S242" s="23" t="str">
        <x:f>IF(R242&gt;=F242,"ADMITTED","NOT ADMITTED")</x:f>
        <x:v>NOT ADMITTED</x:v>
      </x:c>
    </x:row>
    <x:row r="243">
      <x:c r="B243" s="21" t="str">
        <x:v>SL-0237</x:v>
      </x:c>
      <x:c r="C243" s="21" t="str">
        <x:v>F20</x:v>
      </x:c>
      <x:c r="D243" s="21" t="n">
        <x:v>9</x:v>
      </x:c>
      <x:c r="E243" s="21" t="str">
        <x:v>Strategic transport</x:v>
      </x:c>
      <x:c r="F243" s="37" t="n">
        <x:f>'Family Register'!L26</x:f>
        <x:v>8</x:v>
      </x:c>
      <x:c r="G243" s="37" t="n">
        <x:f>INDEX(Scenarios!$H$7:$H$12,Assumptions!C7)</x:f>
        <x:v>0.65</x:v>
      </x:c>
      <x:c r="H243" s="37" t="n">
        <x:f>'Family Register'!G26*'Family Register'!I26*G243</x:f>
        <x:v>6.760000000000001</x:v>
      </x:c>
      <x:c r="I243" s="37" t="n">
        <x:f>J242</x:f>
        <x:v>6.760000000000001</x:v>
      </x:c>
      <x:c r="J243" s="37" t="n">
        <x:f>MIN(F243,H243,I243)</x:f>
        <x:v>6.760000000000001</x:v>
      </x:c>
      <x:c r="K243" s="22" t="n">
        <x:v>0</x:v>
      </x:c>
      <x:c r="L243" s="22" t="n">
        <x:v>0</x:v>
      </x:c>
      <x:c r="M243" s="37" t="n">
        <x:f>K243*L243</x:f>
        <x:v>0</x:v>
      </x:c>
      <x:c r="N243" s="22" t="n">
        <x:v>0</x:v>
      </x:c>
      <x:c r="O243" s="37" t="n">
        <x:f>'Family Register'!H26*0.9</x:f>
        <x:v>1296</x:v>
      </x:c>
      <x:c r="P243" s="37" t="n">
        <x:f>IF(AND(N243&gt;0,N243&lt;=O243),1,0)</x:f>
        <x:v>0</x:v>
      </x:c>
      <x:c r="Q243" s="22" t="n">
        <x:v>0</x:v>
      </x:c>
      <x:c r="R243" s="37" t="n">
        <x:f>IF(AND(P243=1,Q243=1),MIN(F243,M243,R242),0)</x:f>
        <x:v>0</x:v>
      </x:c>
      <x:c r="S243" s="23" t="str">
        <x:f>IF(R243&gt;=F243,"ADMITTED","NOT ADMITTED")</x:f>
        <x:v>NOT ADMITTED</x:v>
      </x:c>
    </x:row>
    <x:row r="244">
      <x:c r="B244" s="21" t="str">
        <x:v>SL-0238</x:v>
      </x:c>
      <x:c r="C244" s="21" t="str">
        <x:v>F20</x:v>
      </x:c>
      <x:c r="D244" s="21" t="n">
        <x:v>10</x:v>
      </x:c>
      <x:c r="E244" s="21" t="str">
        <x:v>Receiving-node admission</x:v>
      </x:c>
      <x:c r="F244" s="37" t="n">
        <x:f>'Family Register'!L26</x:f>
        <x:v>8</x:v>
      </x:c>
      <x:c r="G244" s="37" t="n">
        <x:f>INDEX(Scenarios!$I$7:$I$12,Assumptions!C7)</x:f>
        <x:v>0.75</x:v>
      </x:c>
      <x:c r="H244" s="37" t="n">
        <x:f>'Family Register'!G26*'Family Register'!I26*G244</x:f>
        <x:v>7.800000000000001</x:v>
      </x:c>
      <x:c r="I244" s="37" t="n">
        <x:f>J243</x:f>
        <x:v>6.760000000000001</x:v>
      </x:c>
      <x:c r="J244" s="37" t="n">
        <x:f>MIN(F244,H244,I244)</x:f>
        <x:v>6.760000000000001</x:v>
      </x:c>
      <x:c r="K244" s="22" t="n">
        <x:v>0</x:v>
      </x:c>
      <x:c r="L244" s="22" t="n">
        <x:v>0</x:v>
      </x:c>
      <x:c r="M244" s="37" t="n">
        <x:f>K244*L244</x:f>
        <x:v>0</x:v>
      </x:c>
      <x:c r="N244" s="22" t="n">
        <x:v>0</x:v>
      </x:c>
      <x:c r="O244" s="37" t="n">
        <x:f>'Family Register'!H26*0.94</x:f>
        <x:v>1353.6</x:v>
      </x:c>
      <x:c r="P244" s="37" t="n">
        <x:f>IF(AND(N244&gt;0,N244&lt;=O244),1,0)</x:f>
        <x:v>0</x:v>
      </x:c>
      <x:c r="Q244" s="22" t="n">
        <x:v>0</x:v>
      </x:c>
      <x:c r="R244" s="37" t="n">
        <x:f>IF(AND(P244=1,Q244=1),MIN(F244,M244,R243),0)</x:f>
        <x:v>0</x:v>
      </x:c>
      <x:c r="S244" s="23" t="str">
        <x:f>IF(R244&gt;=F244,"ADMITTED","NOT ADMITTED")</x:f>
        <x:v>NOT ADMITTED</x:v>
      </x:c>
    </x:row>
    <x:row r="245">
      <x:c r="B245" s="21" t="str">
        <x:v>SL-0239</x:v>
      </x:c>
      <x:c r="C245" s="21" t="str">
        <x:v>F20</x:v>
      </x:c>
      <x:c r="D245" s="21" t="n">
        <x:v>11</x:v>
      </x:c>
      <x:c r="E245" s="21" t="str">
        <x:v>Commissioned public service</x:v>
      </x:c>
      <x:c r="F245" s="37" t="n">
        <x:f>'Family Register'!L26</x:f>
        <x:v>8</x:v>
      </x:c>
      <x:c r="G245" s="37" t="n">
        <x:f>MIN(INDEX(Scenarios!$G$7:$G$12,Assumptions!C7),INDEX(Scenarios!$I$7:$I$12,Assumptions!C7))</x:f>
        <x:v>0.7</x:v>
      </x:c>
      <x:c r="H245" s="37" t="n">
        <x:f>'Family Register'!G26*'Family Register'!I26*G245</x:f>
        <x:v>7.279999999999999</x:v>
      </x:c>
      <x:c r="I245" s="37" t="n">
        <x:f>J244</x:f>
        <x:v>6.760000000000001</x:v>
      </x:c>
      <x:c r="J245" s="37" t="n">
        <x:f>MIN(F245,H245,I245)</x:f>
        <x:v>6.760000000000001</x:v>
      </x:c>
      <x:c r="K245" s="22" t="n">
        <x:v>0</x:v>
      </x:c>
      <x:c r="L245" s="22" t="n">
        <x:v>0</x:v>
      </x:c>
      <x:c r="M245" s="37" t="n">
        <x:f>K245*L245</x:f>
        <x:v>0</x:v>
      </x:c>
      <x:c r="N245" s="22" t="n">
        <x:v>0</x:v>
      </x:c>
      <x:c r="O245" s="37" t="n">
        <x:f>'Family Register'!H26*1</x:f>
        <x:v>1440</x:v>
      </x:c>
      <x:c r="P245" s="37" t="n">
        <x:f>IF(AND(N245&gt;0,N245&lt;=O245),1,0)</x:f>
        <x:v>0</x:v>
      </x:c>
      <x:c r="Q245" s="22" t="n">
        <x:v>0</x:v>
      </x:c>
      <x:c r="R245" s="37" t="n">
        <x:f>IF(AND(P245=1,Q245=1),MIN(F245,M245,R244),0)</x:f>
        <x:v>0</x:v>
      </x:c>
      <x:c r="S245" s="23" t="str">
        <x:f>IF(R245&gt;=F245,"ADMITTED","NOT ADMITTED")</x:f>
        <x:v>NOT ADMITTED</x:v>
      </x:c>
    </x:row>
    <x:row r="246">
      <x:c r="B246" s="21" t="str">
        <x:v>SL-0240</x:v>
      </x:c>
      <x:c r="C246" s="21" t="str">
        <x:v>F20</x:v>
      </x:c>
      <x:c r="D246" s="21" t="n">
        <x:v>12</x:v>
      </x:c>
      <x:c r="E246" s="21" t="str">
        <x:v>Regeneration and replacement</x:v>
      </x:c>
      <x:c r="F246" s="37" t="n">
        <x:f>'Family Register'!L26</x:f>
        <x:v>8</x:v>
      </x:c>
      <x:c r="G246" s="37" t="n">
        <x:f>MIN(INDEX(Scenarios!$E$7:$E$12,Assumptions!C7),INDEX(Scenarios!$F$7:$F$12,Assumptions!C7))</x:f>
        <x:v>0.7</x:v>
      </x:c>
      <x:c r="H246" s="37" t="n">
        <x:f>'Family Register'!G26*'Family Register'!I26*G246</x:f>
        <x:v>7.279999999999999</x:v>
      </x:c>
      <x:c r="I246" s="37" t="n">
        <x:f>J245</x:f>
        <x:v>6.760000000000001</x:v>
      </x:c>
      <x:c r="J246" s="37" t="n">
        <x:f>MIN(F246,H246,I246)</x:f>
        <x:v>6.760000000000001</x:v>
      </x:c>
      <x:c r="K246" s="22" t="n">
        <x:v>0</x:v>
      </x:c>
      <x:c r="L246" s="22" t="n">
        <x:v>0</x:v>
      </x:c>
      <x:c r="M246" s="37" t="n">
        <x:f>K246*L246</x:f>
        <x:v>0</x:v>
      </x:c>
      <x:c r="N246" s="22" t="n">
        <x:v>0</x:v>
      </x:c>
      <x:c r="O246" s="37" t="n">
        <x:f>'Family Register'!H26+168</x:f>
        <x:v>1608</x:v>
      </x:c>
      <x:c r="P246" s="37" t="n">
        <x:f>IF(AND(N246&gt;0,N246&lt;=O246),1,0)</x:f>
        <x:v>0</x:v>
      </x:c>
      <x:c r="Q246" s="22" t="n">
        <x:v>0</x:v>
      </x:c>
      <x:c r="R246" s="37" t="n">
        <x:f>IF(AND(P246=1,Q246=1),MIN(F246,M246,R245),0)</x:f>
        <x:v>0</x:v>
      </x:c>
      <x:c r="S246" s="23" t="str">
        <x:f>IF(R246&gt;=F246,"ADMITTED","NOT ADMITTED")</x:f>
        <x:v>NOT ADMITTED</x:v>
      </x:c>
    </x:row>
    <x:row r="247">
      <x:c r="B247" s="21" t="str">
        <x:v>SL-0241</x:v>
      </x:c>
      <x:c r="C247" s="21" t="str">
        <x:v>F21</x:v>
      </x:c>
      <x:c r="D247" s="21" t="n">
        <x:v>1</x:v>
      </x:c>
      <x:c r="E247" s="21" t="str">
        <x:v>Alert authentication</x:v>
      </x:c>
      <x:c r="F247" s="37" t="n">
        <x:f>'Family Register'!L27</x:f>
        <x:v>8</x:v>
      </x:c>
      <x:c r="G247" s="37" t="n">
        <x:f>INDEX(Scenarios!$K$7:$K$12,Assumptions!C7)</x:f>
        <x:v>0.75</x:v>
      </x:c>
      <x:c r="H247" s="37" t="n">
        <x:f>'Family Register'!G27*'Family Register'!I27*G247</x:f>
        <x:v>8.7</x:v>
      </x:c>
      <x:c r="I247" s="37" t="n">
        <x:f>F247</x:f>
        <x:v>8</x:v>
      </x:c>
      <x:c r="J247" s="37" t="n">
        <x:f>MIN(F247,H247,I247)</x:f>
        <x:v>8</x:v>
      </x:c>
      <x:c r="K247" s="22" t="n">
        <x:v>0</x:v>
      </x:c>
      <x:c r="L247" s="22" t="n">
        <x:v>0</x:v>
      </x:c>
      <x:c r="M247" s="37" t="n">
        <x:f>K247*L247</x:f>
        <x:v>0</x:v>
      </x:c>
      <x:c r="N247" s="22" t="n">
        <x:v>0</x:v>
      </x:c>
      <x:c r="O247" s="37" t="n">
        <x:f>2</x:f>
        <x:v>2</x:v>
      </x:c>
      <x:c r="P247" s="37" t="n">
        <x:f>IF(AND(N247&gt;0,N247&lt;=O247),1,0)</x:f>
        <x:v>0</x:v>
      </x:c>
      <x:c r="Q247" s="22" t="n">
        <x:v>0</x:v>
      </x:c>
      <x:c r="R247" s="37" t="n">
        <x:f>IF(AND(P247=1,Q247=1),MIN(F247,M247),0)</x:f>
        <x:v>0</x:v>
      </x:c>
      <x:c r="S247" s="23" t="str">
        <x:f>IF(R247&gt;=F247,"ADMITTED","NOT ADMITTED")</x:f>
        <x:v>NOT ADMITTED</x:v>
      </x:c>
    </x:row>
    <x:row r="248">
      <x:c r="B248" s="21" t="str">
        <x:v>SL-0242</x:v>
      </x:c>
      <x:c r="C248" s="21" t="str">
        <x:v>F21</x:v>
      </x:c>
      <x:c r="D248" s="21" t="n">
        <x:v>2</x:v>
      </x:c>
      <x:c r="E248" s="21" t="str">
        <x:v>Workforce muster</x:v>
      </x:c>
      <x:c r="F248" s="37" t="n">
        <x:f>'Family Register'!L27</x:f>
        <x:v>8</x:v>
      </x:c>
      <x:c r="G248" s="37" t="n">
        <x:f>INDEX(Scenarios!$J$7:$J$12,Assumptions!C7)</x:f>
        <x:v>0.8</x:v>
      </x:c>
      <x:c r="H248" s="37" t="n">
        <x:f>'Family Register'!G27*'Family Register'!I27*G248</x:f>
        <x:v>9.28</x:v>
      </x:c>
      <x:c r="I248" s="37" t="n">
        <x:f>J247</x:f>
        <x:v>8</x:v>
      </x:c>
      <x:c r="J248" s="37" t="n">
        <x:f>MIN(F248,H248,I248)</x:f>
        <x:v>8</x:v>
      </x:c>
      <x:c r="K248" s="22" t="n">
        <x:v>0</x:v>
      </x:c>
      <x:c r="L248" s="22" t="n">
        <x:v>0</x:v>
      </x:c>
      <x:c r="M248" s="37" t="n">
        <x:f>K248*L248</x:f>
        <x:v>0</x:v>
      </x:c>
      <x:c r="N248" s="22" t="n">
        <x:v>0</x:v>
      </x:c>
      <x:c r="O248" s="37" t="n">
        <x:f>12</x:f>
        <x:v>12</x:v>
      </x:c>
      <x:c r="P248" s="37" t="n">
        <x:f>IF(AND(N248&gt;0,N248&lt;=O248),1,0)</x:f>
        <x:v>0</x:v>
      </x:c>
      <x:c r="Q248" s="22" t="n">
        <x:v>0</x:v>
      </x:c>
      <x:c r="R248" s="37" t="n">
        <x:f>IF(AND(P248=1,Q248=1),MIN(F248,M248,R247),0)</x:f>
        <x:v>0</x:v>
      </x:c>
      <x:c r="S248" s="23" t="str">
        <x:f>IF(R248&gt;=F248,"ADMITTED","NOT ADMITTED")</x:f>
        <x:v>NOT ADMITTED</x:v>
      </x:c>
    </x:row>
    <x:row r="249">
      <x:c r="B249" s="21" t="str">
        <x:v>SL-0243</x:v>
      </x:c>
      <x:c r="C249" s="21" t="str">
        <x:v>F21</x:v>
      </x:c>
      <x:c r="D249" s="21" t="n">
        <x:v>3</x:v>
      </x:c>
      <x:c r="E249" s="21" t="str">
        <x:v>Facility utility and safe start</x:v>
      </x:c>
      <x:c r="F249" s="37" t="n">
        <x:f>'Family Register'!L27</x:f>
        <x:v>8</x:v>
      </x:c>
      <x:c r="G249" s="37" t="n">
        <x:f>INDEX(Scenarios!$G$7:$G$12,Assumptions!C7)</x:f>
        <x:v>0.7</x:v>
      </x:c>
      <x:c r="H249" s="37" t="n">
        <x:f>'Family Register'!G27*'Family Register'!I27*G249</x:f>
        <x:v>8.12</x:v>
      </x:c>
      <x:c r="I249" s="37" t="n">
        <x:f>J248</x:f>
        <x:v>8</x:v>
      </x:c>
      <x:c r="J249" s="37" t="n">
        <x:f>MIN(F249,H249,I249)</x:f>
        <x:v>8</x:v>
      </x:c>
      <x:c r="K249" s="22" t="n">
        <x:v>0</x:v>
      </x:c>
      <x:c r="L249" s="22" t="n">
        <x:v>0</x:v>
      </x:c>
      <x:c r="M249" s="37" t="n">
        <x:f>K249*L249</x:f>
        <x:v>0</x:v>
      </x:c>
      <x:c r="N249" s="22" t="n">
        <x:v>0</x:v>
      </x:c>
      <x:c r="O249" s="37" t="n">
        <x:f>24</x:f>
        <x:v>24</x:v>
      </x:c>
      <x:c r="P249" s="37" t="n">
        <x:f>IF(AND(N249&gt;0,N249&lt;=O249),1,0)</x:f>
        <x:v>0</x:v>
      </x:c>
      <x:c r="Q249" s="22" t="n">
        <x:v>0</x:v>
      </x:c>
      <x:c r="R249" s="37" t="n">
        <x:f>IF(AND(P249=1,Q249=1),MIN(F249,M249,R248),0)</x:f>
        <x:v>0</x:v>
      </x:c>
      <x:c r="S249" s="23" t="str">
        <x:f>IF(R249&gt;=F249,"ADMITTED","NOT ADMITTED")</x:f>
        <x:v>NOT ADMITTED</x:v>
      </x:c>
    </x:row>
    <x:row r="250">
      <x:c r="B250" s="21" t="str">
        <x:v>SL-0244</x:v>
      </x:c>
      <x:c r="C250" s="21" t="str">
        <x:v>F21</x:v>
      </x:c>
      <x:c r="D250" s="21" t="n">
        <x:v>4</x:v>
      </x:c>
      <x:c r="E250" s="21" t="str">
        <x:v>Material tooling and instrument release</x:v>
      </x:c>
      <x:c r="F250" s="37" t="n">
        <x:f>'Family Register'!L27</x:f>
        <x:v>8</x:v>
      </x:c>
      <x:c r="G250" s="37" t="n">
        <x:f>INDEX(Scenarios!$E$7:$E$12,Assumptions!C7)</x:f>
        <x:v>0.75</x:v>
      </x:c>
      <x:c r="H250" s="37" t="n">
        <x:f>'Family Register'!G27*'Family Register'!I27*G250</x:f>
        <x:v>8.7</x:v>
      </x:c>
      <x:c r="I250" s="37" t="n">
        <x:f>J249</x:f>
        <x:v>8</x:v>
      </x:c>
      <x:c r="J250" s="37" t="n">
        <x:f>MIN(F250,H250,I250)</x:f>
        <x:v>8</x:v>
      </x:c>
      <x:c r="K250" s="22" t="n">
        <x:v>0</x:v>
      </x:c>
      <x:c r="L250" s="22" t="n">
        <x:v>0</x:v>
      </x:c>
      <x:c r="M250" s="37" t="n">
        <x:f>K250*L250</x:f>
        <x:v>0</x:v>
      </x:c>
      <x:c r="N250" s="22" t="n">
        <x:v>0</x:v>
      </x:c>
      <x:c r="O250" s="37" t="n">
        <x:f>36</x:f>
        <x:v>36</x:v>
      </x:c>
      <x:c r="P250" s="37" t="n">
        <x:f>IF(AND(N250&gt;0,N250&lt;=O250),1,0)</x:f>
        <x:v>0</x:v>
      </x:c>
      <x:c r="Q250" s="22" t="n">
        <x:v>0</x:v>
      </x:c>
      <x:c r="R250" s="37" t="n">
        <x:f>IF(AND(P250=1,Q250=1),MIN(F250,M250,R249),0)</x:f>
        <x:v>0</x:v>
      </x:c>
      <x:c r="S250" s="23" t="str">
        <x:f>IF(R250&gt;=F250,"ADMITTED","NOT ADMITTED")</x:f>
        <x:v>NOT ADMITTED</x:v>
      </x:c>
    </x:row>
    <x:row r="251">
      <x:c r="B251" s="21" t="str">
        <x:v>SL-0245</x:v>
      </x:c>
      <x:c r="C251" s="21" t="str">
        <x:v>F21</x:v>
      </x:c>
      <x:c r="D251" s="21" t="n">
        <x:v>5</x:v>
      </x:c>
      <x:c r="E251" s="21" t="str">
        <x:v>Supplier and process activation</x:v>
      </x:c>
      <x:c r="F251" s="37" t="n">
        <x:f>'Family Register'!L27</x:f>
        <x:v>8</x:v>
      </x:c>
      <x:c r="G251" s="37" t="n">
        <x:f>MIN(INDEX(Scenarios!$E$7:$E$12,Assumptions!C7),INDEX(Scenarios!$F$7:$F$12,Assumptions!C7))</x:f>
        <x:v>0.7</x:v>
      </x:c>
      <x:c r="H251" s="37" t="n">
        <x:f>'Family Register'!G27*'Family Register'!I27*G251</x:f>
        <x:v>8.12</x:v>
      </x:c>
      <x:c r="I251" s="37" t="n">
        <x:f>J250</x:f>
        <x:v>8</x:v>
      </x:c>
      <x:c r="J251" s="37" t="n">
        <x:f>MIN(F251,H251,I251)</x:f>
        <x:v>8</x:v>
      </x:c>
      <x:c r="K251" s="22" t="n">
        <x:v>0</x:v>
      </x:c>
      <x:c r="L251" s="22" t="n">
        <x:v>0</x:v>
      </x:c>
      <x:c r="M251" s="37" t="n">
        <x:f>K251*L251</x:f>
        <x:v>0</x:v>
      </x:c>
      <x:c r="N251" s="22" t="n">
        <x:v>0</x:v>
      </x:c>
      <x:c r="O251" s="37" t="n">
        <x:f>48</x:f>
        <x:v>48</x:v>
      </x:c>
      <x:c r="P251" s="37" t="n">
        <x:f>IF(AND(N251&gt;0,N251&lt;=O251),1,0)</x:f>
        <x:v>0</x:v>
      </x:c>
      <x:c r="Q251" s="22" t="n">
        <x:v>0</x:v>
      </x:c>
      <x:c r="R251" s="37" t="n">
        <x:f>IF(AND(P251=1,Q251=1),MIN(F251,M251,R250),0)</x:f>
        <x:v>0</x:v>
      </x:c>
      <x:c r="S251" s="23" t="str">
        <x:f>IF(R251&gt;=F251,"ADMITTED","NOT ADMITTED")</x:f>
        <x:v>NOT ADMITTED</x:v>
      </x:c>
    </x:row>
    <x:row r="252">
      <x:c r="B252" s="21" t="str">
        <x:v>SL-0246</x:v>
      </x:c>
      <x:c r="C252" s="21" t="str">
        <x:v>F21</x:v>
      </x:c>
      <x:c r="D252" s="21" t="n">
        <x:v>6</x:v>
      </x:c>
      <x:c r="E252" s="21" t="str">
        <x:v>Conforming production</x:v>
      </x:c>
      <x:c r="F252" s="37" t="n">
        <x:f>'Family Register'!L27</x:f>
        <x:v>8</x:v>
      </x:c>
      <x:c r="G252" s="37" t="n">
        <x:f>INDEX(Scenarios!$F$7:$F$12,Assumptions!C7)</x:f>
        <x:v>0.7</x:v>
      </x:c>
      <x:c r="H252" s="37" t="n">
        <x:f>'Family Register'!G27*'Family Register'!I27*G252</x:f>
        <x:v>8.12</x:v>
      </x:c>
      <x:c r="I252" s="37" t="n">
        <x:f>J251</x:f>
        <x:v>8</x:v>
      </x:c>
      <x:c r="J252" s="37" t="n">
        <x:f>MIN(F252,H252,I252)</x:f>
        <x:v>8</x:v>
      </x:c>
      <x:c r="K252" s="22" t="n">
        <x:v>0</x:v>
      </x:c>
      <x:c r="L252" s="22" t="n">
        <x:v>0</x:v>
      </x:c>
      <x:c r="M252" s="37" t="n">
        <x:f>K252*L252</x:f>
        <x:v>0</x:v>
      </x:c>
      <x:c r="N252" s="22" t="n">
        <x:v>0</x:v>
      </x:c>
      <x:c r="O252" s="37" t="n">
        <x:f>'Family Register'!H27*0.55</x:f>
        <x:v>396.00000000000006</x:v>
      </x:c>
      <x:c r="P252" s="37" t="n">
        <x:f>IF(AND(N252&gt;0,N252&lt;=O252),1,0)</x:f>
        <x:v>0</x:v>
      </x:c>
      <x:c r="Q252" s="22" t="n">
        <x:v>0</x:v>
      </x:c>
      <x:c r="R252" s="37" t="n">
        <x:f>IF(AND(P252=1,Q252=1),MIN(F252,M252,R251),0)</x:f>
        <x:v>0</x:v>
      </x:c>
      <x:c r="S252" s="23" t="str">
        <x:f>IF(R252&gt;=F252,"ADMITTED","NOT ADMITTED")</x:f>
        <x:v>NOT ADMITTED</x:v>
      </x:c>
    </x:row>
    <x:row r="253">
      <x:c r="B253" s="21" t="str">
        <x:v>SL-0247</x:v>
      </x:c>
      <x:c r="C253" s="21" t="str">
        <x:v>F21</x:v>
      </x:c>
      <x:c r="D253" s="21" t="n">
        <x:v>7</x:v>
      </x:c>
      <x:c r="E253" s="21" t="str">
        <x:v>Independent acceptance</x:v>
      </x:c>
      <x:c r="F253" s="37" t="n">
        <x:f>'Family Register'!L27</x:f>
        <x:v>8</x:v>
      </x:c>
      <x:c r="G253" s="37" t="n">
        <x:f>INDEX(Scenarios!$L$7:$L$12,Assumptions!C7)</x:f>
        <x:v>0.8</x:v>
      </x:c>
      <x:c r="H253" s="37" t="n">
        <x:f>'Family Register'!G27*'Family Register'!I27*G253</x:f>
        <x:v>9.28</x:v>
      </x:c>
      <x:c r="I253" s="37" t="n">
        <x:f>J252</x:f>
        <x:v>8</x:v>
      </x:c>
      <x:c r="J253" s="37" t="n">
        <x:f>MIN(F253,H253,I253)</x:f>
        <x:v>8</x:v>
      </x:c>
      <x:c r="K253" s="22" t="n">
        <x:v>0</x:v>
      </x:c>
      <x:c r="L253" s="22" t="n">
        <x:v>0</x:v>
      </x:c>
      <x:c r="M253" s="37" t="n">
        <x:f>K253*L253</x:f>
        <x:v>0</x:v>
      </x:c>
      <x:c r="N253" s="22" t="n">
        <x:v>0</x:v>
      </x:c>
      <x:c r="O253" s="37" t="n">
        <x:f>'Family Register'!H27*0.65</x:f>
        <x:v>468</x:v>
      </x:c>
      <x:c r="P253" s="37" t="n">
        <x:f>IF(AND(N253&gt;0,N253&lt;=O253),1,0)</x:f>
        <x:v>0</x:v>
      </x:c>
      <x:c r="Q253" s="22" t="n">
        <x:v>0</x:v>
      </x:c>
      <x:c r="R253" s="37" t="n">
        <x:f>IF(AND(P253=1,Q253=1),MIN(F253,M253,R252),0)</x:f>
        <x:v>0</x:v>
      </x:c>
      <x:c r="S253" s="23" t="str">
        <x:f>IF(R253&gt;=F253,"ADMITTED","NOT ADMITTED")</x:f>
        <x:v>NOT ADMITTED</x:v>
      </x:c>
    </x:row>
    <x:row r="254">
      <x:c r="B254" s="21" t="str">
        <x:v>SL-0248</x:v>
      </x:c>
      <x:c r="C254" s="21" t="str">
        <x:v>F21</x:v>
      </x:c>
      <x:c r="D254" s="21" t="n">
        <x:v>8</x:v>
      </x:c>
      <x:c r="E254" s="21" t="str">
        <x:v>Loadout and custody transfer</x:v>
      </x:c>
      <x:c r="F254" s="37" t="n">
        <x:f>'Family Register'!L27</x:f>
        <x:v>8</x:v>
      </x:c>
      <x:c r="G254" s="37" t="n">
        <x:f>INDEX(Scenarios!$H$7:$H$12,Assumptions!C7)</x:f>
        <x:v>0.65</x:v>
      </x:c>
      <x:c r="H254" s="37" t="n">
        <x:f>'Family Register'!G27*'Family Register'!I27*G254</x:f>
        <x:v>7.54</x:v>
      </x:c>
      <x:c r="I254" s="37" t="n">
        <x:f>J253</x:f>
        <x:v>8</x:v>
      </x:c>
      <x:c r="J254" s="37" t="n">
        <x:f>MIN(F254,H254,I254)</x:f>
        <x:v>7.54</x:v>
      </x:c>
      <x:c r="K254" s="22" t="n">
        <x:v>0</x:v>
      </x:c>
      <x:c r="L254" s="22" t="n">
        <x:v>0</x:v>
      </x:c>
      <x:c r="M254" s="37" t="n">
        <x:f>K254*L254</x:f>
        <x:v>0</x:v>
      </x:c>
      <x:c r="N254" s="22" t="n">
        <x:v>0</x:v>
      </x:c>
      <x:c r="O254" s="37" t="n">
        <x:f>'Family Register'!H27*0.7</x:f>
        <x:v>503.99999999999994</x:v>
      </x:c>
      <x:c r="P254" s="37" t="n">
        <x:f>IF(AND(N254&gt;0,N254&lt;=O254),1,0)</x:f>
        <x:v>0</x:v>
      </x:c>
      <x:c r="Q254" s="22" t="n">
        <x:v>0</x:v>
      </x:c>
      <x:c r="R254" s="37" t="n">
        <x:f>IF(AND(P254=1,Q254=1),MIN(F254,M254,R253),0)</x:f>
        <x:v>0</x:v>
      </x:c>
      <x:c r="S254" s="23" t="str">
        <x:f>IF(R254&gt;=F254,"ADMITTED","NOT ADMITTED")</x:f>
        <x:v>NOT ADMITTED</x:v>
      </x:c>
    </x:row>
    <x:row r="255">
      <x:c r="B255" s="21" t="str">
        <x:v>SL-0249</x:v>
      </x:c>
      <x:c r="C255" s="21" t="str">
        <x:v>F21</x:v>
      </x:c>
      <x:c r="D255" s="21" t="n">
        <x:v>9</x:v>
      </x:c>
      <x:c r="E255" s="21" t="str">
        <x:v>Strategic transport</x:v>
      </x:c>
      <x:c r="F255" s="37" t="n">
        <x:f>'Family Register'!L27</x:f>
        <x:v>8</x:v>
      </x:c>
      <x:c r="G255" s="37" t="n">
        <x:f>INDEX(Scenarios!$H$7:$H$12,Assumptions!C7)</x:f>
        <x:v>0.65</x:v>
      </x:c>
      <x:c r="H255" s="37" t="n">
        <x:f>'Family Register'!G27*'Family Register'!I27*G255</x:f>
        <x:v>7.54</x:v>
      </x:c>
      <x:c r="I255" s="37" t="n">
        <x:f>J254</x:f>
        <x:v>7.54</x:v>
      </x:c>
      <x:c r="J255" s="37" t="n">
        <x:f>MIN(F255,H255,I255)</x:f>
        <x:v>7.54</x:v>
      </x:c>
      <x:c r="K255" s="22" t="n">
        <x:v>0</x:v>
      </x:c>
      <x:c r="L255" s="22" t="n">
        <x:v>0</x:v>
      </x:c>
      <x:c r="M255" s="37" t="n">
        <x:f>K255*L255</x:f>
        <x:v>0</x:v>
      </x:c>
      <x:c r="N255" s="22" t="n">
        <x:v>0</x:v>
      </x:c>
      <x:c r="O255" s="37" t="n">
        <x:f>'Family Register'!H27*0.9</x:f>
        <x:v>648</x:v>
      </x:c>
      <x:c r="P255" s="37" t="n">
        <x:f>IF(AND(N255&gt;0,N255&lt;=O255),1,0)</x:f>
        <x:v>0</x:v>
      </x:c>
      <x:c r="Q255" s="22" t="n">
        <x:v>0</x:v>
      </x:c>
      <x:c r="R255" s="37" t="n">
        <x:f>IF(AND(P255=1,Q255=1),MIN(F255,M255,R254),0)</x:f>
        <x:v>0</x:v>
      </x:c>
      <x:c r="S255" s="23" t="str">
        <x:f>IF(R255&gt;=F255,"ADMITTED","NOT ADMITTED")</x:f>
        <x:v>NOT ADMITTED</x:v>
      </x:c>
    </x:row>
    <x:row r="256">
      <x:c r="B256" s="21" t="str">
        <x:v>SL-0250</x:v>
      </x:c>
      <x:c r="C256" s="21" t="str">
        <x:v>F21</x:v>
      </x:c>
      <x:c r="D256" s="21" t="n">
        <x:v>10</x:v>
      </x:c>
      <x:c r="E256" s="21" t="str">
        <x:v>Receiving-node admission</x:v>
      </x:c>
      <x:c r="F256" s="37" t="n">
        <x:f>'Family Register'!L27</x:f>
        <x:v>8</x:v>
      </x:c>
      <x:c r="G256" s="37" t="n">
        <x:f>INDEX(Scenarios!$I$7:$I$12,Assumptions!C7)</x:f>
        <x:v>0.75</x:v>
      </x:c>
      <x:c r="H256" s="37" t="n">
        <x:f>'Family Register'!G27*'Family Register'!I27*G256</x:f>
        <x:v>8.7</x:v>
      </x:c>
      <x:c r="I256" s="37" t="n">
        <x:f>J255</x:f>
        <x:v>7.54</x:v>
      </x:c>
      <x:c r="J256" s="37" t="n">
        <x:f>MIN(F256,H256,I256)</x:f>
        <x:v>7.54</x:v>
      </x:c>
      <x:c r="K256" s="22" t="n">
        <x:v>0</x:v>
      </x:c>
      <x:c r="L256" s="22" t="n">
        <x:v>0</x:v>
      </x:c>
      <x:c r="M256" s="37" t="n">
        <x:f>K256*L256</x:f>
        <x:v>0</x:v>
      </x:c>
      <x:c r="N256" s="22" t="n">
        <x:v>0</x:v>
      </x:c>
      <x:c r="O256" s="37" t="n">
        <x:f>'Family Register'!H27*0.94</x:f>
        <x:v>676.8</x:v>
      </x:c>
      <x:c r="P256" s="37" t="n">
        <x:f>IF(AND(N256&gt;0,N256&lt;=O256),1,0)</x:f>
        <x:v>0</x:v>
      </x:c>
      <x:c r="Q256" s="22" t="n">
        <x:v>0</x:v>
      </x:c>
      <x:c r="R256" s="37" t="n">
        <x:f>IF(AND(P256=1,Q256=1),MIN(F256,M256,R255),0)</x:f>
        <x:v>0</x:v>
      </x:c>
      <x:c r="S256" s="23" t="str">
        <x:f>IF(R256&gt;=F256,"ADMITTED","NOT ADMITTED")</x:f>
        <x:v>NOT ADMITTED</x:v>
      </x:c>
    </x:row>
    <x:row r="257">
      <x:c r="B257" s="21" t="str">
        <x:v>SL-0251</x:v>
      </x:c>
      <x:c r="C257" s="21" t="str">
        <x:v>F21</x:v>
      </x:c>
      <x:c r="D257" s="21" t="n">
        <x:v>11</x:v>
      </x:c>
      <x:c r="E257" s="21" t="str">
        <x:v>Commissioned public service</x:v>
      </x:c>
      <x:c r="F257" s="37" t="n">
        <x:f>'Family Register'!L27</x:f>
        <x:v>8</x:v>
      </x:c>
      <x:c r="G257" s="37" t="n">
        <x:f>MIN(INDEX(Scenarios!$G$7:$G$12,Assumptions!C7),INDEX(Scenarios!$I$7:$I$12,Assumptions!C7))</x:f>
        <x:v>0.7</x:v>
      </x:c>
      <x:c r="H257" s="37" t="n">
        <x:f>'Family Register'!G27*'Family Register'!I27*G257</x:f>
        <x:v>8.12</x:v>
      </x:c>
      <x:c r="I257" s="37" t="n">
        <x:f>J256</x:f>
        <x:v>7.54</x:v>
      </x:c>
      <x:c r="J257" s="37" t="n">
        <x:f>MIN(F257,H257,I257)</x:f>
        <x:v>7.54</x:v>
      </x:c>
      <x:c r="K257" s="22" t="n">
        <x:v>0</x:v>
      </x:c>
      <x:c r="L257" s="22" t="n">
        <x:v>0</x:v>
      </x:c>
      <x:c r="M257" s="37" t="n">
        <x:f>K257*L257</x:f>
        <x:v>0</x:v>
      </x:c>
      <x:c r="N257" s="22" t="n">
        <x:v>0</x:v>
      </x:c>
      <x:c r="O257" s="37" t="n">
        <x:f>'Family Register'!H27*1</x:f>
        <x:v>720</x:v>
      </x:c>
      <x:c r="P257" s="37" t="n">
        <x:f>IF(AND(N257&gt;0,N257&lt;=O257),1,0)</x:f>
        <x:v>0</x:v>
      </x:c>
      <x:c r="Q257" s="22" t="n">
        <x:v>0</x:v>
      </x:c>
      <x:c r="R257" s="37" t="n">
        <x:f>IF(AND(P257=1,Q257=1),MIN(F257,M257,R256),0)</x:f>
        <x:v>0</x:v>
      </x:c>
      <x:c r="S257" s="23" t="str">
        <x:f>IF(R257&gt;=F257,"ADMITTED","NOT ADMITTED")</x:f>
        <x:v>NOT ADMITTED</x:v>
      </x:c>
    </x:row>
    <x:row r="258">
      <x:c r="B258" s="21" t="str">
        <x:v>SL-0252</x:v>
      </x:c>
      <x:c r="C258" s="21" t="str">
        <x:v>F21</x:v>
      </x:c>
      <x:c r="D258" s="21" t="n">
        <x:v>12</x:v>
      </x:c>
      <x:c r="E258" s="21" t="str">
        <x:v>Regeneration and replacement</x:v>
      </x:c>
      <x:c r="F258" s="37" t="n">
        <x:f>'Family Register'!L27</x:f>
        <x:v>8</x:v>
      </x:c>
      <x:c r="G258" s="37" t="n">
        <x:f>MIN(INDEX(Scenarios!$E$7:$E$12,Assumptions!C7),INDEX(Scenarios!$F$7:$F$12,Assumptions!C7))</x:f>
        <x:v>0.7</x:v>
      </x:c>
      <x:c r="H258" s="37" t="n">
        <x:f>'Family Register'!G27*'Family Register'!I27*G258</x:f>
        <x:v>8.12</x:v>
      </x:c>
      <x:c r="I258" s="37" t="n">
        <x:f>J257</x:f>
        <x:v>7.54</x:v>
      </x:c>
      <x:c r="J258" s="37" t="n">
        <x:f>MIN(F258,H258,I258)</x:f>
        <x:v>7.54</x:v>
      </x:c>
      <x:c r="K258" s="22" t="n">
        <x:v>0</x:v>
      </x:c>
      <x:c r="L258" s="22" t="n">
        <x:v>0</x:v>
      </x:c>
      <x:c r="M258" s="37" t="n">
        <x:f>K258*L258</x:f>
        <x:v>0</x:v>
      </x:c>
      <x:c r="N258" s="22" t="n">
        <x:v>0</x:v>
      </x:c>
      <x:c r="O258" s="37" t="n">
        <x:f>'Family Register'!H27+168</x:f>
        <x:v>888</x:v>
      </x:c>
      <x:c r="P258" s="37" t="n">
        <x:f>IF(AND(N258&gt;0,N258&lt;=O258),1,0)</x:f>
        <x:v>0</x:v>
      </x:c>
      <x:c r="Q258" s="22" t="n">
        <x:v>0</x:v>
      </x:c>
      <x:c r="R258" s="37" t="n">
        <x:f>IF(AND(P258=1,Q258=1),MIN(F258,M258,R257),0)</x:f>
        <x:v>0</x:v>
      </x:c>
      <x:c r="S258" s="23" t="str">
        <x:f>IF(R258&gt;=F258,"ADMITTED","NOT ADMITTED")</x:f>
        <x:v>NOT ADMITTED</x:v>
      </x:c>
    </x:row>
    <x:row r="259">
      <x:c r="B259" s="21" t="str">
        <x:v>SL-0253</x:v>
      </x:c>
      <x:c r="C259" s="21" t="str">
        <x:v>F22</x:v>
      </x:c>
      <x:c r="D259" s="21" t="n">
        <x:v>1</x:v>
      </x:c>
      <x:c r="E259" s="21" t="str">
        <x:v>Alert authentication</x:v>
      </x:c>
      <x:c r="F259" s="37" t="n">
        <x:f>'Family Register'!L28</x:f>
        <x:v>12</x:v>
      </x:c>
      <x:c r="G259" s="37" t="n">
        <x:f>INDEX(Scenarios!$K$7:$K$12,Assumptions!C7)</x:f>
        <x:v>0.75</x:v>
      </x:c>
      <x:c r="H259" s="37" t="n">
        <x:f>'Family Register'!G28*'Family Register'!I28*G259</x:f>
        <x:v>14.400000000000002</x:v>
      </x:c>
      <x:c r="I259" s="37" t="n">
        <x:f>F259</x:f>
        <x:v>12</x:v>
      </x:c>
      <x:c r="J259" s="37" t="n">
        <x:f>MIN(F259,H259,I259)</x:f>
        <x:v>12</x:v>
      </x:c>
      <x:c r="K259" s="22" t="n">
        <x:v>0</x:v>
      </x:c>
      <x:c r="L259" s="22" t="n">
        <x:v>0</x:v>
      </x:c>
      <x:c r="M259" s="37" t="n">
        <x:f>K259*L259</x:f>
        <x:v>0</x:v>
      </x:c>
      <x:c r="N259" s="22" t="n">
        <x:v>0</x:v>
      </x:c>
      <x:c r="O259" s="37" t="n">
        <x:f>2</x:f>
        <x:v>2</x:v>
      </x:c>
      <x:c r="P259" s="37" t="n">
        <x:f>IF(AND(N259&gt;0,N259&lt;=O259),1,0)</x:f>
        <x:v>0</x:v>
      </x:c>
      <x:c r="Q259" s="22" t="n">
        <x:v>0</x:v>
      </x:c>
      <x:c r="R259" s="37" t="n">
        <x:f>IF(AND(P259=1,Q259=1),MIN(F259,M259),0)</x:f>
        <x:v>0</x:v>
      </x:c>
      <x:c r="S259" s="23" t="str">
        <x:f>IF(R259&gt;=F259,"ADMITTED","NOT ADMITTED")</x:f>
        <x:v>NOT ADMITTED</x:v>
      </x:c>
    </x:row>
    <x:row r="260">
      <x:c r="B260" s="21" t="str">
        <x:v>SL-0254</x:v>
      </x:c>
      <x:c r="C260" s="21" t="str">
        <x:v>F22</x:v>
      </x:c>
      <x:c r="D260" s="21" t="n">
        <x:v>2</x:v>
      </x:c>
      <x:c r="E260" s="21" t="str">
        <x:v>Workforce muster</x:v>
      </x:c>
      <x:c r="F260" s="37" t="n">
        <x:f>'Family Register'!L28</x:f>
        <x:v>12</x:v>
      </x:c>
      <x:c r="G260" s="37" t="n">
        <x:f>INDEX(Scenarios!$J$7:$J$12,Assumptions!C7)</x:f>
        <x:v>0.8</x:v>
      </x:c>
      <x:c r="H260" s="37" t="n">
        <x:f>'Family Register'!G28*'Family Register'!I28*G260</x:f>
        <x:v>15.360000000000003</x:v>
      </x:c>
      <x:c r="I260" s="37" t="n">
        <x:f>J259</x:f>
        <x:v>12</x:v>
      </x:c>
      <x:c r="J260" s="37" t="n">
        <x:f>MIN(F260,H260,I260)</x:f>
        <x:v>12</x:v>
      </x:c>
      <x:c r="K260" s="22" t="n">
        <x:v>0</x:v>
      </x:c>
      <x:c r="L260" s="22" t="n">
        <x:v>0</x:v>
      </x:c>
      <x:c r="M260" s="37" t="n">
        <x:f>K260*L260</x:f>
        <x:v>0</x:v>
      </x:c>
      <x:c r="N260" s="22" t="n">
        <x:v>0</x:v>
      </x:c>
      <x:c r="O260" s="37" t="n">
        <x:f>12</x:f>
        <x:v>12</x:v>
      </x:c>
      <x:c r="P260" s="37" t="n">
        <x:f>IF(AND(N260&gt;0,N260&lt;=O260),1,0)</x:f>
        <x:v>0</x:v>
      </x:c>
      <x:c r="Q260" s="22" t="n">
        <x:v>0</x:v>
      </x:c>
      <x:c r="R260" s="37" t="n">
        <x:f>IF(AND(P260=1,Q260=1),MIN(F260,M260,R259),0)</x:f>
        <x:v>0</x:v>
      </x:c>
      <x:c r="S260" s="23" t="str">
        <x:f>IF(R260&gt;=F260,"ADMITTED","NOT ADMITTED")</x:f>
        <x:v>NOT ADMITTED</x:v>
      </x:c>
    </x:row>
    <x:row r="261">
      <x:c r="B261" s="21" t="str">
        <x:v>SL-0255</x:v>
      </x:c>
      <x:c r="C261" s="21" t="str">
        <x:v>F22</x:v>
      </x:c>
      <x:c r="D261" s="21" t="n">
        <x:v>3</x:v>
      </x:c>
      <x:c r="E261" s="21" t="str">
        <x:v>Facility utility and safe start</x:v>
      </x:c>
      <x:c r="F261" s="37" t="n">
        <x:f>'Family Register'!L28</x:f>
        <x:v>12</x:v>
      </x:c>
      <x:c r="G261" s="37" t="n">
        <x:f>INDEX(Scenarios!$G$7:$G$12,Assumptions!C7)</x:f>
        <x:v>0.7</x:v>
      </x:c>
      <x:c r="H261" s="37" t="n">
        <x:f>'Family Register'!G28*'Family Register'!I28*G261</x:f>
        <x:v>13.440000000000001</x:v>
      </x:c>
      <x:c r="I261" s="37" t="n">
        <x:f>J260</x:f>
        <x:v>12</x:v>
      </x:c>
      <x:c r="J261" s="37" t="n">
        <x:f>MIN(F261,H261,I261)</x:f>
        <x:v>12</x:v>
      </x:c>
      <x:c r="K261" s="22" t="n">
        <x:v>0</x:v>
      </x:c>
      <x:c r="L261" s="22" t="n">
        <x:v>0</x:v>
      </x:c>
      <x:c r="M261" s="37" t="n">
        <x:f>K261*L261</x:f>
        <x:v>0</x:v>
      </x:c>
      <x:c r="N261" s="22" t="n">
        <x:v>0</x:v>
      </x:c>
      <x:c r="O261" s="37" t="n">
        <x:f>24</x:f>
        <x:v>24</x:v>
      </x:c>
      <x:c r="P261" s="37" t="n">
        <x:f>IF(AND(N261&gt;0,N261&lt;=O261),1,0)</x:f>
        <x:v>0</x:v>
      </x:c>
      <x:c r="Q261" s="22" t="n">
        <x:v>0</x:v>
      </x:c>
      <x:c r="R261" s="37" t="n">
        <x:f>IF(AND(P261=1,Q261=1),MIN(F261,M261,R260),0)</x:f>
        <x:v>0</x:v>
      </x:c>
      <x:c r="S261" s="23" t="str">
        <x:f>IF(R261&gt;=F261,"ADMITTED","NOT ADMITTED")</x:f>
        <x:v>NOT ADMITTED</x:v>
      </x:c>
    </x:row>
    <x:row r="262">
      <x:c r="B262" s="21" t="str">
        <x:v>SL-0256</x:v>
      </x:c>
      <x:c r="C262" s="21" t="str">
        <x:v>F22</x:v>
      </x:c>
      <x:c r="D262" s="21" t="n">
        <x:v>4</x:v>
      </x:c>
      <x:c r="E262" s="21" t="str">
        <x:v>Material tooling and instrument release</x:v>
      </x:c>
      <x:c r="F262" s="37" t="n">
        <x:f>'Family Register'!L28</x:f>
        <x:v>12</x:v>
      </x:c>
      <x:c r="G262" s="37" t="n">
        <x:f>INDEX(Scenarios!$E$7:$E$12,Assumptions!C7)</x:f>
        <x:v>0.75</x:v>
      </x:c>
      <x:c r="H262" s="37" t="n">
        <x:f>'Family Register'!G28*'Family Register'!I28*G262</x:f>
        <x:v>14.400000000000002</x:v>
      </x:c>
      <x:c r="I262" s="37" t="n">
        <x:f>J261</x:f>
        <x:v>12</x:v>
      </x:c>
      <x:c r="J262" s="37" t="n">
        <x:f>MIN(F262,H262,I262)</x:f>
        <x:v>12</x:v>
      </x:c>
      <x:c r="K262" s="22" t="n">
        <x:v>0</x:v>
      </x:c>
      <x:c r="L262" s="22" t="n">
        <x:v>0</x:v>
      </x:c>
      <x:c r="M262" s="37" t="n">
        <x:f>K262*L262</x:f>
        <x:v>0</x:v>
      </x:c>
      <x:c r="N262" s="22" t="n">
        <x:v>0</x:v>
      </x:c>
      <x:c r="O262" s="37" t="n">
        <x:f>36</x:f>
        <x:v>36</x:v>
      </x:c>
      <x:c r="P262" s="37" t="n">
        <x:f>IF(AND(N262&gt;0,N262&lt;=O262),1,0)</x:f>
        <x:v>0</x:v>
      </x:c>
      <x:c r="Q262" s="22" t="n">
        <x:v>0</x:v>
      </x:c>
      <x:c r="R262" s="37" t="n">
        <x:f>IF(AND(P262=1,Q262=1),MIN(F262,M262,R261),0)</x:f>
        <x:v>0</x:v>
      </x:c>
      <x:c r="S262" s="23" t="str">
        <x:f>IF(R262&gt;=F262,"ADMITTED","NOT ADMITTED")</x:f>
        <x:v>NOT ADMITTED</x:v>
      </x:c>
    </x:row>
    <x:row r="263">
      <x:c r="B263" s="21" t="str">
        <x:v>SL-0257</x:v>
      </x:c>
      <x:c r="C263" s="21" t="str">
        <x:v>F22</x:v>
      </x:c>
      <x:c r="D263" s="21" t="n">
        <x:v>5</x:v>
      </x:c>
      <x:c r="E263" s="21" t="str">
        <x:v>Supplier and process activation</x:v>
      </x:c>
      <x:c r="F263" s="37" t="n">
        <x:f>'Family Register'!L28</x:f>
        <x:v>12</x:v>
      </x:c>
      <x:c r="G263" s="37" t="n">
        <x:f>MIN(INDEX(Scenarios!$E$7:$E$12,Assumptions!C7),INDEX(Scenarios!$F$7:$F$12,Assumptions!C7))</x:f>
        <x:v>0.7</x:v>
      </x:c>
      <x:c r="H263" s="37" t="n">
        <x:f>'Family Register'!G28*'Family Register'!I28*G263</x:f>
        <x:v>13.440000000000001</x:v>
      </x:c>
      <x:c r="I263" s="37" t="n">
        <x:f>J262</x:f>
        <x:v>12</x:v>
      </x:c>
      <x:c r="J263" s="37" t="n">
        <x:f>MIN(F263,H263,I263)</x:f>
        <x:v>12</x:v>
      </x:c>
      <x:c r="K263" s="22" t="n">
        <x:v>0</x:v>
      </x:c>
      <x:c r="L263" s="22" t="n">
        <x:v>0</x:v>
      </x:c>
      <x:c r="M263" s="37" t="n">
        <x:f>K263*L263</x:f>
        <x:v>0</x:v>
      </x:c>
      <x:c r="N263" s="22" t="n">
        <x:v>0</x:v>
      </x:c>
      <x:c r="O263" s="37" t="n">
        <x:f>48</x:f>
        <x:v>48</x:v>
      </x:c>
      <x:c r="P263" s="37" t="n">
        <x:f>IF(AND(N263&gt;0,N263&lt;=O263),1,0)</x:f>
        <x:v>0</x:v>
      </x:c>
      <x:c r="Q263" s="22" t="n">
        <x:v>0</x:v>
      </x:c>
      <x:c r="R263" s="37" t="n">
        <x:f>IF(AND(P263=1,Q263=1),MIN(F263,M263,R262),0)</x:f>
        <x:v>0</x:v>
      </x:c>
      <x:c r="S263" s="23" t="str">
        <x:f>IF(R263&gt;=F263,"ADMITTED","NOT ADMITTED")</x:f>
        <x:v>NOT ADMITTED</x:v>
      </x:c>
    </x:row>
    <x:row r="264">
      <x:c r="B264" s="21" t="str">
        <x:v>SL-0258</x:v>
      </x:c>
      <x:c r="C264" s="21" t="str">
        <x:v>F22</x:v>
      </x:c>
      <x:c r="D264" s="21" t="n">
        <x:v>6</x:v>
      </x:c>
      <x:c r="E264" s="21" t="str">
        <x:v>Conforming production</x:v>
      </x:c>
      <x:c r="F264" s="37" t="n">
        <x:f>'Family Register'!L28</x:f>
        <x:v>12</x:v>
      </x:c>
      <x:c r="G264" s="37" t="n">
        <x:f>INDEX(Scenarios!$F$7:$F$12,Assumptions!C7)</x:f>
        <x:v>0.7</x:v>
      </x:c>
      <x:c r="H264" s="37" t="n">
        <x:f>'Family Register'!G28*'Family Register'!I28*G264</x:f>
        <x:v>13.440000000000001</x:v>
      </x:c>
      <x:c r="I264" s="37" t="n">
        <x:f>J263</x:f>
        <x:v>12</x:v>
      </x:c>
      <x:c r="J264" s="37" t="n">
        <x:f>MIN(F264,H264,I264)</x:f>
        <x:v>12</x:v>
      </x:c>
      <x:c r="K264" s="22" t="n">
        <x:v>0</x:v>
      </x:c>
      <x:c r="L264" s="22" t="n">
        <x:v>0</x:v>
      </x:c>
      <x:c r="M264" s="37" t="n">
        <x:f>K264*L264</x:f>
        <x:v>0</x:v>
      </x:c>
      <x:c r="N264" s="22" t="n">
        <x:v>0</x:v>
      </x:c>
      <x:c r="O264" s="37" t="n">
        <x:f>'Family Register'!H28*0.55</x:f>
        <x:v>92.4</x:v>
      </x:c>
      <x:c r="P264" s="37" t="n">
        <x:f>IF(AND(N264&gt;0,N264&lt;=O264),1,0)</x:f>
        <x:v>0</x:v>
      </x:c>
      <x:c r="Q264" s="22" t="n">
        <x:v>0</x:v>
      </x:c>
      <x:c r="R264" s="37" t="n">
        <x:f>IF(AND(P264=1,Q264=1),MIN(F264,M264,R263),0)</x:f>
        <x:v>0</x:v>
      </x:c>
      <x:c r="S264" s="23" t="str">
        <x:f>IF(R264&gt;=F264,"ADMITTED","NOT ADMITTED")</x:f>
        <x:v>NOT ADMITTED</x:v>
      </x:c>
    </x:row>
    <x:row r="265">
      <x:c r="B265" s="21" t="str">
        <x:v>SL-0259</x:v>
      </x:c>
      <x:c r="C265" s="21" t="str">
        <x:v>F22</x:v>
      </x:c>
      <x:c r="D265" s="21" t="n">
        <x:v>7</x:v>
      </x:c>
      <x:c r="E265" s="21" t="str">
        <x:v>Independent acceptance</x:v>
      </x:c>
      <x:c r="F265" s="37" t="n">
        <x:f>'Family Register'!L28</x:f>
        <x:v>12</x:v>
      </x:c>
      <x:c r="G265" s="37" t="n">
        <x:f>INDEX(Scenarios!$L$7:$L$12,Assumptions!C7)</x:f>
        <x:v>0.8</x:v>
      </x:c>
      <x:c r="H265" s="37" t="n">
        <x:f>'Family Register'!G28*'Family Register'!I28*G265</x:f>
        <x:v>15.360000000000003</x:v>
      </x:c>
      <x:c r="I265" s="37" t="n">
        <x:f>J264</x:f>
        <x:v>12</x:v>
      </x:c>
      <x:c r="J265" s="37" t="n">
        <x:f>MIN(F265,H265,I265)</x:f>
        <x:v>12</x:v>
      </x:c>
      <x:c r="K265" s="22" t="n">
        <x:v>0</x:v>
      </x:c>
      <x:c r="L265" s="22" t="n">
        <x:v>0</x:v>
      </x:c>
      <x:c r="M265" s="37" t="n">
        <x:f>K265*L265</x:f>
        <x:v>0</x:v>
      </x:c>
      <x:c r="N265" s="22" t="n">
        <x:v>0</x:v>
      </x:c>
      <x:c r="O265" s="37" t="n">
        <x:f>'Family Register'!H28*0.65</x:f>
        <x:v>109.2</x:v>
      </x:c>
      <x:c r="P265" s="37" t="n">
        <x:f>IF(AND(N265&gt;0,N265&lt;=O265),1,0)</x:f>
        <x:v>0</x:v>
      </x:c>
      <x:c r="Q265" s="22" t="n">
        <x:v>0</x:v>
      </x:c>
      <x:c r="R265" s="37" t="n">
        <x:f>IF(AND(P265=1,Q265=1),MIN(F265,M265,R264),0)</x:f>
        <x:v>0</x:v>
      </x:c>
      <x:c r="S265" s="23" t="str">
        <x:f>IF(R265&gt;=F265,"ADMITTED","NOT ADMITTED")</x:f>
        <x:v>NOT ADMITTED</x:v>
      </x:c>
    </x:row>
    <x:row r="266">
      <x:c r="B266" s="21" t="str">
        <x:v>SL-0260</x:v>
      </x:c>
      <x:c r="C266" s="21" t="str">
        <x:v>F22</x:v>
      </x:c>
      <x:c r="D266" s="21" t="n">
        <x:v>8</x:v>
      </x:c>
      <x:c r="E266" s="21" t="str">
        <x:v>Loadout and custody transfer</x:v>
      </x:c>
      <x:c r="F266" s="37" t="n">
        <x:f>'Family Register'!L28</x:f>
        <x:v>12</x:v>
      </x:c>
      <x:c r="G266" s="37" t="n">
        <x:f>INDEX(Scenarios!$H$7:$H$12,Assumptions!C7)</x:f>
        <x:v>0.65</x:v>
      </x:c>
      <x:c r="H266" s="37" t="n">
        <x:f>'Family Register'!G28*'Family Register'!I28*G266</x:f>
        <x:v>12.480000000000002</x:v>
      </x:c>
      <x:c r="I266" s="37" t="n">
        <x:f>J265</x:f>
        <x:v>12</x:v>
      </x:c>
      <x:c r="J266" s="37" t="n">
        <x:f>MIN(F266,H266,I266)</x:f>
        <x:v>12</x:v>
      </x:c>
      <x:c r="K266" s="22" t="n">
        <x:v>0</x:v>
      </x:c>
      <x:c r="L266" s="22" t="n">
        <x:v>0</x:v>
      </x:c>
      <x:c r="M266" s="37" t="n">
        <x:f>K266*L266</x:f>
        <x:v>0</x:v>
      </x:c>
      <x:c r="N266" s="22" t="n">
        <x:v>0</x:v>
      </x:c>
      <x:c r="O266" s="37" t="n">
        <x:f>'Family Register'!H28*0.7</x:f>
        <x:v>117.6</x:v>
      </x:c>
      <x:c r="P266" s="37" t="n">
        <x:f>IF(AND(N266&gt;0,N266&lt;=O266),1,0)</x:f>
        <x:v>0</x:v>
      </x:c>
      <x:c r="Q266" s="22" t="n">
        <x:v>0</x:v>
      </x:c>
      <x:c r="R266" s="37" t="n">
        <x:f>IF(AND(P266=1,Q266=1),MIN(F266,M266,R265),0)</x:f>
        <x:v>0</x:v>
      </x:c>
      <x:c r="S266" s="23" t="str">
        <x:f>IF(R266&gt;=F266,"ADMITTED","NOT ADMITTED")</x:f>
        <x:v>NOT ADMITTED</x:v>
      </x:c>
    </x:row>
    <x:row r="267">
      <x:c r="B267" s="21" t="str">
        <x:v>SL-0261</x:v>
      </x:c>
      <x:c r="C267" s="21" t="str">
        <x:v>F22</x:v>
      </x:c>
      <x:c r="D267" s="21" t="n">
        <x:v>9</x:v>
      </x:c>
      <x:c r="E267" s="21" t="str">
        <x:v>Strategic transport</x:v>
      </x:c>
      <x:c r="F267" s="37" t="n">
        <x:f>'Family Register'!L28</x:f>
        <x:v>12</x:v>
      </x:c>
      <x:c r="G267" s="37" t="n">
        <x:f>INDEX(Scenarios!$H$7:$H$12,Assumptions!C7)</x:f>
        <x:v>0.65</x:v>
      </x:c>
      <x:c r="H267" s="37" t="n">
        <x:f>'Family Register'!G28*'Family Register'!I28*G267</x:f>
        <x:v>12.480000000000002</x:v>
      </x:c>
      <x:c r="I267" s="37" t="n">
        <x:f>J266</x:f>
        <x:v>12</x:v>
      </x:c>
      <x:c r="J267" s="37" t="n">
        <x:f>MIN(F267,H267,I267)</x:f>
        <x:v>12</x:v>
      </x:c>
      <x:c r="K267" s="22" t="n">
        <x:v>0</x:v>
      </x:c>
      <x:c r="L267" s="22" t="n">
        <x:v>0</x:v>
      </x:c>
      <x:c r="M267" s="37" t="n">
        <x:f>K267*L267</x:f>
        <x:v>0</x:v>
      </x:c>
      <x:c r="N267" s="22" t="n">
        <x:v>0</x:v>
      </x:c>
      <x:c r="O267" s="37" t="n">
        <x:f>'Family Register'!H28*0.9</x:f>
        <x:v>151.20000000000002</x:v>
      </x:c>
      <x:c r="P267" s="37" t="n">
        <x:f>IF(AND(N267&gt;0,N267&lt;=O267),1,0)</x:f>
        <x:v>0</x:v>
      </x:c>
      <x:c r="Q267" s="22" t="n">
        <x:v>0</x:v>
      </x:c>
      <x:c r="R267" s="37" t="n">
        <x:f>IF(AND(P267=1,Q267=1),MIN(F267,M267,R266),0)</x:f>
        <x:v>0</x:v>
      </x:c>
      <x:c r="S267" s="23" t="str">
        <x:f>IF(R267&gt;=F267,"ADMITTED","NOT ADMITTED")</x:f>
        <x:v>NOT ADMITTED</x:v>
      </x:c>
    </x:row>
    <x:row r="268">
      <x:c r="B268" s="21" t="str">
        <x:v>SL-0262</x:v>
      </x:c>
      <x:c r="C268" s="21" t="str">
        <x:v>F22</x:v>
      </x:c>
      <x:c r="D268" s="21" t="n">
        <x:v>10</x:v>
      </x:c>
      <x:c r="E268" s="21" t="str">
        <x:v>Receiving-node admission</x:v>
      </x:c>
      <x:c r="F268" s="37" t="n">
        <x:f>'Family Register'!L28</x:f>
        <x:v>12</x:v>
      </x:c>
      <x:c r="G268" s="37" t="n">
        <x:f>INDEX(Scenarios!$I$7:$I$12,Assumptions!C7)</x:f>
        <x:v>0.75</x:v>
      </x:c>
      <x:c r="H268" s="37" t="n">
        <x:f>'Family Register'!G28*'Family Register'!I28*G268</x:f>
        <x:v>14.400000000000002</x:v>
      </x:c>
      <x:c r="I268" s="37" t="n">
        <x:f>J267</x:f>
        <x:v>12</x:v>
      </x:c>
      <x:c r="J268" s="37" t="n">
        <x:f>MIN(F268,H268,I268)</x:f>
        <x:v>12</x:v>
      </x:c>
      <x:c r="K268" s="22" t="n">
        <x:v>0</x:v>
      </x:c>
      <x:c r="L268" s="22" t="n">
        <x:v>0</x:v>
      </x:c>
      <x:c r="M268" s="37" t="n">
        <x:f>K268*L268</x:f>
        <x:v>0</x:v>
      </x:c>
      <x:c r="N268" s="22" t="n">
        <x:v>0</x:v>
      </x:c>
      <x:c r="O268" s="37" t="n">
        <x:f>'Family Register'!H28*0.94</x:f>
        <x:v>157.92</x:v>
      </x:c>
      <x:c r="P268" s="37" t="n">
        <x:f>IF(AND(N268&gt;0,N268&lt;=O268),1,0)</x:f>
        <x:v>0</x:v>
      </x:c>
      <x:c r="Q268" s="22" t="n">
        <x:v>0</x:v>
      </x:c>
      <x:c r="R268" s="37" t="n">
        <x:f>IF(AND(P268=1,Q268=1),MIN(F268,M268,R267),0)</x:f>
        <x:v>0</x:v>
      </x:c>
      <x:c r="S268" s="23" t="str">
        <x:f>IF(R268&gt;=F268,"ADMITTED","NOT ADMITTED")</x:f>
        <x:v>NOT ADMITTED</x:v>
      </x:c>
    </x:row>
    <x:row r="269">
      <x:c r="B269" s="21" t="str">
        <x:v>SL-0263</x:v>
      </x:c>
      <x:c r="C269" s="21" t="str">
        <x:v>F22</x:v>
      </x:c>
      <x:c r="D269" s="21" t="n">
        <x:v>11</x:v>
      </x:c>
      <x:c r="E269" s="21" t="str">
        <x:v>Commissioned public service</x:v>
      </x:c>
      <x:c r="F269" s="37" t="n">
        <x:f>'Family Register'!L28</x:f>
        <x:v>12</x:v>
      </x:c>
      <x:c r="G269" s="37" t="n">
        <x:f>MIN(INDEX(Scenarios!$G$7:$G$12,Assumptions!C7),INDEX(Scenarios!$I$7:$I$12,Assumptions!C7))</x:f>
        <x:v>0.7</x:v>
      </x:c>
      <x:c r="H269" s="37" t="n">
        <x:f>'Family Register'!G28*'Family Register'!I28*G269</x:f>
        <x:v>13.440000000000001</x:v>
      </x:c>
      <x:c r="I269" s="37" t="n">
        <x:f>J268</x:f>
        <x:v>12</x:v>
      </x:c>
      <x:c r="J269" s="37" t="n">
        <x:f>MIN(F269,H269,I269)</x:f>
        <x:v>12</x:v>
      </x:c>
      <x:c r="K269" s="22" t="n">
        <x:v>0</x:v>
      </x:c>
      <x:c r="L269" s="22" t="n">
        <x:v>0</x:v>
      </x:c>
      <x:c r="M269" s="37" t="n">
        <x:f>K269*L269</x:f>
        <x:v>0</x:v>
      </x:c>
      <x:c r="N269" s="22" t="n">
        <x:v>0</x:v>
      </x:c>
      <x:c r="O269" s="37" t="n">
        <x:f>'Family Register'!H28*1</x:f>
        <x:v>168</x:v>
      </x:c>
      <x:c r="P269" s="37" t="n">
        <x:f>IF(AND(N269&gt;0,N269&lt;=O269),1,0)</x:f>
        <x:v>0</x:v>
      </x:c>
      <x:c r="Q269" s="22" t="n">
        <x:v>0</x:v>
      </x:c>
      <x:c r="R269" s="37" t="n">
        <x:f>IF(AND(P269=1,Q269=1),MIN(F269,M269,R268),0)</x:f>
        <x:v>0</x:v>
      </x:c>
      <x:c r="S269" s="23" t="str">
        <x:f>IF(R269&gt;=F269,"ADMITTED","NOT ADMITTED")</x:f>
        <x:v>NOT ADMITTED</x:v>
      </x:c>
    </x:row>
    <x:row r="270">
      <x:c r="B270" s="21" t="str">
        <x:v>SL-0264</x:v>
      </x:c>
      <x:c r="C270" s="21" t="str">
        <x:v>F22</x:v>
      </x:c>
      <x:c r="D270" s="21" t="n">
        <x:v>12</x:v>
      </x:c>
      <x:c r="E270" s="21" t="str">
        <x:v>Regeneration and replacement</x:v>
      </x:c>
      <x:c r="F270" s="37" t="n">
        <x:f>'Family Register'!L28</x:f>
        <x:v>12</x:v>
      </x:c>
      <x:c r="G270" s="37" t="n">
        <x:f>MIN(INDEX(Scenarios!$E$7:$E$12,Assumptions!C7),INDEX(Scenarios!$F$7:$F$12,Assumptions!C7))</x:f>
        <x:v>0.7</x:v>
      </x:c>
      <x:c r="H270" s="37" t="n">
        <x:f>'Family Register'!G28*'Family Register'!I28*G270</x:f>
        <x:v>13.440000000000001</x:v>
      </x:c>
      <x:c r="I270" s="37" t="n">
        <x:f>J269</x:f>
        <x:v>12</x:v>
      </x:c>
      <x:c r="J270" s="37" t="n">
        <x:f>MIN(F270,H270,I270)</x:f>
        <x:v>12</x:v>
      </x:c>
      <x:c r="K270" s="22" t="n">
        <x:v>0</x:v>
      </x:c>
      <x:c r="L270" s="22" t="n">
        <x:v>0</x:v>
      </x:c>
      <x:c r="M270" s="37" t="n">
        <x:f>K270*L270</x:f>
        <x:v>0</x:v>
      </x:c>
      <x:c r="N270" s="22" t="n">
        <x:v>0</x:v>
      </x:c>
      <x:c r="O270" s="37" t="n">
        <x:f>'Family Register'!H28+168</x:f>
        <x:v>336</x:v>
      </x:c>
      <x:c r="P270" s="37" t="n">
        <x:f>IF(AND(N270&gt;0,N270&lt;=O270),1,0)</x:f>
        <x:v>0</x:v>
      </x:c>
      <x:c r="Q270" s="22" t="n">
        <x:v>0</x:v>
      </x:c>
      <x:c r="R270" s="37" t="n">
        <x:f>IF(AND(P270=1,Q270=1),MIN(F270,M270,R269),0)</x:f>
        <x:v>0</x:v>
      </x:c>
      <x:c r="S270" s="23" t="str">
        <x:f>IF(R270&gt;=F270,"ADMITTED","NOT ADMITTED")</x:f>
        <x:v>NOT ADMITTED</x:v>
      </x:c>
    </x:row>
    <x:row r="271">
      <x:c r="B271" s="21" t="str">
        <x:v>SL-0265</x:v>
      </x:c>
      <x:c r="C271" s="21" t="str">
        <x:v>F23</x:v>
      </x:c>
      <x:c r="D271" s="21" t="n">
        <x:v>1</x:v>
      </x:c>
      <x:c r="E271" s="21" t="str">
        <x:v>Alert authentication</x:v>
      </x:c>
      <x:c r="F271" s="37" t="n">
        <x:f>'Family Register'!L29</x:f>
        <x:v>12</x:v>
      </x:c>
      <x:c r="G271" s="37" t="n">
        <x:f>INDEX(Scenarios!$K$7:$K$12,Assumptions!C7)</x:f>
        <x:v>0.75</x:v>
      </x:c>
      <x:c r="H271" s="37" t="n">
        <x:f>'Family Register'!G29*'Family Register'!I29*G271</x:f>
        <x:v>14.400000000000002</x:v>
      </x:c>
      <x:c r="I271" s="37" t="n">
        <x:f>F271</x:f>
        <x:v>12</x:v>
      </x:c>
      <x:c r="J271" s="37" t="n">
        <x:f>MIN(F271,H271,I271)</x:f>
        <x:v>12</x:v>
      </x:c>
      <x:c r="K271" s="22" t="n">
        <x:v>0</x:v>
      </x:c>
      <x:c r="L271" s="22" t="n">
        <x:v>0</x:v>
      </x:c>
      <x:c r="M271" s="37" t="n">
        <x:f>K271*L271</x:f>
        <x:v>0</x:v>
      </x:c>
      <x:c r="N271" s="22" t="n">
        <x:v>0</x:v>
      </x:c>
      <x:c r="O271" s="37" t="n">
        <x:f>2</x:f>
        <x:v>2</x:v>
      </x:c>
      <x:c r="P271" s="37" t="n">
        <x:f>IF(AND(N271&gt;0,N271&lt;=O271),1,0)</x:f>
        <x:v>0</x:v>
      </x:c>
      <x:c r="Q271" s="22" t="n">
        <x:v>0</x:v>
      </x:c>
      <x:c r="R271" s="37" t="n">
        <x:f>IF(AND(P271=1,Q271=1),MIN(F271,M271),0)</x:f>
        <x:v>0</x:v>
      </x:c>
      <x:c r="S271" s="23" t="str">
        <x:f>IF(R271&gt;=F271,"ADMITTED","NOT ADMITTED")</x:f>
        <x:v>NOT ADMITTED</x:v>
      </x:c>
    </x:row>
    <x:row r="272">
      <x:c r="B272" s="21" t="str">
        <x:v>SL-0266</x:v>
      </x:c>
      <x:c r="C272" s="21" t="str">
        <x:v>F23</x:v>
      </x:c>
      <x:c r="D272" s="21" t="n">
        <x:v>2</x:v>
      </x:c>
      <x:c r="E272" s="21" t="str">
        <x:v>Workforce muster</x:v>
      </x:c>
      <x:c r="F272" s="37" t="n">
        <x:f>'Family Register'!L29</x:f>
        <x:v>12</x:v>
      </x:c>
      <x:c r="G272" s="37" t="n">
        <x:f>INDEX(Scenarios!$J$7:$J$12,Assumptions!C7)</x:f>
        <x:v>0.8</x:v>
      </x:c>
      <x:c r="H272" s="37" t="n">
        <x:f>'Family Register'!G29*'Family Register'!I29*G272</x:f>
        <x:v>15.360000000000003</x:v>
      </x:c>
      <x:c r="I272" s="37" t="n">
        <x:f>J271</x:f>
        <x:v>12</x:v>
      </x:c>
      <x:c r="J272" s="37" t="n">
        <x:f>MIN(F272,H272,I272)</x:f>
        <x:v>12</x:v>
      </x:c>
      <x:c r="K272" s="22" t="n">
        <x:v>0</x:v>
      </x:c>
      <x:c r="L272" s="22" t="n">
        <x:v>0</x:v>
      </x:c>
      <x:c r="M272" s="37" t="n">
        <x:f>K272*L272</x:f>
        <x:v>0</x:v>
      </x:c>
      <x:c r="N272" s="22" t="n">
        <x:v>0</x:v>
      </x:c>
      <x:c r="O272" s="37" t="n">
        <x:f>12</x:f>
        <x:v>12</x:v>
      </x:c>
      <x:c r="P272" s="37" t="n">
        <x:f>IF(AND(N272&gt;0,N272&lt;=O272),1,0)</x:f>
        <x:v>0</x:v>
      </x:c>
      <x:c r="Q272" s="22" t="n">
        <x:v>0</x:v>
      </x:c>
      <x:c r="R272" s="37" t="n">
        <x:f>IF(AND(P272=1,Q272=1),MIN(F272,M272,R271),0)</x:f>
        <x:v>0</x:v>
      </x:c>
      <x:c r="S272" s="23" t="str">
        <x:f>IF(R272&gt;=F272,"ADMITTED","NOT ADMITTED")</x:f>
        <x:v>NOT ADMITTED</x:v>
      </x:c>
    </x:row>
    <x:row r="273">
      <x:c r="B273" s="21" t="str">
        <x:v>SL-0267</x:v>
      </x:c>
      <x:c r="C273" s="21" t="str">
        <x:v>F23</x:v>
      </x:c>
      <x:c r="D273" s="21" t="n">
        <x:v>3</x:v>
      </x:c>
      <x:c r="E273" s="21" t="str">
        <x:v>Facility utility and safe start</x:v>
      </x:c>
      <x:c r="F273" s="37" t="n">
        <x:f>'Family Register'!L29</x:f>
        <x:v>12</x:v>
      </x:c>
      <x:c r="G273" s="37" t="n">
        <x:f>INDEX(Scenarios!$G$7:$G$12,Assumptions!C7)</x:f>
        <x:v>0.7</x:v>
      </x:c>
      <x:c r="H273" s="37" t="n">
        <x:f>'Family Register'!G29*'Family Register'!I29*G273</x:f>
        <x:v>13.440000000000001</x:v>
      </x:c>
      <x:c r="I273" s="37" t="n">
        <x:f>J272</x:f>
        <x:v>12</x:v>
      </x:c>
      <x:c r="J273" s="37" t="n">
        <x:f>MIN(F273,H273,I273)</x:f>
        <x:v>12</x:v>
      </x:c>
      <x:c r="K273" s="22" t="n">
        <x:v>0</x:v>
      </x:c>
      <x:c r="L273" s="22" t="n">
        <x:v>0</x:v>
      </x:c>
      <x:c r="M273" s="37" t="n">
        <x:f>K273*L273</x:f>
        <x:v>0</x:v>
      </x:c>
      <x:c r="N273" s="22" t="n">
        <x:v>0</x:v>
      </x:c>
      <x:c r="O273" s="37" t="n">
        <x:f>24</x:f>
        <x:v>24</x:v>
      </x:c>
      <x:c r="P273" s="37" t="n">
        <x:f>IF(AND(N273&gt;0,N273&lt;=O273),1,0)</x:f>
        <x:v>0</x:v>
      </x:c>
      <x:c r="Q273" s="22" t="n">
        <x:v>0</x:v>
      </x:c>
      <x:c r="R273" s="37" t="n">
        <x:f>IF(AND(P273=1,Q273=1),MIN(F273,M273,R272),0)</x:f>
        <x:v>0</x:v>
      </x:c>
      <x:c r="S273" s="23" t="str">
        <x:f>IF(R273&gt;=F273,"ADMITTED","NOT ADMITTED")</x:f>
        <x:v>NOT ADMITTED</x:v>
      </x:c>
    </x:row>
    <x:row r="274">
      <x:c r="B274" s="21" t="str">
        <x:v>SL-0268</x:v>
      </x:c>
      <x:c r="C274" s="21" t="str">
        <x:v>F23</x:v>
      </x:c>
      <x:c r="D274" s="21" t="n">
        <x:v>4</x:v>
      </x:c>
      <x:c r="E274" s="21" t="str">
        <x:v>Material tooling and instrument release</x:v>
      </x:c>
      <x:c r="F274" s="37" t="n">
        <x:f>'Family Register'!L29</x:f>
        <x:v>12</x:v>
      </x:c>
      <x:c r="G274" s="37" t="n">
        <x:f>INDEX(Scenarios!$E$7:$E$12,Assumptions!C7)</x:f>
        <x:v>0.75</x:v>
      </x:c>
      <x:c r="H274" s="37" t="n">
        <x:f>'Family Register'!G29*'Family Register'!I29*G274</x:f>
        <x:v>14.400000000000002</x:v>
      </x:c>
      <x:c r="I274" s="37" t="n">
        <x:f>J273</x:f>
        <x:v>12</x:v>
      </x:c>
      <x:c r="J274" s="37" t="n">
        <x:f>MIN(F274,H274,I274)</x:f>
        <x:v>12</x:v>
      </x:c>
      <x:c r="K274" s="22" t="n">
        <x:v>0</x:v>
      </x:c>
      <x:c r="L274" s="22" t="n">
        <x:v>0</x:v>
      </x:c>
      <x:c r="M274" s="37" t="n">
        <x:f>K274*L274</x:f>
        <x:v>0</x:v>
      </x:c>
      <x:c r="N274" s="22" t="n">
        <x:v>0</x:v>
      </x:c>
      <x:c r="O274" s="37" t="n">
        <x:f>36</x:f>
        <x:v>36</x:v>
      </x:c>
      <x:c r="P274" s="37" t="n">
        <x:f>IF(AND(N274&gt;0,N274&lt;=O274),1,0)</x:f>
        <x:v>0</x:v>
      </x:c>
      <x:c r="Q274" s="22" t="n">
        <x:v>0</x:v>
      </x:c>
      <x:c r="R274" s="37" t="n">
        <x:f>IF(AND(P274=1,Q274=1),MIN(F274,M274,R273),0)</x:f>
        <x:v>0</x:v>
      </x:c>
      <x:c r="S274" s="23" t="str">
        <x:f>IF(R274&gt;=F274,"ADMITTED","NOT ADMITTED")</x:f>
        <x:v>NOT ADMITTED</x:v>
      </x:c>
    </x:row>
    <x:row r="275">
      <x:c r="B275" s="21" t="str">
        <x:v>SL-0269</x:v>
      </x:c>
      <x:c r="C275" s="21" t="str">
        <x:v>F23</x:v>
      </x:c>
      <x:c r="D275" s="21" t="n">
        <x:v>5</x:v>
      </x:c>
      <x:c r="E275" s="21" t="str">
        <x:v>Supplier and process activation</x:v>
      </x:c>
      <x:c r="F275" s="37" t="n">
        <x:f>'Family Register'!L29</x:f>
        <x:v>12</x:v>
      </x:c>
      <x:c r="G275" s="37" t="n">
        <x:f>MIN(INDEX(Scenarios!$E$7:$E$12,Assumptions!C7),INDEX(Scenarios!$F$7:$F$12,Assumptions!C7))</x:f>
        <x:v>0.7</x:v>
      </x:c>
      <x:c r="H275" s="37" t="n">
        <x:f>'Family Register'!G29*'Family Register'!I29*G275</x:f>
        <x:v>13.440000000000001</x:v>
      </x:c>
      <x:c r="I275" s="37" t="n">
        <x:f>J274</x:f>
        <x:v>12</x:v>
      </x:c>
      <x:c r="J275" s="37" t="n">
        <x:f>MIN(F275,H275,I275)</x:f>
        <x:v>12</x:v>
      </x:c>
      <x:c r="K275" s="22" t="n">
        <x:v>0</x:v>
      </x:c>
      <x:c r="L275" s="22" t="n">
        <x:v>0</x:v>
      </x:c>
      <x:c r="M275" s="37" t="n">
        <x:f>K275*L275</x:f>
        <x:v>0</x:v>
      </x:c>
      <x:c r="N275" s="22" t="n">
        <x:v>0</x:v>
      </x:c>
      <x:c r="O275" s="37" t="n">
        <x:f>48</x:f>
        <x:v>48</x:v>
      </x:c>
      <x:c r="P275" s="37" t="n">
        <x:f>IF(AND(N275&gt;0,N275&lt;=O275),1,0)</x:f>
        <x:v>0</x:v>
      </x:c>
      <x:c r="Q275" s="22" t="n">
        <x:v>0</x:v>
      </x:c>
      <x:c r="R275" s="37" t="n">
        <x:f>IF(AND(P275=1,Q275=1),MIN(F275,M275,R274),0)</x:f>
        <x:v>0</x:v>
      </x:c>
      <x:c r="S275" s="23" t="str">
        <x:f>IF(R275&gt;=F275,"ADMITTED","NOT ADMITTED")</x:f>
        <x:v>NOT ADMITTED</x:v>
      </x:c>
    </x:row>
    <x:row r="276">
      <x:c r="B276" s="21" t="str">
        <x:v>SL-0270</x:v>
      </x:c>
      <x:c r="C276" s="21" t="str">
        <x:v>F23</x:v>
      </x:c>
      <x:c r="D276" s="21" t="n">
        <x:v>6</x:v>
      </x:c>
      <x:c r="E276" s="21" t="str">
        <x:v>Conforming production</x:v>
      </x:c>
      <x:c r="F276" s="37" t="n">
        <x:f>'Family Register'!L29</x:f>
        <x:v>12</x:v>
      </x:c>
      <x:c r="G276" s="37" t="n">
        <x:f>INDEX(Scenarios!$F$7:$F$12,Assumptions!C7)</x:f>
        <x:v>0.7</x:v>
      </x:c>
      <x:c r="H276" s="37" t="n">
        <x:f>'Family Register'!G29*'Family Register'!I29*G276</x:f>
        <x:v>13.440000000000001</x:v>
      </x:c>
      <x:c r="I276" s="37" t="n">
        <x:f>J275</x:f>
        <x:v>12</x:v>
      </x:c>
      <x:c r="J276" s="37" t="n">
        <x:f>MIN(F276,H276,I276)</x:f>
        <x:v>12</x:v>
      </x:c>
      <x:c r="K276" s="22" t="n">
        <x:v>0</x:v>
      </x:c>
      <x:c r="L276" s="22" t="n">
        <x:v>0</x:v>
      </x:c>
      <x:c r="M276" s="37" t="n">
        <x:f>K276*L276</x:f>
        <x:v>0</x:v>
      </x:c>
      <x:c r="N276" s="22" t="n">
        <x:v>0</x:v>
      </x:c>
      <x:c r="O276" s="37" t="n">
        <x:f>'Family Register'!H29*0.55</x:f>
        <x:v>92.4</x:v>
      </x:c>
      <x:c r="P276" s="37" t="n">
        <x:f>IF(AND(N276&gt;0,N276&lt;=O276),1,0)</x:f>
        <x:v>0</x:v>
      </x:c>
      <x:c r="Q276" s="22" t="n">
        <x:v>0</x:v>
      </x:c>
      <x:c r="R276" s="37" t="n">
        <x:f>IF(AND(P276=1,Q276=1),MIN(F276,M276,R275),0)</x:f>
        <x:v>0</x:v>
      </x:c>
      <x:c r="S276" s="23" t="str">
        <x:f>IF(R276&gt;=F276,"ADMITTED","NOT ADMITTED")</x:f>
        <x:v>NOT ADMITTED</x:v>
      </x:c>
    </x:row>
    <x:row r="277">
      <x:c r="B277" s="21" t="str">
        <x:v>SL-0271</x:v>
      </x:c>
      <x:c r="C277" s="21" t="str">
        <x:v>F23</x:v>
      </x:c>
      <x:c r="D277" s="21" t="n">
        <x:v>7</x:v>
      </x:c>
      <x:c r="E277" s="21" t="str">
        <x:v>Independent acceptance</x:v>
      </x:c>
      <x:c r="F277" s="37" t="n">
        <x:f>'Family Register'!L29</x:f>
        <x:v>12</x:v>
      </x:c>
      <x:c r="G277" s="37" t="n">
        <x:f>INDEX(Scenarios!$L$7:$L$12,Assumptions!C7)</x:f>
        <x:v>0.8</x:v>
      </x:c>
      <x:c r="H277" s="37" t="n">
        <x:f>'Family Register'!G29*'Family Register'!I29*G277</x:f>
        <x:v>15.360000000000003</x:v>
      </x:c>
      <x:c r="I277" s="37" t="n">
        <x:f>J276</x:f>
        <x:v>12</x:v>
      </x:c>
      <x:c r="J277" s="37" t="n">
        <x:f>MIN(F277,H277,I277)</x:f>
        <x:v>12</x:v>
      </x:c>
      <x:c r="K277" s="22" t="n">
        <x:v>0</x:v>
      </x:c>
      <x:c r="L277" s="22" t="n">
        <x:v>0</x:v>
      </x:c>
      <x:c r="M277" s="37" t="n">
        <x:f>K277*L277</x:f>
        <x:v>0</x:v>
      </x:c>
      <x:c r="N277" s="22" t="n">
        <x:v>0</x:v>
      </x:c>
      <x:c r="O277" s="37" t="n">
        <x:f>'Family Register'!H29*0.65</x:f>
        <x:v>109.2</x:v>
      </x:c>
      <x:c r="P277" s="37" t="n">
        <x:f>IF(AND(N277&gt;0,N277&lt;=O277),1,0)</x:f>
        <x:v>0</x:v>
      </x:c>
      <x:c r="Q277" s="22" t="n">
        <x:v>0</x:v>
      </x:c>
      <x:c r="R277" s="37" t="n">
        <x:f>IF(AND(P277=1,Q277=1),MIN(F277,M277,R276),0)</x:f>
        <x:v>0</x:v>
      </x:c>
      <x:c r="S277" s="23" t="str">
        <x:f>IF(R277&gt;=F277,"ADMITTED","NOT ADMITTED")</x:f>
        <x:v>NOT ADMITTED</x:v>
      </x:c>
    </x:row>
    <x:row r="278">
      <x:c r="B278" s="21" t="str">
        <x:v>SL-0272</x:v>
      </x:c>
      <x:c r="C278" s="21" t="str">
        <x:v>F23</x:v>
      </x:c>
      <x:c r="D278" s="21" t="n">
        <x:v>8</x:v>
      </x:c>
      <x:c r="E278" s="21" t="str">
        <x:v>Loadout and custody transfer</x:v>
      </x:c>
      <x:c r="F278" s="37" t="n">
        <x:f>'Family Register'!L29</x:f>
        <x:v>12</x:v>
      </x:c>
      <x:c r="G278" s="37" t="n">
        <x:f>INDEX(Scenarios!$H$7:$H$12,Assumptions!C7)</x:f>
        <x:v>0.65</x:v>
      </x:c>
      <x:c r="H278" s="37" t="n">
        <x:f>'Family Register'!G29*'Family Register'!I29*G278</x:f>
        <x:v>12.480000000000002</x:v>
      </x:c>
      <x:c r="I278" s="37" t="n">
        <x:f>J277</x:f>
        <x:v>12</x:v>
      </x:c>
      <x:c r="J278" s="37" t="n">
        <x:f>MIN(F278,H278,I278)</x:f>
        <x:v>12</x:v>
      </x:c>
      <x:c r="K278" s="22" t="n">
        <x:v>0</x:v>
      </x:c>
      <x:c r="L278" s="22" t="n">
        <x:v>0</x:v>
      </x:c>
      <x:c r="M278" s="37" t="n">
        <x:f>K278*L278</x:f>
        <x:v>0</x:v>
      </x:c>
      <x:c r="N278" s="22" t="n">
        <x:v>0</x:v>
      </x:c>
      <x:c r="O278" s="37" t="n">
        <x:f>'Family Register'!H29*0.7</x:f>
        <x:v>117.6</x:v>
      </x:c>
      <x:c r="P278" s="37" t="n">
        <x:f>IF(AND(N278&gt;0,N278&lt;=O278),1,0)</x:f>
        <x:v>0</x:v>
      </x:c>
      <x:c r="Q278" s="22" t="n">
        <x:v>0</x:v>
      </x:c>
      <x:c r="R278" s="37" t="n">
        <x:f>IF(AND(P278=1,Q278=1),MIN(F278,M278,R277),0)</x:f>
        <x:v>0</x:v>
      </x:c>
      <x:c r="S278" s="23" t="str">
        <x:f>IF(R278&gt;=F278,"ADMITTED","NOT ADMITTED")</x:f>
        <x:v>NOT ADMITTED</x:v>
      </x:c>
    </x:row>
    <x:row r="279">
      <x:c r="B279" s="21" t="str">
        <x:v>SL-0273</x:v>
      </x:c>
      <x:c r="C279" s="21" t="str">
        <x:v>F23</x:v>
      </x:c>
      <x:c r="D279" s="21" t="n">
        <x:v>9</x:v>
      </x:c>
      <x:c r="E279" s="21" t="str">
        <x:v>Strategic transport</x:v>
      </x:c>
      <x:c r="F279" s="37" t="n">
        <x:f>'Family Register'!L29</x:f>
        <x:v>12</x:v>
      </x:c>
      <x:c r="G279" s="37" t="n">
        <x:f>INDEX(Scenarios!$H$7:$H$12,Assumptions!C7)</x:f>
        <x:v>0.65</x:v>
      </x:c>
      <x:c r="H279" s="37" t="n">
        <x:f>'Family Register'!G29*'Family Register'!I29*G279</x:f>
        <x:v>12.480000000000002</x:v>
      </x:c>
      <x:c r="I279" s="37" t="n">
        <x:f>J278</x:f>
        <x:v>12</x:v>
      </x:c>
      <x:c r="J279" s="37" t="n">
        <x:f>MIN(F279,H279,I279)</x:f>
        <x:v>12</x:v>
      </x:c>
      <x:c r="K279" s="22" t="n">
        <x:v>0</x:v>
      </x:c>
      <x:c r="L279" s="22" t="n">
        <x:v>0</x:v>
      </x:c>
      <x:c r="M279" s="37" t="n">
        <x:f>K279*L279</x:f>
        <x:v>0</x:v>
      </x:c>
      <x:c r="N279" s="22" t="n">
        <x:v>0</x:v>
      </x:c>
      <x:c r="O279" s="37" t="n">
        <x:f>'Family Register'!H29*0.9</x:f>
        <x:v>151.20000000000002</x:v>
      </x:c>
      <x:c r="P279" s="37" t="n">
        <x:f>IF(AND(N279&gt;0,N279&lt;=O279),1,0)</x:f>
        <x:v>0</x:v>
      </x:c>
      <x:c r="Q279" s="22" t="n">
        <x:v>0</x:v>
      </x:c>
      <x:c r="R279" s="37" t="n">
        <x:f>IF(AND(P279=1,Q279=1),MIN(F279,M279,R278),0)</x:f>
        <x:v>0</x:v>
      </x:c>
      <x:c r="S279" s="23" t="str">
        <x:f>IF(R279&gt;=F279,"ADMITTED","NOT ADMITTED")</x:f>
        <x:v>NOT ADMITTED</x:v>
      </x:c>
    </x:row>
    <x:row r="280">
      <x:c r="B280" s="21" t="str">
        <x:v>SL-0274</x:v>
      </x:c>
      <x:c r="C280" s="21" t="str">
        <x:v>F23</x:v>
      </x:c>
      <x:c r="D280" s="21" t="n">
        <x:v>10</x:v>
      </x:c>
      <x:c r="E280" s="21" t="str">
        <x:v>Receiving-node admission</x:v>
      </x:c>
      <x:c r="F280" s="37" t="n">
        <x:f>'Family Register'!L29</x:f>
        <x:v>12</x:v>
      </x:c>
      <x:c r="G280" s="37" t="n">
        <x:f>INDEX(Scenarios!$I$7:$I$12,Assumptions!C7)</x:f>
        <x:v>0.75</x:v>
      </x:c>
      <x:c r="H280" s="37" t="n">
        <x:f>'Family Register'!G29*'Family Register'!I29*G280</x:f>
        <x:v>14.400000000000002</x:v>
      </x:c>
      <x:c r="I280" s="37" t="n">
        <x:f>J279</x:f>
        <x:v>12</x:v>
      </x:c>
      <x:c r="J280" s="37" t="n">
        <x:f>MIN(F280,H280,I280)</x:f>
        <x:v>12</x:v>
      </x:c>
      <x:c r="K280" s="22" t="n">
        <x:v>0</x:v>
      </x:c>
      <x:c r="L280" s="22" t="n">
        <x:v>0</x:v>
      </x:c>
      <x:c r="M280" s="37" t="n">
        <x:f>K280*L280</x:f>
        <x:v>0</x:v>
      </x:c>
      <x:c r="N280" s="22" t="n">
        <x:v>0</x:v>
      </x:c>
      <x:c r="O280" s="37" t="n">
        <x:f>'Family Register'!H29*0.94</x:f>
        <x:v>157.92</x:v>
      </x:c>
      <x:c r="P280" s="37" t="n">
        <x:f>IF(AND(N280&gt;0,N280&lt;=O280),1,0)</x:f>
        <x:v>0</x:v>
      </x:c>
      <x:c r="Q280" s="22" t="n">
        <x:v>0</x:v>
      </x:c>
      <x:c r="R280" s="37" t="n">
        <x:f>IF(AND(P280=1,Q280=1),MIN(F280,M280,R279),0)</x:f>
        <x:v>0</x:v>
      </x:c>
      <x:c r="S280" s="23" t="str">
        <x:f>IF(R280&gt;=F280,"ADMITTED","NOT ADMITTED")</x:f>
        <x:v>NOT ADMITTED</x:v>
      </x:c>
    </x:row>
    <x:row r="281">
      <x:c r="B281" s="21" t="str">
        <x:v>SL-0275</x:v>
      </x:c>
      <x:c r="C281" s="21" t="str">
        <x:v>F23</x:v>
      </x:c>
      <x:c r="D281" s="21" t="n">
        <x:v>11</x:v>
      </x:c>
      <x:c r="E281" s="21" t="str">
        <x:v>Commissioned public service</x:v>
      </x:c>
      <x:c r="F281" s="37" t="n">
        <x:f>'Family Register'!L29</x:f>
        <x:v>12</x:v>
      </x:c>
      <x:c r="G281" s="37" t="n">
        <x:f>MIN(INDEX(Scenarios!$G$7:$G$12,Assumptions!C7),INDEX(Scenarios!$I$7:$I$12,Assumptions!C7))</x:f>
        <x:v>0.7</x:v>
      </x:c>
      <x:c r="H281" s="37" t="n">
        <x:f>'Family Register'!G29*'Family Register'!I29*G281</x:f>
        <x:v>13.440000000000001</x:v>
      </x:c>
      <x:c r="I281" s="37" t="n">
        <x:f>J280</x:f>
        <x:v>12</x:v>
      </x:c>
      <x:c r="J281" s="37" t="n">
        <x:f>MIN(F281,H281,I281)</x:f>
        <x:v>12</x:v>
      </x:c>
      <x:c r="K281" s="22" t="n">
        <x:v>0</x:v>
      </x:c>
      <x:c r="L281" s="22" t="n">
        <x:v>0</x:v>
      </x:c>
      <x:c r="M281" s="37" t="n">
        <x:f>K281*L281</x:f>
        <x:v>0</x:v>
      </x:c>
      <x:c r="N281" s="22" t="n">
        <x:v>0</x:v>
      </x:c>
      <x:c r="O281" s="37" t="n">
        <x:f>'Family Register'!H29*1</x:f>
        <x:v>168</x:v>
      </x:c>
      <x:c r="P281" s="37" t="n">
        <x:f>IF(AND(N281&gt;0,N281&lt;=O281),1,0)</x:f>
        <x:v>0</x:v>
      </x:c>
      <x:c r="Q281" s="22" t="n">
        <x:v>0</x:v>
      </x:c>
      <x:c r="R281" s="37" t="n">
        <x:f>IF(AND(P281=1,Q281=1),MIN(F281,M281,R280),0)</x:f>
        <x:v>0</x:v>
      </x:c>
      <x:c r="S281" s="23" t="str">
        <x:f>IF(R281&gt;=F281,"ADMITTED","NOT ADMITTED")</x:f>
        <x:v>NOT ADMITTED</x:v>
      </x:c>
    </x:row>
    <x:row r="282">
      <x:c r="B282" s="21" t="str">
        <x:v>SL-0276</x:v>
      </x:c>
      <x:c r="C282" s="21" t="str">
        <x:v>F23</x:v>
      </x:c>
      <x:c r="D282" s="21" t="n">
        <x:v>12</x:v>
      </x:c>
      <x:c r="E282" s="21" t="str">
        <x:v>Regeneration and replacement</x:v>
      </x:c>
      <x:c r="F282" s="37" t="n">
        <x:f>'Family Register'!L29</x:f>
        <x:v>12</x:v>
      </x:c>
      <x:c r="G282" s="37" t="n">
        <x:f>MIN(INDEX(Scenarios!$E$7:$E$12,Assumptions!C7),INDEX(Scenarios!$F$7:$F$12,Assumptions!C7))</x:f>
        <x:v>0.7</x:v>
      </x:c>
      <x:c r="H282" s="37" t="n">
        <x:f>'Family Register'!G29*'Family Register'!I29*G282</x:f>
        <x:v>13.440000000000001</x:v>
      </x:c>
      <x:c r="I282" s="37" t="n">
        <x:f>J281</x:f>
        <x:v>12</x:v>
      </x:c>
      <x:c r="J282" s="37" t="n">
        <x:f>MIN(F282,H282,I282)</x:f>
        <x:v>12</x:v>
      </x:c>
      <x:c r="K282" s="22" t="n">
        <x:v>0</x:v>
      </x:c>
      <x:c r="L282" s="22" t="n">
        <x:v>0</x:v>
      </x:c>
      <x:c r="M282" s="37" t="n">
        <x:f>K282*L282</x:f>
        <x:v>0</x:v>
      </x:c>
      <x:c r="N282" s="22" t="n">
        <x:v>0</x:v>
      </x:c>
      <x:c r="O282" s="37" t="n">
        <x:f>'Family Register'!H29+168</x:f>
        <x:v>336</x:v>
      </x:c>
      <x:c r="P282" s="37" t="n">
        <x:f>IF(AND(N282&gt;0,N282&lt;=O282),1,0)</x:f>
        <x:v>0</x:v>
      </x:c>
      <x:c r="Q282" s="22" t="n">
        <x:v>0</x:v>
      </x:c>
      <x:c r="R282" s="37" t="n">
        <x:f>IF(AND(P282=1,Q282=1),MIN(F282,M282,R281),0)</x:f>
        <x:v>0</x:v>
      </x:c>
      <x:c r="S282" s="23" t="str">
        <x:f>IF(R282&gt;=F282,"ADMITTED","NOT ADMITTED")</x:f>
        <x:v>NOT ADMITTED</x:v>
      </x:c>
    </x:row>
    <x:row r="283">
      <x:c r="B283" s="21" t="str">
        <x:v>SL-0277</x:v>
      </x:c>
      <x:c r="C283" s="21" t="str">
        <x:v>F24</x:v>
      </x:c>
      <x:c r="D283" s="21" t="n">
        <x:v>1</x:v>
      </x:c>
      <x:c r="E283" s="21" t="str">
        <x:v>Alert authentication</x:v>
      </x:c>
      <x:c r="F283" s="37" t="n">
        <x:f>'Family Register'!L30</x:f>
        <x:v>12</x:v>
      </x:c>
      <x:c r="G283" s="37" t="n">
        <x:f>INDEX(Scenarios!$K$7:$K$12,Assumptions!C7)</x:f>
        <x:v>0.75</x:v>
      </x:c>
      <x:c r="H283" s="37" t="n">
        <x:f>'Family Register'!G30*'Family Register'!I30*G283</x:f>
        <x:v>14.400000000000002</x:v>
      </x:c>
      <x:c r="I283" s="37" t="n">
        <x:f>F283</x:f>
        <x:v>12</x:v>
      </x:c>
      <x:c r="J283" s="37" t="n">
        <x:f>MIN(F283,H283,I283)</x:f>
        <x:v>12</x:v>
      </x:c>
      <x:c r="K283" s="22" t="n">
        <x:v>0</x:v>
      </x:c>
      <x:c r="L283" s="22" t="n">
        <x:v>0</x:v>
      </x:c>
      <x:c r="M283" s="37" t="n">
        <x:f>K283*L283</x:f>
        <x:v>0</x:v>
      </x:c>
      <x:c r="N283" s="22" t="n">
        <x:v>0</x:v>
      </x:c>
      <x:c r="O283" s="37" t="n">
        <x:f>2</x:f>
        <x:v>2</x:v>
      </x:c>
      <x:c r="P283" s="37" t="n">
        <x:f>IF(AND(N283&gt;0,N283&lt;=O283),1,0)</x:f>
        <x:v>0</x:v>
      </x:c>
      <x:c r="Q283" s="22" t="n">
        <x:v>0</x:v>
      </x:c>
      <x:c r="R283" s="37" t="n">
        <x:f>IF(AND(P283=1,Q283=1),MIN(F283,M283),0)</x:f>
        <x:v>0</x:v>
      </x:c>
      <x:c r="S283" s="23" t="str">
        <x:f>IF(R283&gt;=F283,"ADMITTED","NOT ADMITTED")</x:f>
        <x:v>NOT ADMITTED</x:v>
      </x:c>
    </x:row>
    <x:row r="284">
      <x:c r="B284" s="21" t="str">
        <x:v>SL-0278</x:v>
      </x:c>
      <x:c r="C284" s="21" t="str">
        <x:v>F24</x:v>
      </x:c>
      <x:c r="D284" s="21" t="n">
        <x:v>2</x:v>
      </x:c>
      <x:c r="E284" s="21" t="str">
        <x:v>Workforce muster</x:v>
      </x:c>
      <x:c r="F284" s="37" t="n">
        <x:f>'Family Register'!L30</x:f>
        <x:v>12</x:v>
      </x:c>
      <x:c r="G284" s="37" t="n">
        <x:f>INDEX(Scenarios!$J$7:$J$12,Assumptions!C7)</x:f>
        <x:v>0.8</x:v>
      </x:c>
      <x:c r="H284" s="37" t="n">
        <x:f>'Family Register'!G30*'Family Register'!I30*G284</x:f>
        <x:v>15.360000000000003</x:v>
      </x:c>
      <x:c r="I284" s="37" t="n">
        <x:f>J283</x:f>
        <x:v>12</x:v>
      </x:c>
      <x:c r="J284" s="37" t="n">
        <x:f>MIN(F284,H284,I284)</x:f>
        <x:v>12</x:v>
      </x:c>
      <x:c r="K284" s="22" t="n">
        <x:v>0</x:v>
      </x:c>
      <x:c r="L284" s="22" t="n">
        <x:v>0</x:v>
      </x:c>
      <x:c r="M284" s="37" t="n">
        <x:f>K284*L284</x:f>
        <x:v>0</x:v>
      </x:c>
      <x:c r="N284" s="22" t="n">
        <x:v>0</x:v>
      </x:c>
      <x:c r="O284" s="37" t="n">
        <x:f>12</x:f>
        <x:v>12</x:v>
      </x:c>
      <x:c r="P284" s="37" t="n">
        <x:f>IF(AND(N284&gt;0,N284&lt;=O284),1,0)</x:f>
        <x:v>0</x:v>
      </x:c>
      <x:c r="Q284" s="22" t="n">
        <x:v>0</x:v>
      </x:c>
      <x:c r="R284" s="37" t="n">
        <x:f>IF(AND(P284=1,Q284=1),MIN(F284,M284,R283),0)</x:f>
        <x:v>0</x:v>
      </x:c>
      <x:c r="S284" s="23" t="str">
        <x:f>IF(R284&gt;=F284,"ADMITTED","NOT ADMITTED")</x:f>
        <x:v>NOT ADMITTED</x:v>
      </x:c>
    </x:row>
    <x:row r="285">
      <x:c r="B285" s="21" t="str">
        <x:v>SL-0279</x:v>
      </x:c>
      <x:c r="C285" s="21" t="str">
        <x:v>F24</x:v>
      </x:c>
      <x:c r="D285" s="21" t="n">
        <x:v>3</x:v>
      </x:c>
      <x:c r="E285" s="21" t="str">
        <x:v>Facility utility and safe start</x:v>
      </x:c>
      <x:c r="F285" s="37" t="n">
        <x:f>'Family Register'!L30</x:f>
        <x:v>12</x:v>
      </x:c>
      <x:c r="G285" s="37" t="n">
        <x:f>INDEX(Scenarios!$G$7:$G$12,Assumptions!C7)</x:f>
        <x:v>0.7</x:v>
      </x:c>
      <x:c r="H285" s="37" t="n">
        <x:f>'Family Register'!G30*'Family Register'!I30*G285</x:f>
        <x:v>13.440000000000001</x:v>
      </x:c>
      <x:c r="I285" s="37" t="n">
        <x:f>J284</x:f>
        <x:v>12</x:v>
      </x:c>
      <x:c r="J285" s="37" t="n">
        <x:f>MIN(F285,H285,I285)</x:f>
        <x:v>12</x:v>
      </x:c>
      <x:c r="K285" s="22" t="n">
        <x:v>0</x:v>
      </x:c>
      <x:c r="L285" s="22" t="n">
        <x:v>0</x:v>
      </x:c>
      <x:c r="M285" s="37" t="n">
        <x:f>K285*L285</x:f>
        <x:v>0</x:v>
      </x:c>
      <x:c r="N285" s="22" t="n">
        <x:v>0</x:v>
      </x:c>
      <x:c r="O285" s="37" t="n">
        <x:f>24</x:f>
        <x:v>24</x:v>
      </x:c>
      <x:c r="P285" s="37" t="n">
        <x:f>IF(AND(N285&gt;0,N285&lt;=O285),1,0)</x:f>
        <x:v>0</x:v>
      </x:c>
      <x:c r="Q285" s="22" t="n">
        <x:v>0</x:v>
      </x:c>
      <x:c r="R285" s="37" t="n">
        <x:f>IF(AND(P285=1,Q285=1),MIN(F285,M285,R284),0)</x:f>
        <x:v>0</x:v>
      </x:c>
      <x:c r="S285" s="23" t="str">
        <x:f>IF(R285&gt;=F285,"ADMITTED","NOT ADMITTED")</x:f>
        <x:v>NOT ADMITTED</x:v>
      </x:c>
    </x:row>
    <x:row r="286">
      <x:c r="B286" s="21" t="str">
        <x:v>SL-0280</x:v>
      </x:c>
      <x:c r="C286" s="21" t="str">
        <x:v>F24</x:v>
      </x:c>
      <x:c r="D286" s="21" t="n">
        <x:v>4</x:v>
      </x:c>
      <x:c r="E286" s="21" t="str">
        <x:v>Material tooling and instrument release</x:v>
      </x:c>
      <x:c r="F286" s="37" t="n">
        <x:f>'Family Register'!L30</x:f>
        <x:v>12</x:v>
      </x:c>
      <x:c r="G286" s="37" t="n">
        <x:f>INDEX(Scenarios!$E$7:$E$12,Assumptions!C7)</x:f>
        <x:v>0.75</x:v>
      </x:c>
      <x:c r="H286" s="37" t="n">
        <x:f>'Family Register'!G30*'Family Register'!I30*G286</x:f>
        <x:v>14.400000000000002</x:v>
      </x:c>
      <x:c r="I286" s="37" t="n">
        <x:f>J285</x:f>
        <x:v>12</x:v>
      </x:c>
      <x:c r="J286" s="37" t="n">
        <x:f>MIN(F286,H286,I286)</x:f>
        <x:v>12</x:v>
      </x:c>
      <x:c r="K286" s="22" t="n">
        <x:v>0</x:v>
      </x:c>
      <x:c r="L286" s="22" t="n">
        <x:v>0</x:v>
      </x:c>
      <x:c r="M286" s="37" t="n">
        <x:f>K286*L286</x:f>
        <x:v>0</x:v>
      </x:c>
      <x:c r="N286" s="22" t="n">
        <x:v>0</x:v>
      </x:c>
      <x:c r="O286" s="37" t="n">
        <x:f>36</x:f>
        <x:v>36</x:v>
      </x:c>
      <x:c r="P286" s="37" t="n">
        <x:f>IF(AND(N286&gt;0,N286&lt;=O286),1,0)</x:f>
        <x:v>0</x:v>
      </x:c>
      <x:c r="Q286" s="22" t="n">
        <x:v>0</x:v>
      </x:c>
      <x:c r="R286" s="37" t="n">
        <x:f>IF(AND(P286=1,Q286=1),MIN(F286,M286,R285),0)</x:f>
        <x:v>0</x:v>
      </x:c>
      <x:c r="S286" s="23" t="str">
        <x:f>IF(R286&gt;=F286,"ADMITTED","NOT ADMITTED")</x:f>
        <x:v>NOT ADMITTED</x:v>
      </x:c>
    </x:row>
    <x:row r="287">
      <x:c r="B287" s="21" t="str">
        <x:v>SL-0281</x:v>
      </x:c>
      <x:c r="C287" s="21" t="str">
        <x:v>F24</x:v>
      </x:c>
      <x:c r="D287" s="21" t="n">
        <x:v>5</x:v>
      </x:c>
      <x:c r="E287" s="21" t="str">
        <x:v>Supplier and process activation</x:v>
      </x:c>
      <x:c r="F287" s="37" t="n">
        <x:f>'Family Register'!L30</x:f>
        <x:v>12</x:v>
      </x:c>
      <x:c r="G287" s="37" t="n">
        <x:f>MIN(INDEX(Scenarios!$E$7:$E$12,Assumptions!C7),INDEX(Scenarios!$F$7:$F$12,Assumptions!C7))</x:f>
        <x:v>0.7</x:v>
      </x:c>
      <x:c r="H287" s="37" t="n">
        <x:f>'Family Register'!G30*'Family Register'!I30*G287</x:f>
        <x:v>13.440000000000001</x:v>
      </x:c>
      <x:c r="I287" s="37" t="n">
        <x:f>J286</x:f>
        <x:v>12</x:v>
      </x:c>
      <x:c r="J287" s="37" t="n">
        <x:f>MIN(F287,H287,I287)</x:f>
        <x:v>12</x:v>
      </x:c>
      <x:c r="K287" s="22" t="n">
        <x:v>0</x:v>
      </x:c>
      <x:c r="L287" s="22" t="n">
        <x:v>0</x:v>
      </x:c>
      <x:c r="M287" s="37" t="n">
        <x:f>K287*L287</x:f>
        <x:v>0</x:v>
      </x:c>
      <x:c r="N287" s="22" t="n">
        <x:v>0</x:v>
      </x:c>
      <x:c r="O287" s="37" t="n">
        <x:f>48</x:f>
        <x:v>48</x:v>
      </x:c>
      <x:c r="P287" s="37" t="n">
        <x:f>IF(AND(N287&gt;0,N287&lt;=O287),1,0)</x:f>
        <x:v>0</x:v>
      </x:c>
      <x:c r="Q287" s="22" t="n">
        <x:v>0</x:v>
      </x:c>
      <x:c r="R287" s="37" t="n">
        <x:f>IF(AND(P287=1,Q287=1),MIN(F287,M287,R286),0)</x:f>
        <x:v>0</x:v>
      </x:c>
      <x:c r="S287" s="23" t="str">
        <x:f>IF(R287&gt;=F287,"ADMITTED","NOT ADMITTED")</x:f>
        <x:v>NOT ADMITTED</x:v>
      </x:c>
    </x:row>
    <x:row r="288">
      <x:c r="B288" s="21" t="str">
        <x:v>SL-0282</x:v>
      </x:c>
      <x:c r="C288" s="21" t="str">
        <x:v>F24</x:v>
      </x:c>
      <x:c r="D288" s="21" t="n">
        <x:v>6</x:v>
      </x:c>
      <x:c r="E288" s="21" t="str">
        <x:v>Conforming production</x:v>
      </x:c>
      <x:c r="F288" s="37" t="n">
        <x:f>'Family Register'!L30</x:f>
        <x:v>12</x:v>
      </x:c>
      <x:c r="G288" s="37" t="n">
        <x:f>INDEX(Scenarios!$F$7:$F$12,Assumptions!C7)</x:f>
        <x:v>0.7</x:v>
      </x:c>
      <x:c r="H288" s="37" t="n">
        <x:f>'Family Register'!G30*'Family Register'!I30*G288</x:f>
        <x:v>13.440000000000001</x:v>
      </x:c>
      <x:c r="I288" s="37" t="n">
        <x:f>J287</x:f>
        <x:v>12</x:v>
      </x:c>
      <x:c r="J288" s="37" t="n">
        <x:f>MIN(F288,H288,I288)</x:f>
        <x:v>12</x:v>
      </x:c>
      <x:c r="K288" s="22" t="n">
        <x:v>0</x:v>
      </x:c>
      <x:c r="L288" s="22" t="n">
        <x:v>0</x:v>
      </x:c>
      <x:c r="M288" s="37" t="n">
        <x:f>K288*L288</x:f>
        <x:v>0</x:v>
      </x:c>
      <x:c r="N288" s="22" t="n">
        <x:v>0</x:v>
      </x:c>
      <x:c r="O288" s="37" t="n">
        <x:f>'Family Register'!H30*0.55</x:f>
        <x:v>92.4</x:v>
      </x:c>
      <x:c r="P288" s="37" t="n">
        <x:f>IF(AND(N288&gt;0,N288&lt;=O288),1,0)</x:f>
        <x:v>0</x:v>
      </x:c>
      <x:c r="Q288" s="22" t="n">
        <x:v>0</x:v>
      </x:c>
      <x:c r="R288" s="37" t="n">
        <x:f>IF(AND(P288=1,Q288=1),MIN(F288,M288,R287),0)</x:f>
        <x:v>0</x:v>
      </x:c>
      <x:c r="S288" s="23" t="str">
        <x:f>IF(R288&gt;=F288,"ADMITTED","NOT ADMITTED")</x:f>
        <x:v>NOT ADMITTED</x:v>
      </x:c>
    </x:row>
    <x:row r="289">
      <x:c r="B289" s="21" t="str">
        <x:v>SL-0283</x:v>
      </x:c>
      <x:c r="C289" s="21" t="str">
        <x:v>F24</x:v>
      </x:c>
      <x:c r="D289" s="21" t="n">
        <x:v>7</x:v>
      </x:c>
      <x:c r="E289" s="21" t="str">
        <x:v>Independent acceptance</x:v>
      </x:c>
      <x:c r="F289" s="37" t="n">
        <x:f>'Family Register'!L30</x:f>
        <x:v>12</x:v>
      </x:c>
      <x:c r="G289" s="37" t="n">
        <x:f>INDEX(Scenarios!$L$7:$L$12,Assumptions!C7)</x:f>
        <x:v>0.8</x:v>
      </x:c>
      <x:c r="H289" s="37" t="n">
        <x:f>'Family Register'!G30*'Family Register'!I30*G289</x:f>
        <x:v>15.360000000000003</x:v>
      </x:c>
      <x:c r="I289" s="37" t="n">
        <x:f>J288</x:f>
        <x:v>12</x:v>
      </x:c>
      <x:c r="J289" s="37" t="n">
        <x:f>MIN(F289,H289,I289)</x:f>
        <x:v>12</x:v>
      </x:c>
      <x:c r="K289" s="22" t="n">
        <x:v>0</x:v>
      </x:c>
      <x:c r="L289" s="22" t="n">
        <x:v>0</x:v>
      </x:c>
      <x:c r="M289" s="37" t="n">
        <x:f>K289*L289</x:f>
        <x:v>0</x:v>
      </x:c>
      <x:c r="N289" s="22" t="n">
        <x:v>0</x:v>
      </x:c>
      <x:c r="O289" s="37" t="n">
        <x:f>'Family Register'!H30*0.65</x:f>
        <x:v>109.2</x:v>
      </x:c>
      <x:c r="P289" s="37" t="n">
        <x:f>IF(AND(N289&gt;0,N289&lt;=O289),1,0)</x:f>
        <x:v>0</x:v>
      </x:c>
      <x:c r="Q289" s="22" t="n">
        <x:v>0</x:v>
      </x:c>
      <x:c r="R289" s="37" t="n">
        <x:f>IF(AND(P289=1,Q289=1),MIN(F289,M289,R288),0)</x:f>
        <x:v>0</x:v>
      </x:c>
      <x:c r="S289" s="23" t="str">
        <x:f>IF(R289&gt;=F289,"ADMITTED","NOT ADMITTED")</x:f>
        <x:v>NOT ADMITTED</x:v>
      </x:c>
    </x:row>
    <x:row r="290">
      <x:c r="B290" s="21" t="str">
        <x:v>SL-0284</x:v>
      </x:c>
      <x:c r="C290" s="21" t="str">
        <x:v>F24</x:v>
      </x:c>
      <x:c r="D290" s="21" t="n">
        <x:v>8</x:v>
      </x:c>
      <x:c r="E290" s="21" t="str">
        <x:v>Loadout and custody transfer</x:v>
      </x:c>
      <x:c r="F290" s="37" t="n">
        <x:f>'Family Register'!L30</x:f>
        <x:v>12</x:v>
      </x:c>
      <x:c r="G290" s="37" t="n">
        <x:f>INDEX(Scenarios!$H$7:$H$12,Assumptions!C7)</x:f>
        <x:v>0.65</x:v>
      </x:c>
      <x:c r="H290" s="37" t="n">
        <x:f>'Family Register'!G30*'Family Register'!I30*G290</x:f>
        <x:v>12.480000000000002</x:v>
      </x:c>
      <x:c r="I290" s="37" t="n">
        <x:f>J289</x:f>
        <x:v>12</x:v>
      </x:c>
      <x:c r="J290" s="37" t="n">
        <x:f>MIN(F290,H290,I290)</x:f>
        <x:v>12</x:v>
      </x:c>
      <x:c r="K290" s="22" t="n">
        <x:v>0</x:v>
      </x:c>
      <x:c r="L290" s="22" t="n">
        <x:v>0</x:v>
      </x:c>
      <x:c r="M290" s="37" t="n">
        <x:f>K290*L290</x:f>
        <x:v>0</x:v>
      </x:c>
      <x:c r="N290" s="22" t="n">
        <x:v>0</x:v>
      </x:c>
      <x:c r="O290" s="37" t="n">
        <x:f>'Family Register'!H30*0.7</x:f>
        <x:v>117.6</x:v>
      </x:c>
      <x:c r="P290" s="37" t="n">
        <x:f>IF(AND(N290&gt;0,N290&lt;=O290),1,0)</x:f>
        <x:v>0</x:v>
      </x:c>
      <x:c r="Q290" s="22" t="n">
        <x:v>0</x:v>
      </x:c>
      <x:c r="R290" s="37" t="n">
        <x:f>IF(AND(P290=1,Q290=1),MIN(F290,M290,R289),0)</x:f>
        <x:v>0</x:v>
      </x:c>
      <x:c r="S290" s="23" t="str">
        <x:f>IF(R290&gt;=F290,"ADMITTED","NOT ADMITTED")</x:f>
        <x:v>NOT ADMITTED</x:v>
      </x:c>
    </x:row>
    <x:row r="291">
      <x:c r="B291" s="21" t="str">
        <x:v>SL-0285</x:v>
      </x:c>
      <x:c r="C291" s="21" t="str">
        <x:v>F24</x:v>
      </x:c>
      <x:c r="D291" s="21" t="n">
        <x:v>9</x:v>
      </x:c>
      <x:c r="E291" s="21" t="str">
        <x:v>Strategic transport</x:v>
      </x:c>
      <x:c r="F291" s="37" t="n">
        <x:f>'Family Register'!L30</x:f>
        <x:v>12</x:v>
      </x:c>
      <x:c r="G291" s="37" t="n">
        <x:f>INDEX(Scenarios!$H$7:$H$12,Assumptions!C7)</x:f>
        <x:v>0.65</x:v>
      </x:c>
      <x:c r="H291" s="37" t="n">
        <x:f>'Family Register'!G30*'Family Register'!I30*G291</x:f>
        <x:v>12.480000000000002</x:v>
      </x:c>
      <x:c r="I291" s="37" t="n">
        <x:f>J290</x:f>
        <x:v>12</x:v>
      </x:c>
      <x:c r="J291" s="37" t="n">
        <x:f>MIN(F291,H291,I291)</x:f>
        <x:v>12</x:v>
      </x:c>
      <x:c r="K291" s="22" t="n">
        <x:v>0</x:v>
      </x:c>
      <x:c r="L291" s="22" t="n">
        <x:v>0</x:v>
      </x:c>
      <x:c r="M291" s="37" t="n">
        <x:f>K291*L291</x:f>
        <x:v>0</x:v>
      </x:c>
      <x:c r="N291" s="22" t="n">
        <x:v>0</x:v>
      </x:c>
      <x:c r="O291" s="37" t="n">
        <x:f>'Family Register'!H30*0.9</x:f>
        <x:v>151.20000000000002</x:v>
      </x:c>
      <x:c r="P291" s="37" t="n">
        <x:f>IF(AND(N291&gt;0,N291&lt;=O291),1,0)</x:f>
        <x:v>0</x:v>
      </x:c>
      <x:c r="Q291" s="22" t="n">
        <x:v>0</x:v>
      </x:c>
      <x:c r="R291" s="37" t="n">
        <x:f>IF(AND(P291=1,Q291=1),MIN(F291,M291,R290),0)</x:f>
        <x:v>0</x:v>
      </x:c>
      <x:c r="S291" s="23" t="str">
        <x:f>IF(R291&gt;=F291,"ADMITTED","NOT ADMITTED")</x:f>
        <x:v>NOT ADMITTED</x:v>
      </x:c>
    </x:row>
    <x:row r="292">
      <x:c r="B292" s="21" t="str">
        <x:v>SL-0286</x:v>
      </x:c>
      <x:c r="C292" s="21" t="str">
        <x:v>F24</x:v>
      </x:c>
      <x:c r="D292" s="21" t="n">
        <x:v>10</x:v>
      </x:c>
      <x:c r="E292" s="21" t="str">
        <x:v>Receiving-node admission</x:v>
      </x:c>
      <x:c r="F292" s="37" t="n">
        <x:f>'Family Register'!L30</x:f>
        <x:v>12</x:v>
      </x:c>
      <x:c r="G292" s="37" t="n">
        <x:f>INDEX(Scenarios!$I$7:$I$12,Assumptions!C7)</x:f>
        <x:v>0.75</x:v>
      </x:c>
      <x:c r="H292" s="37" t="n">
        <x:f>'Family Register'!G30*'Family Register'!I30*G292</x:f>
        <x:v>14.400000000000002</x:v>
      </x:c>
      <x:c r="I292" s="37" t="n">
        <x:f>J291</x:f>
        <x:v>12</x:v>
      </x:c>
      <x:c r="J292" s="37" t="n">
        <x:f>MIN(F292,H292,I292)</x:f>
        <x:v>12</x:v>
      </x:c>
      <x:c r="K292" s="22" t="n">
        <x:v>0</x:v>
      </x:c>
      <x:c r="L292" s="22" t="n">
        <x:v>0</x:v>
      </x:c>
      <x:c r="M292" s="37" t="n">
        <x:f>K292*L292</x:f>
        <x:v>0</x:v>
      </x:c>
      <x:c r="N292" s="22" t="n">
        <x:v>0</x:v>
      </x:c>
      <x:c r="O292" s="37" t="n">
        <x:f>'Family Register'!H30*0.94</x:f>
        <x:v>157.92</x:v>
      </x:c>
      <x:c r="P292" s="37" t="n">
        <x:f>IF(AND(N292&gt;0,N292&lt;=O292),1,0)</x:f>
        <x:v>0</x:v>
      </x:c>
      <x:c r="Q292" s="22" t="n">
        <x:v>0</x:v>
      </x:c>
      <x:c r="R292" s="37" t="n">
        <x:f>IF(AND(P292=1,Q292=1),MIN(F292,M292,R291),0)</x:f>
        <x:v>0</x:v>
      </x:c>
      <x:c r="S292" s="23" t="str">
        <x:f>IF(R292&gt;=F292,"ADMITTED","NOT ADMITTED")</x:f>
        <x:v>NOT ADMITTED</x:v>
      </x:c>
    </x:row>
    <x:row r="293">
      <x:c r="B293" s="21" t="str">
        <x:v>SL-0287</x:v>
      </x:c>
      <x:c r="C293" s="21" t="str">
        <x:v>F24</x:v>
      </x:c>
      <x:c r="D293" s="21" t="n">
        <x:v>11</x:v>
      </x:c>
      <x:c r="E293" s="21" t="str">
        <x:v>Commissioned public service</x:v>
      </x:c>
      <x:c r="F293" s="37" t="n">
        <x:f>'Family Register'!L30</x:f>
        <x:v>12</x:v>
      </x:c>
      <x:c r="G293" s="37" t="n">
        <x:f>MIN(INDEX(Scenarios!$G$7:$G$12,Assumptions!C7),INDEX(Scenarios!$I$7:$I$12,Assumptions!C7))</x:f>
        <x:v>0.7</x:v>
      </x:c>
      <x:c r="H293" s="37" t="n">
        <x:f>'Family Register'!G30*'Family Register'!I30*G293</x:f>
        <x:v>13.440000000000001</x:v>
      </x:c>
      <x:c r="I293" s="37" t="n">
        <x:f>J292</x:f>
        <x:v>12</x:v>
      </x:c>
      <x:c r="J293" s="37" t="n">
        <x:f>MIN(F293,H293,I293)</x:f>
        <x:v>12</x:v>
      </x:c>
      <x:c r="K293" s="22" t="n">
        <x:v>0</x:v>
      </x:c>
      <x:c r="L293" s="22" t="n">
        <x:v>0</x:v>
      </x:c>
      <x:c r="M293" s="37" t="n">
        <x:f>K293*L293</x:f>
        <x:v>0</x:v>
      </x:c>
      <x:c r="N293" s="22" t="n">
        <x:v>0</x:v>
      </x:c>
      <x:c r="O293" s="37" t="n">
        <x:f>'Family Register'!H30*1</x:f>
        <x:v>168</x:v>
      </x:c>
      <x:c r="P293" s="37" t="n">
        <x:f>IF(AND(N293&gt;0,N293&lt;=O293),1,0)</x:f>
        <x:v>0</x:v>
      </x:c>
      <x:c r="Q293" s="22" t="n">
        <x:v>0</x:v>
      </x:c>
      <x:c r="R293" s="37" t="n">
        <x:f>IF(AND(P293=1,Q293=1),MIN(F293,M293,R292),0)</x:f>
        <x:v>0</x:v>
      </x:c>
      <x:c r="S293" s="23" t="str">
        <x:f>IF(R293&gt;=F293,"ADMITTED","NOT ADMITTED")</x:f>
        <x:v>NOT ADMITTED</x:v>
      </x:c>
    </x:row>
    <x:row r="294">
      <x:c r="B294" s="21" t="str">
        <x:v>SL-0288</x:v>
      </x:c>
      <x:c r="C294" s="21" t="str">
        <x:v>F24</x:v>
      </x:c>
      <x:c r="D294" s="21" t="n">
        <x:v>12</x:v>
      </x:c>
      <x:c r="E294" s="21" t="str">
        <x:v>Regeneration and replacement</x:v>
      </x:c>
      <x:c r="F294" s="37" t="n">
        <x:f>'Family Register'!L30</x:f>
        <x:v>12</x:v>
      </x:c>
      <x:c r="G294" s="37" t="n">
        <x:f>MIN(INDEX(Scenarios!$E$7:$E$12,Assumptions!C7),INDEX(Scenarios!$F$7:$F$12,Assumptions!C7))</x:f>
        <x:v>0.7</x:v>
      </x:c>
      <x:c r="H294" s="37" t="n">
        <x:f>'Family Register'!G30*'Family Register'!I30*G294</x:f>
        <x:v>13.440000000000001</x:v>
      </x:c>
      <x:c r="I294" s="37" t="n">
        <x:f>J293</x:f>
        <x:v>12</x:v>
      </x:c>
      <x:c r="J294" s="37" t="n">
        <x:f>MIN(F294,H294,I294)</x:f>
        <x:v>12</x:v>
      </x:c>
      <x:c r="K294" s="22" t="n">
        <x:v>0</x:v>
      </x:c>
      <x:c r="L294" s="22" t="n">
        <x:v>0</x:v>
      </x:c>
      <x:c r="M294" s="37" t="n">
        <x:f>K294*L294</x:f>
        <x:v>0</x:v>
      </x:c>
      <x:c r="N294" s="22" t="n">
        <x:v>0</x:v>
      </x:c>
      <x:c r="O294" s="37" t="n">
        <x:f>'Family Register'!H30+168</x:f>
        <x:v>336</x:v>
      </x:c>
      <x:c r="P294" s="37" t="n">
        <x:f>IF(AND(N294&gt;0,N294&lt;=O294),1,0)</x:f>
        <x:v>0</x:v>
      </x:c>
      <x:c r="Q294" s="22" t="n">
        <x:v>0</x:v>
      </x:c>
      <x:c r="R294" s="37" t="n">
        <x:f>IF(AND(P294=1,Q294=1),MIN(F294,M294,R293),0)</x:f>
        <x:v>0</x:v>
      </x:c>
      <x:c r="S294" s="23" t="str">
        <x:f>IF(R294&gt;=F294,"ADMITTED","NOT ADMITTED")</x:f>
        <x:v>NOT ADMITTED</x:v>
      </x:c>
    </x:row>
    <x:row r="295">
      <x:c r="B295" s="21" t="str">
        <x:v>SL-0289</x:v>
      </x:c>
      <x:c r="C295" s="21" t="str">
        <x:v>F25</x:v>
      </x:c>
      <x:c r="D295" s="21" t="n">
        <x:v>1</x:v>
      </x:c>
      <x:c r="E295" s="21" t="str">
        <x:v>Alert authentication</x:v>
      </x:c>
      <x:c r="F295" s="37" t="n">
        <x:f>'Family Register'!L31</x:f>
        <x:v>12</x:v>
      </x:c>
      <x:c r="G295" s="37" t="n">
        <x:f>INDEX(Scenarios!$K$7:$K$12,Assumptions!C7)</x:f>
        <x:v>0.75</x:v>
      </x:c>
      <x:c r="H295" s="37" t="n">
        <x:f>'Family Register'!G31*'Family Register'!I31*G295</x:f>
        <x:v>14.400000000000002</x:v>
      </x:c>
      <x:c r="I295" s="37" t="n">
        <x:f>F295</x:f>
        <x:v>12</x:v>
      </x:c>
      <x:c r="J295" s="37" t="n">
        <x:f>MIN(F295,H295,I295)</x:f>
        <x:v>12</x:v>
      </x:c>
      <x:c r="K295" s="22" t="n">
        <x:v>0</x:v>
      </x:c>
      <x:c r="L295" s="22" t="n">
        <x:v>0</x:v>
      </x:c>
      <x:c r="M295" s="37" t="n">
        <x:f>K295*L295</x:f>
        <x:v>0</x:v>
      </x:c>
      <x:c r="N295" s="22" t="n">
        <x:v>0</x:v>
      </x:c>
      <x:c r="O295" s="37" t="n">
        <x:f>2</x:f>
        <x:v>2</x:v>
      </x:c>
      <x:c r="P295" s="37" t="n">
        <x:f>IF(AND(N295&gt;0,N295&lt;=O295),1,0)</x:f>
        <x:v>0</x:v>
      </x:c>
      <x:c r="Q295" s="22" t="n">
        <x:v>0</x:v>
      </x:c>
      <x:c r="R295" s="37" t="n">
        <x:f>IF(AND(P295=1,Q295=1),MIN(F295,M295),0)</x:f>
        <x:v>0</x:v>
      </x:c>
      <x:c r="S295" s="23" t="str">
        <x:f>IF(R295&gt;=F295,"ADMITTED","NOT ADMITTED")</x:f>
        <x:v>NOT ADMITTED</x:v>
      </x:c>
    </x:row>
    <x:row r="296">
      <x:c r="B296" s="21" t="str">
        <x:v>SL-0290</x:v>
      </x:c>
      <x:c r="C296" s="21" t="str">
        <x:v>F25</x:v>
      </x:c>
      <x:c r="D296" s="21" t="n">
        <x:v>2</x:v>
      </x:c>
      <x:c r="E296" s="21" t="str">
        <x:v>Workforce muster</x:v>
      </x:c>
      <x:c r="F296" s="37" t="n">
        <x:f>'Family Register'!L31</x:f>
        <x:v>12</x:v>
      </x:c>
      <x:c r="G296" s="37" t="n">
        <x:f>INDEX(Scenarios!$J$7:$J$12,Assumptions!C7)</x:f>
        <x:v>0.8</x:v>
      </x:c>
      <x:c r="H296" s="37" t="n">
        <x:f>'Family Register'!G31*'Family Register'!I31*G296</x:f>
        <x:v>15.360000000000003</x:v>
      </x:c>
      <x:c r="I296" s="37" t="n">
        <x:f>J295</x:f>
        <x:v>12</x:v>
      </x:c>
      <x:c r="J296" s="37" t="n">
        <x:f>MIN(F296,H296,I296)</x:f>
        <x:v>12</x:v>
      </x:c>
      <x:c r="K296" s="22" t="n">
        <x:v>0</x:v>
      </x:c>
      <x:c r="L296" s="22" t="n">
        <x:v>0</x:v>
      </x:c>
      <x:c r="M296" s="37" t="n">
        <x:f>K296*L296</x:f>
        <x:v>0</x:v>
      </x:c>
      <x:c r="N296" s="22" t="n">
        <x:v>0</x:v>
      </x:c>
      <x:c r="O296" s="37" t="n">
        <x:f>12</x:f>
        <x:v>12</x:v>
      </x:c>
      <x:c r="P296" s="37" t="n">
        <x:f>IF(AND(N296&gt;0,N296&lt;=O296),1,0)</x:f>
        <x:v>0</x:v>
      </x:c>
      <x:c r="Q296" s="22" t="n">
        <x:v>0</x:v>
      </x:c>
      <x:c r="R296" s="37" t="n">
        <x:f>IF(AND(P296=1,Q296=1),MIN(F296,M296,R295),0)</x:f>
        <x:v>0</x:v>
      </x:c>
      <x:c r="S296" s="23" t="str">
        <x:f>IF(R296&gt;=F296,"ADMITTED","NOT ADMITTED")</x:f>
        <x:v>NOT ADMITTED</x:v>
      </x:c>
    </x:row>
    <x:row r="297">
      <x:c r="B297" s="21" t="str">
        <x:v>SL-0291</x:v>
      </x:c>
      <x:c r="C297" s="21" t="str">
        <x:v>F25</x:v>
      </x:c>
      <x:c r="D297" s="21" t="n">
        <x:v>3</x:v>
      </x:c>
      <x:c r="E297" s="21" t="str">
        <x:v>Facility utility and safe start</x:v>
      </x:c>
      <x:c r="F297" s="37" t="n">
        <x:f>'Family Register'!L31</x:f>
        <x:v>12</x:v>
      </x:c>
      <x:c r="G297" s="37" t="n">
        <x:f>INDEX(Scenarios!$G$7:$G$12,Assumptions!C7)</x:f>
        <x:v>0.7</x:v>
      </x:c>
      <x:c r="H297" s="37" t="n">
        <x:f>'Family Register'!G31*'Family Register'!I31*G297</x:f>
        <x:v>13.440000000000001</x:v>
      </x:c>
      <x:c r="I297" s="37" t="n">
        <x:f>J296</x:f>
        <x:v>12</x:v>
      </x:c>
      <x:c r="J297" s="37" t="n">
        <x:f>MIN(F297,H297,I297)</x:f>
        <x:v>12</x:v>
      </x:c>
      <x:c r="K297" s="22" t="n">
        <x:v>0</x:v>
      </x:c>
      <x:c r="L297" s="22" t="n">
        <x:v>0</x:v>
      </x:c>
      <x:c r="M297" s="37" t="n">
        <x:f>K297*L297</x:f>
        <x:v>0</x:v>
      </x:c>
      <x:c r="N297" s="22" t="n">
        <x:v>0</x:v>
      </x:c>
      <x:c r="O297" s="37" t="n">
        <x:f>24</x:f>
        <x:v>24</x:v>
      </x:c>
      <x:c r="P297" s="37" t="n">
        <x:f>IF(AND(N297&gt;0,N297&lt;=O297),1,0)</x:f>
        <x:v>0</x:v>
      </x:c>
      <x:c r="Q297" s="22" t="n">
        <x:v>0</x:v>
      </x:c>
      <x:c r="R297" s="37" t="n">
        <x:f>IF(AND(P297=1,Q297=1),MIN(F297,M297,R296),0)</x:f>
        <x:v>0</x:v>
      </x:c>
      <x:c r="S297" s="23" t="str">
        <x:f>IF(R297&gt;=F297,"ADMITTED","NOT ADMITTED")</x:f>
        <x:v>NOT ADMITTED</x:v>
      </x:c>
    </x:row>
    <x:row r="298">
      <x:c r="B298" s="21" t="str">
        <x:v>SL-0292</x:v>
      </x:c>
      <x:c r="C298" s="21" t="str">
        <x:v>F25</x:v>
      </x:c>
      <x:c r="D298" s="21" t="n">
        <x:v>4</x:v>
      </x:c>
      <x:c r="E298" s="21" t="str">
        <x:v>Material tooling and instrument release</x:v>
      </x:c>
      <x:c r="F298" s="37" t="n">
        <x:f>'Family Register'!L31</x:f>
        <x:v>12</x:v>
      </x:c>
      <x:c r="G298" s="37" t="n">
        <x:f>INDEX(Scenarios!$E$7:$E$12,Assumptions!C7)</x:f>
        <x:v>0.75</x:v>
      </x:c>
      <x:c r="H298" s="37" t="n">
        <x:f>'Family Register'!G31*'Family Register'!I31*G298</x:f>
        <x:v>14.400000000000002</x:v>
      </x:c>
      <x:c r="I298" s="37" t="n">
        <x:f>J297</x:f>
        <x:v>12</x:v>
      </x:c>
      <x:c r="J298" s="37" t="n">
        <x:f>MIN(F298,H298,I298)</x:f>
        <x:v>12</x:v>
      </x:c>
      <x:c r="K298" s="22" t="n">
        <x:v>0</x:v>
      </x:c>
      <x:c r="L298" s="22" t="n">
        <x:v>0</x:v>
      </x:c>
      <x:c r="M298" s="37" t="n">
        <x:f>K298*L298</x:f>
        <x:v>0</x:v>
      </x:c>
      <x:c r="N298" s="22" t="n">
        <x:v>0</x:v>
      </x:c>
      <x:c r="O298" s="37" t="n">
        <x:f>36</x:f>
        <x:v>36</x:v>
      </x:c>
      <x:c r="P298" s="37" t="n">
        <x:f>IF(AND(N298&gt;0,N298&lt;=O298),1,0)</x:f>
        <x:v>0</x:v>
      </x:c>
      <x:c r="Q298" s="22" t="n">
        <x:v>0</x:v>
      </x:c>
      <x:c r="R298" s="37" t="n">
        <x:f>IF(AND(P298=1,Q298=1),MIN(F298,M298,R297),0)</x:f>
        <x:v>0</x:v>
      </x:c>
      <x:c r="S298" s="23" t="str">
        <x:f>IF(R298&gt;=F298,"ADMITTED","NOT ADMITTED")</x:f>
        <x:v>NOT ADMITTED</x:v>
      </x:c>
    </x:row>
    <x:row r="299">
      <x:c r="B299" s="21" t="str">
        <x:v>SL-0293</x:v>
      </x:c>
      <x:c r="C299" s="21" t="str">
        <x:v>F25</x:v>
      </x:c>
      <x:c r="D299" s="21" t="n">
        <x:v>5</x:v>
      </x:c>
      <x:c r="E299" s="21" t="str">
        <x:v>Supplier and process activation</x:v>
      </x:c>
      <x:c r="F299" s="37" t="n">
        <x:f>'Family Register'!L31</x:f>
        <x:v>12</x:v>
      </x:c>
      <x:c r="G299" s="37" t="n">
        <x:f>MIN(INDEX(Scenarios!$E$7:$E$12,Assumptions!C7),INDEX(Scenarios!$F$7:$F$12,Assumptions!C7))</x:f>
        <x:v>0.7</x:v>
      </x:c>
      <x:c r="H299" s="37" t="n">
        <x:f>'Family Register'!G31*'Family Register'!I31*G299</x:f>
        <x:v>13.440000000000001</x:v>
      </x:c>
      <x:c r="I299" s="37" t="n">
        <x:f>J298</x:f>
        <x:v>12</x:v>
      </x:c>
      <x:c r="J299" s="37" t="n">
        <x:f>MIN(F299,H299,I299)</x:f>
        <x:v>12</x:v>
      </x:c>
      <x:c r="K299" s="22" t="n">
        <x:v>0</x:v>
      </x:c>
      <x:c r="L299" s="22" t="n">
        <x:v>0</x:v>
      </x:c>
      <x:c r="M299" s="37" t="n">
        <x:f>K299*L299</x:f>
        <x:v>0</x:v>
      </x:c>
      <x:c r="N299" s="22" t="n">
        <x:v>0</x:v>
      </x:c>
      <x:c r="O299" s="37" t="n">
        <x:f>48</x:f>
        <x:v>48</x:v>
      </x:c>
      <x:c r="P299" s="37" t="n">
        <x:f>IF(AND(N299&gt;0,N299&lt;=O299),1,0)</x:f>
        <x:v>0</x:v>
      </x:c>
      <x:c r="Q299" s="22" t="n">
        <x:v>0</x:v>
      </x:c>
      <x:c r="R299" s="37" t="n">
        <x:f>IF(AND(P299=1,Q299=1),MIN(F299,M299,R298),0)</x:f>
        <x:v>0</x:v>
      </x:c>
      <x:c r="S299" s="23" t="str">
        <x:f>IF(R299&gt;=F299,"ADMITTED","NOT ADMITTED")</x:f>
        <x:v>NOT ADMITTED</x:v>
      </x:c>
    </x:row>
    <x:row r="300">
      <x:c r="B300" s="21" t="str">
        <x:v>SL-0294</x:v>
      </x:c>
      <x:c r="C300" s="21" t="str">
        <x:v>F25</x:v>
      </x:c>
      <x:c r="D300" s="21" t="n">
        <x:v>6</x:v>
      </x:c>
      <x:c r="E300" s="21" t="str">
        <x:v>Conforming production</x:v>
      </x:c>
      <x:c r="F300" s="37" t="n">
        <x:f>'Family Register'!L31</x:f>
        <x:v>12</x:v>
      </x:c>
      <x:c r="G300" s="37" t="n">
        <x:f>INDEX(Scenarios!$F$7:$F$12,Assumptions!C7)</x:f>
        <x:v>0.7</x:v>
      </x:c>
      <x:c r="H300" s="37" t="n">
        <x:f>'Family Register'!G31*'Family Register'!I31*G300</x:f>
        <x:v>13.440000000000001</x:v>
      </x:c>
      <x:c r="I300" s="37" t="n">
        <x:f>J299</x:f>
        <x:v>12</x:v>
      </x:c>
      <x:c r="J300" s="37" t="n">
        <x:f>MIN(F300,H300,I300)</x:f>
        <x:v>12</x:v>
      </x:c>
      <x:c r="K300" s="22" t="n">
        <x:v>0</x:v>
      </x:c>
      <x:c r="L300" s="22" t="n">
        <x:v>0</x:v>
      </x:c>
      <x:c r="M300" s="37" t="n">
        <x:f>K300*L300</x:f>
        <x:v>0</x:v>
      </x:c>
      <x:c r="N300" s="22" t="n">
        <x:v>0</x:v>
      </x:c>
      <x:c r="O300" s="37" t="n">
        <x:f>'Family Register'!H31*0.55</x:f>
        <x:v>92.4</x:v>
      </x:c>
      <x:c r="P300" s="37" t="n">
        <x:f>IF(AND(N300&gt;0,N300&lt;=O300),1,0)</x:f>
        <x:v>0</x:v>
      </x:c>
      <x:c r="Q300" s="22" t="n">
        <x:v>0</x:v>
      </x:c>
      <x:c r="R300" s="37" t="n">
        <x:f>IF(AND(P300=1,Q300=1),MIN(F300,M300,R299),0)</x:f>
        <x:v>0</x:v>
      </x:c>
      <x:c r="S300" s="23" t="str">
        <x:f>IF(R300&gt;=F300,"ADMITTED","NOT ADMITTED")</x:f>
        <x:v>NOT ADMITTED</x:v>
      </x:c>
    </x:row>
    <x:row r="301">
      <x:c r="B301" s="21" t="str">
        <x:v>SL-0295</x:v>
      </x:c>
      <x:c r="C301" s="21" t="str">
        <x:v>F25</x:v>
      </x:c>
      <x:c r="D301" s="21" t="n">
        <x:v>7</x:v>
      </x:c>
      <x:c r="E301" s="21" t="str">
        <x:v>Independent acceptance</x:v>
      </x:c>
      <x:c r="F301" s="37" t="n">
        <x:f>'Family Register'!L31</x:f>
        <x:v>12</x:v>
      </x:c>
      <x:c r="G301" s="37" t="n">
        <x:f>INDEX(Scenarios!$L$7:$L$12,Assumptions!C7)</x:f>
        <x:v>0.8</x:v>
      </x:c>
      <x:c r="H301" s="37" t="n">
        <x:f>'Family Register'!G31*'Family Register'!I31*G301</x:f>
        <x:v>15.360000000000003</x:v>
      </x:c>
      <x:c r="I301" s="37" t="n">
        <x:f>J300</x:f>
        <x:v>12</x:v>
      </x:c>
      <x:c r="J301" s="37" t="n">
        <x:f>MIN(F301,H301,I301)</x:f>
        <x:v>12</x:v>
      </x:c>
      <x:c r="K301" s="22" t="n">
        <x:v>0</x:v>
      </x:c>
      <x:c r="L301" s="22" t="n">
        <x:v>0</x:v>
      </x:c>
      <x:c r="M301" s="37" t="n">
        <x:f>K301*L301</x:f>
        <x:v>0</x:v>
      </x:c>
      <x:c r="N301" s="22" t="n">
        <x:v>0</x:v>
      </x:c>
      <x:c r="O301" s="37" t="n">
        <x:f>'Family Register'!H31*0.65</x:f>
        <x:v>109.2</x:v>
      </x:c>
      <x:c r="P301" s="37" t="n">
        <x:f>IF(AND(N301&gt;0,N301&lt;=O301),1,0)</x:f>
        <x:v>0</x:v>
      </x:c>
      <x:c r="Q301" s="22" t="n">
        <x:v>0</x:v>
      </x:c>
      <x:c r="R301" s="37" t="n">
        <x:f>IF(AND(P301=1,Q301=1),MIN(F301,M301,R300),0)</x:f>
        <x:v>0</x:v>
      </x:c>
      <x:c r="S301" s="23" t="str">
        <x:f>IF(R301&gt;=F301,"ADMITTED","NOT ADMITTED")</x:f>
        <x:v>NOT ADMITTED</x:v>
      </x:c>
    </x:row>
    <x:row r="302">
      <x:c r="B302" s="21" t="str">
        <x:v>SL-0296</x:v>
      </x:c>
      <x:c r="C302" s="21" t="str">
        <x:v>F25</x:v>
      </x:c>
      <x:c r="D302" s="21" t="n">
        <x:v>8</x:v>
      </x:c>
      <x:c r="E302" s="21" t="str">
        <x:v>Loadout and custody transfer</x:v>
      </x:c>
      <x:c r="F302" s="37" t="n">
        <x:f>'Family Register'!L31</x:f>
        <x:v>12</x:v>
      </x:c>
      <x:c r="G302" s="37" t="n">
        <x:f>INDEX(Scenarios!$H$7:$H$12,Assumptions!C7)</x:f>
        <x:v>0.65</x:v>
      </x:c>
      <x:c r="H302" s="37" t="n">
        <x:f>'Family Register'!G31*'Family Register'!I31*G302</x:f>
        <x:v>12.480000000000002</x:v>
      </x:c>
      <x:c r="I302" s="37" t="n">
        <x:f>J301</x:f>
        <x:v>12</x:v>
      </x:c>
      <x:c r="J302" s="37" t="n">
        <x:f>MIN(F302,H302,I302)</x:f>
        <x:v>12</x:v>
      </x:c>
      <x:c r="K302" s="22" t="n">
        <x:v>0</x:v>
      </x:c>
      <x:c r="L302" s="22" t="n">
        <x:v>0</x:v>
      </x:c>
      <x:c r="M302" s="37" t="n">
        <x:f>K302*L302</x:f>
        <x:v>0</x:v>
      </x:c>
      <x:c r="N302" s="22" t="n">
        <x:v>0</x:v>
      </x:c>
      <x:c r="O302" s="37" t="n">
        <x:f>'Family Register'!H31*0.7</x:f>
        <x:v>117.6</x:v>
      </x:c>
      <x:c r="P302" s="37" t="n">
        <x:f>IF(AND(N302&gt;0,N302&lt;=O302),1,0)</x:f>
        <x:v>0</x:v>
      </x:c>
      <x:c r="Q302" s="22" t="n">
        <x:v>0</x:v>
      </x:c>
      <x:c r="R302" s="37" t="n">
        <x:f>IF(AND(P302=1,Q302=1),MIN(F302,M302,R301),0)</x:f>
        <x:v>0</x:v>
      </x:c>
      <x:c r="S302" s="23" t="str">
        <x:f>IF(R302&gt;=F302,"ADMITTED","NOT ADMITTED")</x:f>
        <x:v>NOT ADMITTED</x:v>
      </x:c>
    </x:row>
    <x:row r="303">
      <x:c r="B303" s="21" t="str">
        <x:v>SL-0297</x:v>
      </x:c>
      <x:c r="C303" s="21" t="str">
        <x:v>F25</x:v>
      </x:c>
      <x:c r="D303" s="21" t="n">
        <x:v>9</x:v>
      </x:c>
      <x:c r="E303" s="21" t="str">
        <x:v>Strategic transport</x:v>
      </x:c>
      <x:c r="F303" s="37" t="n">
        <x:f>'Family Register'!L31</x:f>
        <x:v>12</x:v>
      </x:c>
      <x:c r="G303" s="37" t="n">
        <x:f>INDEX(Scenarios!$H$7:$H$12,Assumptions!C7)</x:f>
        <x:v>0.65</x:v>
      </x:c>
      <x:c r="H303" s="37" t="n">
        <x:f>'Family Register'!G31*'Family Register'!I31*G303</x:f>
        <x:v>12.480000000000002</x:v>
      </x:c>
      <x:c r="I303" s="37" t="n">
        <x:f>J302</x:f>
        <x:v>12</x:v>
      </x:c>
      <x:c r="J303" s="37" t="n">
        <x:f>MIN(F303,H303,I303)</x:f>
        <x:v>12</x:v>
      </x:c>
      <x:c r="K303" s="22" t="n">
        <x:v>0</x:v>
      </x:c>
      <x:c r="L303" s="22" t="n">
        <x:v>0</x:v>
      </x:c>
      <x:c r="M303" s="37" t="n">
        <x:f>K303*L303</x:f>
        <x:v>0</x:v>
      </x:c>
      <x:c r="N303" s="22" t="n">
        <x:v>0</x:v>
      </x:c>
      <x:c r="O303" s="37" t="n">
        <x:f>'Family Register'!H31*0.9</x:f>
        <x:v>151.20000000000002</x:v>
      </x:c>
      <x:c r="P303" s="37" t="n">
        <x:f>IF(AND(N303&gt;0,N303&lt;=O303),1,0)</x:f>
        <x:v>0</x:v>
      </x:c>
      <x:c r="Q303" s="22" t="n">
        <x:v>0</x:v>
      </x:c>
      <x:c r="R303" s="37" t="n">
        <x:f>IF(AND(P303=1,Q303=1),MIN(F303,M303,R302),0)</x:f>
        <x:v>0</x:v>
      </x:c>
      <x:c r="S303" s="23" t="str">
        <x:f>IF(R303&gt;=F303,"ADMITTED","NOT ADMITTED")</x:f>
        <x:v>NOT ADMITTED</x:v>
      </x:c>
    </x:row>
    <x:row r="304">
      <x:c r="B304" s="21" t="str">
        <x:v>SL-0298</x:v>
      </x:c>
      <x:c r="C304" s="21" t="str">
        <x:v>F25</x:v>
      </x:c>
      <x:c r="D304" s="21" t="n">
        <x:v>10</x:v>
      </x:c>
      <x:c r="E304" s="21" t="str">
        <x:v>Receiving-node admission</x:v>
      </x:c>
      <x:c r="F304" s="37" t="n">
        <x:f>'Family Register'!L31</x:f>
        <x:v>12</x:v>
      </x:c>
      <x:c r="G304" s="37" t="n">
        <x:f>INDEX(Scenarios!$I$7:$I$12,Assumptions!C7)</x:f>
        <x:v>0.75</x:v>
      </x:c>
      <x:c r="H304" s="37" t="n">
        <x:f>'Family Register'!G31*'Family Register'!I31*G304</x:f>
        <x:v>14.400000000000002</x:v>
      </x:c>
      <x:c r="I304" s="37" t="n">
        <x:f>J303</x:f>
        <x:v>12</x:v>
      </x:c>
      <x:c r="J304" s="37" t="n">
        <x:f>MIN(F304,H304,I304)</x:f>
        <x:v>12</x:v>
      </x:c>
      <x:c r="K304" s="22" t="n">
        <x:v>0</x:v>
      </x:c>
      <x:c r="L304" s="22" t="n">
        <x:v>0</x:v>
      </x:c>
      <x:c r="M304" s="37" t="n">
        <x:f>K304*L304</x:f>
        <x:v>0</x:v>
      </x:c>
      <x:c r="N304" s="22" t="n">
        <x:v>0</x:v>
      </x:c>
      <x:c r="O304" s="37" t="n">
        <x:f>'Family Register'!H31*0.94</x:f>
        <x:v>157.92</x:v>
      </x:c>
      <x:c r="P304" s="37" t="n">
        <x:f>IF(AND(N304&gt;0,N304&lt;=O304),1,0)</x:f>
        <x:v>0</x:v>
      </x:c>
      <x:c r="Q304" s="22" t="n">
        <x:v>0</x:v>
      </x:c>
      <x:c r="R304" s="37" t="n">
        <x:f>IF(AND(P304=1,Q304=1),MIN(F304,M304,R303),0)</x:f>
        <x:v>0</x:v>
      </x:c>
      <x:c r="S304" s="23" t="str">
        <x:f>IF(R304&gt;=F304,"ADMITTED","NOT ADMITTED")</x:f>
        <x:v>NOT ADMITTED</x:v>
      </x:c>
    </x:row>
    <x:row r="305">
      <x:c r="B305" s="21" t="str">
        <x:v>SL-0299</x:v>
      </x:c>
      <x:c r="C305" s="21" t="str">
        <x:v>F25</x:v>
      </x:c>
      <x:c r="D305" s="21" t="n">
        <x:v>11</x:v>
      </x:c>
      <x:c r="E305" s="21" t="str">
        <x:v>Commissioned public service</x:v>
      </x:c>
      <x:c r="F305" s="37" t="n">
        <x:f>'Family Register'!L31</x:f>
        <x:v>12</x:v>
      </x:c>
      <x:c r="G305" s="37" t="n">
        <x:f>MIN(INDEX(Scenarios!$G$7:$G$12,Assumptions!C7),INDEX(Scenarios!$I$7:$I$12,Assumptions!C7))</x:f>
        <x:v>0.7</x:v>
      </x:c>
      <x:c r="H305" s="37" t="n">
        <x:f>'Family Register'!G31*'Family Register'!I31*G305</x:f>
        <x:v>13.440000000000001</x:v>
      </x:c>
      <x:c r="I305" s="37" t="n">
        <x:f>J304</x:f>
        <x:v>12</x:v>
      </x:c>
      <x:c r="J305" s="37" t="n">
        <x:f>MIN(F305,H305,I305)</x:f>
        <x:v>12</x:v>
      </x:c>
      <x:c r="K305" s="22" t="n">
        <x:v>0</x:v>
      </x:c>
      <x:c r="L305" s="22" t="n">
        <x:v>0</x:v>
      </x:c>
      <x:c r="M305" s="37" t="n">
        <x:f>K305*L305</x:f>
        <x:v>0</x:v>
      </x:c>
      <x:c r="N305" s="22" t="n">
        <x:v>0</x:v>
      </x:c>
      <x:c r="O305" s="37" t="n">
        <x:f>'Family Register'!H31*1</x:f>
        <x:v>168</x:v>
      </x:c>
      <x:c r="P305" s="37" t="n">
        <x:f>IF(AND(N305&gt;0,N305&lt;=O305),1,0)</x:f>
        <x:v>0</x:v>
      </x:c>
      <x:c r="Q305" s="22" t="n">
        <x:v>0</x:v>
      </x:c>
      <x:c r="R305" s="37" t="n">
        <x:f>IF(AND(P305=1,Q305=1),MIN(F305,M305,R304),0)</x:f>
        <x:v>0</x:v>
      </x:c>
      <x:c r="S305" s="23" t="str">
        <x:f>IF(R305&gt;=F305,"ADMITTED","NOT ADMITTED")</x:f>
        <x:v>NOT ADMITTED</x:v>
      </x:c>
    </x:row>
    <x:row r="306">
      <x:c r="B306" s="21" t="str">
        <x:v>SL-0300</x:v>
      </x:c>
      <x:c r="C306" s="21" t="str">
        <x:v>F25</x:v>
      </x:c>
      <x:c r="D306" s="21" t="n">
        <x:v>12</x:v>
      </x:c>
      <x:c r="E306" s="21" t="str">
        <x:v>Regeneration and replacement</x:v>
      </x:c>
      <x:c r="F306" s="37" t="n">
        <x:f>'Family Register'!L31</x:f>
        <x:v>12</x:v>
      </x:c>
      <x:c r="G306" s="37" t="n">
        <x:f>MIN(INDEX(Scenarios!$E$7:$E$12,Assumptions!C7),INDEX(Scenarios!$F$7:$F$12,Assumptions!C7))</x:f>
        <x:v>0.7</x:v>
      </x:c>
      <x:c r="H306" s="37" t="n">
        <x:f>'Family Register'!G31*'Family Register'!I31*G306</x:f>
        <x:v>13.440000000000001</x:v>
      </x:c>
      <x:c r="I306" s="37" t="n">
        <x:f>J305</x:f>
        <x:v>12</x:v>
      </x:c>
      <x:c r="J306" s="37" t="n">
        <x:f>MIN(F306,H306,I306)</x:f>
        <x:v>12</x:v>
      </x:c>
      <x:c r="K306" s="22" t="n">
        <x:v>0</x:v>
      </x:c>
      <x:c r="L306" s="22" t="n">
        <x:v>0</x:v>
      </x:c>
      <x:c r="M306" s="37" t="n">
        <x:f>K306*L306</x:f>
        <x:v>0</x:v>
      </x:c>
      <x:c r="N306" s="22" t="n">
        <x:v>0</x:v>
      </x:c>
      <x:c r="O306" s="37" t="n">
        <x:f>'Family Register'!H31+168</x:f>
        <x:v>336</x:v>
      </x:c>
      <x:c r="P306" s="37" t="n">
        <x:f>IF(AND(N306&gt;0,N306&lt;=O306),1,0)</x:f>
        <x:v>0</x:v>
      </x:c>
      <x:c r="Q306" s="22" t="n">
        <x:v>0</x:v>
      </x:c>
      <x:c r="R306" s="37" t="n">
        <x:f>IF(AND(P306=1,Q306=1),MIN(F306,M306,R305),0)</x:f>
        <x:v>0</x:v>
      </x:c>
      <x:c r="S306" s="23" t="str">
        <x:f>IF(R306&gt;=F306,"ADMITTED","NOT ADMITTED")</x:f>
        <x:v>NOT ADMITTED</x:v>
      </x:c>
    </x:row>
    <x:row r="307">
      <x:c r="B307" s="21" t="str">
        <x:v>SL-0301</x:v>
      </x:c>
      <x:c r="C307" s="21" t="str">
        <x:v>F26</x:v>
      </x:c>
      <x:c r="D307" s="21" t="n">
        <x:v>1</x:v>
      </x:c>
      <x:c r="E307" s="21" t="str">
        <x:v>Alert authentication</x:v>
      </x:c>
      <x:c r="F307" s="37" t="n">
        <x:f>'Family Register'!L32</x:f>
        <x:v>12</x:v>
      </x:c>
      <x:c r="G307" s="37" t="n">
        <x:f>INDEX(Scenarios!$K$7:$K$12,Assumptions!C7)</x:f>
        <x:v>0.75</x:v>
      </x:c>
      <x:c r="H307" s="37" t="n">
        <x:f>'Family Register'!G32*'Family Register'!I32*G307</x:f>
        <x:v>14.400000000000002</x:v>
      </x:c>
      <x:c r="I307" s="37" t="n">
        <x:f>F307</x:f>
        <x:v>12</x:v>
      </x:c>
      <x:c r="J307" s="37" t="n">
        <x:f>MIN(F307,H307,I307)</x:f>
        <x:v>12</x:v>
      </x:c>
      <x:c r="K307" s="22" t="n">
        <x:v>0</x:v>
      </x:c>
      <x:c r="L307" s="22" t="n">
        <x:v>0</x:v>
      </x:c>
      <x:c r="M307" s="37" t="n">
        <x:f>K307*L307</x:f>
        <x:v>0</x:v>
      </x:c>
      <x:c r="N307" s="22" t="n">
        <x:v>0</x:v>
      </x:c>
      <x:c r="O307" s="37" t="n">
        <x:f>2</x:f>
        <x:v>2</x:v>
      </x:c>
      <x:c r="P307" s="37" t="n">
        <x:f>IF(AND(N307&gt;0,N307&lt;=O307),1,0)</x:f>
        <x:v>0</x:v>
      </x:c>
      <x:c r="Q307" s="22" t="n">
        <x:v>0</x:v>
      </x:c>
      <x:c r="R307" s="37" t="n">
        <x:f>IF(AND(P307=1,Q307=1),MIN(F307,M307),0)</x:f>
        <x:v>0</x:v>
      </x:c>
      <x:c r="S307" s="23" t="str">
        <x:f>IF(R307&gt;=F307,"ADMITTED","NOT ADMITTED")</x:f>
        <x:v>NOT ADMITTED</x:v>
      </x:c>
    </x:row>
    <x:row r="308">
      <x:c r="B308" s="21" t="str">
        <x:v>SL-0302</x:v>
      </x:c>
      <x:c r="C308" s="21" t="str">
        <x:v>F26</x:v>
      </x:c>
      <x:c r="D308" s="21" t="n">
        <x:v>2</x:v>
      </x:c>
      <x:c r="E308" s="21" t="str">
        <x:v>Workforce muster</x:v>
      </x:c>
      <x:c r="F308" s="37" t="n">
        <x:f>'Family Register'!L32</x:f>
        <x:v>12</x:v>
      </x:c>
      <x:c r="G308" s="37" t="n">
        <x:f>INDEX(Scenarios!$J$7:$J$12,Assumptions!C7)</x:f>
        <x:v>0.8</x:v>
      </x:c>
      <x:c r="H308" s="37" t="n">
        <x:f>'Family Register'!G32*'Family Register'!I32*G308</x:f>
        <x:v>15.360000000000003</x:v>
      </x:c>
      <x:c r="I308" s="37" t="n">
        <x:f>J307</x:f>
        <x:v>12</x:v>
      </x:c>
      <x:c r="J308" s="37" t="n">
        <x:f>MIN(F308,H308,I308)</x:f>
        <x:v>12</x:v>
      </x:c>
      <x:c r="K308" s="22" t="n">
        <x:v>0</x:v>
      </x:c>
      <x:c r="L308" s="22" t="n">
        <x:v>0</x:v>
      </x:c>
      <x:c r="M308" s="37" t="n">
        <x:f>K308*L308</x:f>
        <x:v>0</x:v>
      </x:c>
      <x:c r="N308" s="22" t="n">
        <x:v>0</x:v>
      </x:c>
      <x:c r="O308" s="37" t="n">
        <x:f>12</x:f>
        <x:v>12</x:v>
      </x:c>
      <x:c r="P308" s="37" t="n">
        <x:f>IF(AND(N308&gt;0,N308&lt;=O308),1,0)</x:f>
        <x:v>0</x:v>
      </x:c>
      <x:c r="Q308" s="22" t="n">
        <x:v>0</x:v>
      </x:c>
      <x:c r="R308" s="37" t="n">
        <x:f>IF(AND(P308=1,Q308=1),MIN(F308,M308,R307),0)</x:f>
        <x:v>0</x:v>
      </x:c>
      <x:c r="S308" s="23" t="str">
        <x:f>IF(R308&gt;=F308,"ADMITTED","NOT ADMITTED")</x:f>
        <x:v>NOT ADMITTED</x:v>
      </x:c>
    </x:row>
    <x:row r="309">
      <x:c r="B309" s="21" t="str">
        <x:v>SL-0303</x:v>
      </x:c>
      <x:c r="C309" s="21" t="str">
        <x:v>F26</x:v>
      </x:c>
      <x:c r="D309" s="21" t="n">
        <x:v>3</x:v>
      </x:c>
      <x:c r="E309" s="21" t="str">
        <x:v>Facility utility and safe start</x:v>
      </x:c>
      <x:c r="F309" s="37" t="n">
        <x:f>'Family Register'!L32</x:f>
        <x:v>12</x:v>
      </x:c>
      <x:c r="G309" s="37" t="n">
        <x:f>INDEX(Scenarios!$G$7:$G$12,Assumptions!C7)</x:f>
        <x:v>0.7</x:v>
      </x:c>
      <x:c r="H309" s="37" t="n">
        <x:f>'Family Register'!G32*'Family Register'!I32*G309</x:f>
        <x:v>13.440000000000001</x:v>
      </x:c>
      <x:c r="I309" s="37" t="n">
        <x:f>J308</x:f>
        <x:v>12</x:v>
      </x:c>
      <x:c r="J309" s="37" t="n">
        <x:f>MIN(F309,H309,I309)</x:f>
        <x:v>12</x:v>
      </x:c>
      <x:c r="K309" s="22" t="n">
        <x:v>0</x:v>
      </x:c>
      <x:c r="L309" s="22" t="n">
        <x:v>0</x:v>
      </x:c>
      <x:c r="M309" s="37" t="n">
        <x:f>K309*L309</x:f>
        <x:v>0</x:v>
      </x:c>
      <x:c r="N309" s="22" t="n">
        <x:v>0</x:v>
      </x:c>
      <x:c r="O309" s="37" t="n">
        <x:f>24</x:f>
        <x:v>24</x:v>
      </x:c>
      <x:c r="P309" s="37" t="n">
        <x:f>IF(AND(N309&gt;0,N309&lt;=O309),1,0)</x:f>
        <x:v>0</x:v>
      </x:c>
      <x:c r="Q309" s="22" t="n">
        <x:v>0</x:v>
      </x:c>
      <x:c r="R309" s="37" t="n">
        <x:f>IF(AND(P309=1,Q309=1),MIN(F309,M309,R308),0)</x:f>
        <x:v>0</x:v>
      </x:c>
      <x:c r="S309" s="23" t="str">
        <x:f>IF(R309&gt;=F309,"ADMITTED","NOT ADMITTED")</x:f>
        <x:v>NOT ADMITTED</x:v>
      </x:c>
    </x:row>
    <x:row r="310">
      <x:c r="B310" s="21" t="str">
        <x:v>SL-0304</x:v>
      </x:c>
      <x:c r="C310" s="21" t="str">
        <x:v>F26</x:v>
      </x:c>
      <x:c r="D310" s="21" t="n">
        <x:v>4</x:v>
      </x:c>
      <x:c r="E310" s="21" t="str">
        <x:v>Material tooling and instrument release</x:v>
      </x:c>
      <x:c r="F310" s="37" t="n">
        <x:f>'Family Register'!L32</x:f>
        <x:v>12</x:v>
      </x:c>
      <x:c r="G310" s="37" t="n">
        <x:f>INDEX(Scenarios!$E$7:$E$12,Assumptions!C7)</x:f>
        <x:v>0.75</x:v>
      </x:c>
      <x:c r="H310" s="37" t="n">
        <x:f>'Family Register'!G32*'Family Register'!I32*G310</x:f>
        <x:v>14.400000000000002</x:v>
      </x:c>
      <x:c r="I310" s="37" t="n">
        <x:f>J309</x:f>
        <x:v>12</x:v>
      </x:c>
      <x:c r="J310" s="37" t="n">
        <x:f>MIN(F310,H310,I310)</x:f>
        <x:v>12</x:v>
      </x:c>
      <x:c r="K310" s="22" t="n">
        <x:v>0</x:v>
      </x:c>
      <x:c r="L310" s="22" t="n">
        <x:v>0</x:v>
      </x:c>
      <x:c r="M310" s="37" t="n">
        <x:f>K310*L310</x:f>
        <x:v>0</x:v>
      </x:c>
      <x:c r="N310" s="22" t="n">
        <x:v>0</x:v>
      </x:c>
      <x:c r="O310" s="37" t="n">
        <x:f>36</x:f>
        <x:v>36</x:v>
      </x:c>
      <x:c r="P310" s="37" t="n">
        <x:f>IF(AND(N310&gt;0,N310&lt;=O310),1,0)</x:f>
        <x:v>0</x:v>
      </x:c>
      <x:c r="Q310" s="22" t="n">
        <x:v>0</x:v>
      </x:c>
      <x:c r="R310" s="37" t="n">
        <x:f>IF(AND(P310=1,Q310=1),MIN(F310,M310,R309),0)</x:f>
        <x:v>0</x:v>
      </x:c>
      <x:c r="S310" s="23" t="str">
        <x:f>IF(R310&gt;=F310,"ADMITTED","NOT ADMITTED")</x:f>
        <x:v>NOT ADMITTED</x:v>
      </x:c>
    </x:row>
    <x:row r="311">
      <x:c r="B311" s="21" t="str">
        <x:v>SL-0305</x:v>
      </x:c>
      <x:c r="C311" s="21" t="str">
        <x:v>F26</x:v>
      </x:c>
      <x:c r="D311" s="21" t="n">
        <x:v>5</x:v>
      </x:c>
      <x:c r="E311" s="21" t="str">
        <x:v>Supplier and process activation</x:v>
      </x:c>
      <x:c r="F311" s="37" t="n">
        <x:f>'Family Register'!L32</x:f>
        <x:v>12</x:v>
      </x:c>
      <x:c r="G311" s="37" t="n">
        <x:f>MIN(INDEX(Scenarios!$E$7:$E$12,Assumptions!C7),INDEX(Scenarios!$F$7:$F$12,Assumptions!C7))</x:f>
        <x:v>0.7</x:v>
      </x:c>
      <x:c r="H311" s="37" t="n">
        <x:f>'Family Register'!G32*'Family Register'!I32*G311</x:f>
        <x:v>13.440000000000001</x:v>
      </x:c>
      <x:c r="I311" s="37" t="n">
        <x:f>J310</x:f>
        <x:v>12</x:v>
      </x:c>
      <x:c r="J311" s="37" t="n">
        <x:f>MIN(F311,H311,I311)</x:f>
        <x:v>12</x:v>
      </x:c>
      <x:c r="K311" s="22" t="n">
        <x:v>0</x:v>
      </x:c>
      <x:c r="L311" s="22" t="n">
        <x:v>0</x:v>
      </x:c>
      <x:c r="M311" s="37" t="n">
        <x:f>K311*L311</x:f>
        <x:v>0</x:v>
      </x:c>
      <x:c r="N311" s="22" t="n">
        <x:v>0</x:v>
      </x:c>
      <x:c r="O311" s="37" t="n">
        <x:f>48</x:f>
        <x:v>48</x:v>
      </x:c>
      <x:c r="P311" s="37" t="n">
        <x:f>IF(AND(N311&gt;0,N311&lt;=O311),1,0)</x:f>
        <x:v>0</x:v>
      </x:c>
      <x:c r="Q311" s="22" t="n">
        <x:v>0</x:v>
      </x:c>
      <x:c r="R311" s="37" t="n">
        <x:f>IF(AND(P311=1,Q311=1),MIN(F311,M311,R310),0)</x:f>
        <x:v>0</x:v>
      </x:c>
      <x:c r="S311" s="23" t="str">
        <x:f>IF(R311&gt;=F311,"ADMITTED","NOT ADMITTED")</x:f>
        <x:v>NOT ADMITTED</x:v>
      </x:c>
    </x:row>
    <x:row r="312">
      <x:c r="B312" s="21" t="str">
        <x:v>SL-0306</x:v>
      </x:c>
      <x:c r="C312" s="21" t="str">
        <x:v>F26</x:v>
      </x:c>
      <x:c r="D312" s="21" t="n">
        <x:v>6</x:v>
      </x:c>
      <x:c r="E312" s="21" t="str">
        <x:v>Conforming production</x:v>
      </x:c>
      <x:c r="F312" s="37" t="n">
        <x:f>'Family Register'!L32</x:f>
        <x:v>12</x:v>
      </x:c>
      <x:c r="G312" s="37" t="n">
        <x:f>INDEX(Scenarios!$F$7:$F$12,Assumptions!C7)</x:f>
        <x:v>0.7</x:v>
      </x:c>
      <x:c r="H312" s="37" t="n">
        <x:f>'Family Register'!G32*'Family Register'!I32*G312</x:f>
        <x:v>13.440000000000001</x:v>
      </x:c>
      <x:c r="I312" s="37" t="n">
        <x:f>J311</x:f>
        <x:v>12</x:v>
      </x:c>
      <x:c r="J312" s="37" t="n">
        <x:f>MIN(F312,H312,I312)</x:f>
        <x:v>12</x:v>
      </x:c>
      <x:c r="K312" s="22" t="n">
        <x:v>0</x:v>
      </x:c>
      <x:c r="L312" s="22" t="n">
        <x:v>0</x:v>
      </x:c>
      <x:c r="M312" s="37" t="n">
        <x:f>K312*L312</x:f>
        <x:v>0</x:v>
      </x:c>
      <x:c r="N312" s="22" t="n">
        <x:v>0</x:v>
      </x:c>
      <x:c r="O312" s="37" t="n">
        <x:f>'Family Register'!H32*0.55</x:f>
        <x:v>92.4</x:v>
      </x:c>
      <x:c r="P312" s="37" t="n">
        <x:f>IF(AND(N312&gt;0,N312&lt;=O312),1,0)</x:f>
        <x:v>0</x:v>
      </x:c>
      <x:c r="Q312" s="22" t="n">
        <x:v>0</x:v>
      </x:c>
      <x:c r="R312" s="37" t="n">
        <x:f>IF(AND(P312=1,Q312=1),MIN(F312,M312,R311),0)</x:f>
        <x:v>0</x:v>
      </x:c>
      <x:c r="S312" s="23" t="str">
        <x:f>IF(R312&gt;=F312,"ADMITTED","NOT ADMITTED")</x:f>
        <x:v>NOT ADMITTED</x:v>
      </x:c>
    </x:row>
    <x:row r="313">
      <x:c r="B313" s="21" t="str">
        <x:v>SL-0307</x:v>
      </x:c>
      <x:c r="C313" s="21" t="str">
        <x:v>F26</x:v>
      </x:c>
      <x:c r="D313" s="21" t="n">
        <x:v>7</x:v>
      </x:c>
      <x:c r="E313" s="21" t="str">
        <x:v>Independent acceptance</x:v>
      </x:c>
      <x:c r="F313" s="37" t="n">
        <x:f>'Family Register'!L32</x:f>
        <x:v>12</x:v>
      </x:c>
      <x:c r="G313" s="37" t="n">
        <x:f>INDEX(Scenarios!$L$7:$L$12,Assumptions!C7)</x:f>
        <x:v>0.8</x:v>
      </x:c>
      <x:c r="H313" s="37" t="n">
        <x:f>'Family Register'!G32*'Family Register'!I32*G313</x:f>
        <x:v>15.360000000000003</x:v>
      </x:c>
      <x:c r="I313" s="37" t="n">
        <x:f>J312</x:f>
        <x:v>12</x:v>
      </x:c>
      <x:c r="J313" s="37" t="n">
        <x:f>MIN(F313,H313,I313)</x:f>
        <x:v>12</x:v>
      </x:c>
      <x:c r="K313" s="22" t="n">
        <x:v>0</x:v>
      </x:c>
      <x:c r="L313" s="22" t="n">
        <x:v>0</x:v>
      </x:c>
      <x:c r="M313" s="37" t="n">
        <x:f>K313*L313</x:f>
        <x:v>0</x:v>
      </x:c>
      <x:c r="N313" s="22" t="n">
        <x:v>0</x:v>
      </x:c>
      <x:c r="O313" s="37" t="n">
        <x:f>'Family Register'!H32*0.65</x:f>
        <x:v>109.2</x:v>
      </x:c>
      <x:c r="P313" s="37" t="n">
        <x:f>IF(AND(N313&gt;0,N313&lt;=O313),1,0)</x:f>
        <x:v>0</x:v>
      </x:c>
      <x:c r="Q313" s="22" t="n">
        <x:v>0</x:v>
      </x:c>
      <x:c r="R313" s="37" t="n">
        <x:f>IF(AND(P313=1,Q313=1),MIN(F313,M313,R312),0)</x:f>
        <x:v>0</x:v>
      </x:c>
      <x:c r="S313" s="23" t="str">
        <x:f>IF(R313&gt;=F313,"ADMITTED","NOT ADMITTED")</x:f>
        <x:v>NOT ADMITTED</x:v>
      </x:c>
    </x:row>
    <x:row r="314">
      <x:c r="B314" s="21" t="str">
        <x:v>SL-0308</x:v>
      </x:c>
      <x:c r="C314" s="21" t="str">
        <x:v>F26</x:v>
      </x:c>
      <x:c r="D314" s="21" t="n">
        <x:v>8</x:v>
      </x:c>
      <x:c r="E314" s="21" t="str">
        <x:v>Loadout and custody transfer</x:v>
      </x:c>
      <x:c r="F314" s="37" t="n">
        <x:f>'Family Register'!L32</x:f>
        <x:v>12</x:v>
      </x:c>
      <x:c r="G314" s="37" t="n">
        <x:f>INDEX(Scenarios!$H$7:$H$12,Assumptions!C7)</x:f>
        <x:v>0.65</x:v>
      </x:c>
      <x:c r="H314" s="37" t="n">
        <x:f>'Family Register'!G32*'Family Register'!I32*G314</x:f>
        <x:v>12.480000000000002</x:v>
      </x:c>
      <x:c r="I314" s="37" t="n">
        <x:f>J313</x:f>
        <x:v>12</x:v>
      </x:c>
      <x:c r="J314" s="37" t="n">
        <x:f>MIN(F314,H314,I314)</x:f>
        <x:v>12</x:v>
      </x:c>
      <x:c r="K314" s="22" t="n">
        <x:v>0</x:v>
      </x:c>
      <x:c r="L314" s="22" t="n">
        <x:v>0</x:v>
      </x:c>
      <x:c r="M314" s="37" t="n">
        <x:f>K314*L314</x:f>
        <x:v>0</x:v>
      </x:c>
      <x:c r="N314" s="22" t="n">
        <x:v>0</x:v>
      </x:c>
      <x:c r="O314" s="37" t="n">
        <x:f>'Family Register'!H32*0.7</x:f>
        <x:v>117.6</x:v>
      </x:c>
      <x:c r="P314" s="37" t="n">
        <x:f>IF(AND(N314&gt;0,N314&lt;=O314),1,0)</x:f>
        <x:v>0</x:v>
      </x:c>
      <x:c r="Q314" s="22" t="n">
        <x:v>0</x:v>
      </x:c>
      <x:c r="R314" s="37" t="n">
        <x:f>IF(AND(P314=1,Q314=1),MIN(F314,M314,R313),0)</x:f>
        <x:v>0</x:v>
      </x:c>
      <x:c r="S314" s="23" t="str">
        <x:f>IF(R314&gt;=F314,"ADMITTED","NOT ADMITTED")</x:f>
        <x:v>NOT ADMITTED</x:v>
      </x:c>
    </x:row>
    <x:row r="315">
      <x:c r="B315" s="21" t="str">
        <x:v>SL-0309</x:v>
      </x:c>
      <x:c r="C315" s="21" t="str">
        <x:v>F26</x:v>
      </x:c>
      <x:c r="D315" s="21" t="n">
        <x:v>9</x:v>
      </x:c>
      <x:c r="E315" s="21" t="str">
        <x:v>Strategic transport</x:v>
      </x:c>
      <x:c r="F315" s="37" t="n">
        <x:f>'Family Register'!L32</x:f>
        <x:v>12</x:v>
      </x:c>
      <x:c r="G315" s="37" t="n">
        <x:f>INDEX(Scenarios!$H$7:$H$12,Assumptions!C7)</x:f>
        <x:v>0.65</x:v>
      </x:c>
      <x:c r="H315" s="37" t="n">
        <x:f>'Family Register'!G32*'Family Register'!I32*G315</x:f>
        <x:v>12.480000000000002</x:v>
      </x:c>
      <x:c r="I315" s="37" t="n">
        <x:f>J314</x:f>
        <x:v>12</x:v>
      </x:c>
      <x:c r="J315" s="37" t="n">
        <x:f>MIN(F315,H315,I315)</x:f>
        <x:v>12</x:v>
      </x:c>
      <x:c r="K315" s="22" t="n">
        <x:v>0</x:v>
      </x:c>
      <x:c r="L315" s="22" t="n">
        <x:v>0</x:v>
      </x:c>
      <x:c r="M315" s="37" t="n">
        <x:f>K315*L315</x:f>
        <x:v>0</x:v>
      </x:c>
      <x:c r="N315" s="22" t="n">
        <x:v>0</x:v>
      </x:c>
      <x:c r="O315" s="37" t="n">
        <x:f>'Family Register'!H32*0.9</x:f>
        <x:v>151.20000000000002</x:v>
      </x:c>
      <x:c r="P315" s="37" t="n">
        <x:f>IF(AND(N315&gt;0,N315&lt;=O315),1,0)</x:f>
        <x:v>0</x:v>
      </x:c>
      <x:c r="Q315" s="22" t="n">
        <x:v>0</x:v>
      </x:c>
      <x:c r="R315" s="37" t="n">
        <x:f>IF(AND(P315=1,Q315=1),MIN(F315,M315,R314),0)</x:f>
        <x:v>0</x:v>
      </x:c>
      <x:c r="S315" s="23" t="str">
        <x:f>IF(R315&gt;=F315,"ADMITTED","NOT ADMITTED")</x:f>
        <x:v>NOT ADMITTED</x:v>
      </x:c>
    </x:row>
    <x:row r="316">
      <x:c r="B316" s="21" t="str">
        <x:v>SL-0310</x:v>
      </x:c>
      <x:c r="C316" s="21" t="str">
        <x:v>F26</x:v>
      </x:c>
      <x:c r="D316" s="21" t="n">
        <x:v>10</x:v>
      </x:c>
      <x:c r="E316" s="21" t="str">
        <x:v>Receiving-node admission</x:v>
      </x:c>
      <x:c r="F316" s="37" t="n">
        <x:f>'Family Register'!L32</x:f>
        <x:v>12</x:v>
      </x:c>
      <x:c r="G316" s="37" t="n">
        <x:f>INDEX(Scenarios!$I$7:$I$12,Assumptions!C7)</x:f>
        <x:v>0.75</x:v>
      </x:c>
      <x:c r="H316" s="37" t="n">
        <x:f>'Family Register'!G32*'Family Register'!I32*G316</x:f>
        <x:v>14.400000000000002</x:v>
      </x:c>
      <x:c r="I316" s="37" t="n">
        <x:f>J315</x:f>
        <x:v>12</x:v>
      </x:c>
      <x:c r="J316" s="37" t="n">
        <x:f>MIN(F316,H316,I316)</x:f>
        <x:v>12</x:v>
      </x:c>
      <x:c r="K316" s="22" t="n">
        <x:v>0</x:v>
      </x:c>
      <x:c r="L316" s="22" t="n">
        <x:v>0</x:v>
      </x:c>
      <x:c r="M316" s="37" t="n">
        <x:f>K316*L316</x:f>
        <x:v>0</x:v>
      </x:c>
      <x:c r="N316" s="22" t="n">
        <x:v>0</x:v>
      </x:c>
      <x:c r="O316" s="37" t="n">
        <x:f>'Family Register'!H32*0.94</x:f>
        <x:v>157.92</x:v>
      </x:c>
      <x:c r="P316" s="37" t="n">
        <x:f>IF(AND(N316&gt;0,N316&lt;=O316),1,0)</x:f>
        <x:v>0</x:v>
      </x:c>
      <x:c r="Q316" s="22" t="n">
        <x:v>0</x:v>
      </x:c>
      <x:c r="R316" s="37" t="n">
        <x:f>IF(AND(P316=1,Q316=1),MIN(F316,M316,R315),0)</x:f>
        <x:v>0</x:v>
      </x:c>
      <x:c r="S316" s="23" t="str">
        <x:f>IF(R316&gt;=F316,"ADMITTED","NOT ADMITTED")</x:f>
        <x:v>NOT ADMITTED</x:v>
      </x:c>
    </x:row>
    <x:row r="317">
      <x:c r="B317" s="21" t="str">
        <x:v>SL-0311</x:v>
      </x:c>
      <x:c r="C317" s="21" t="str">
        <x:v>F26</x:v>
      </x:c>
      <x:c r="D317" s="21" t="n">
        <x:v>11</x:v>
      </x:c>
      <x:c r="E317" s="21" t="str">
        <x:v>Commissioned public service</x:v>
      </x:c>
      <x:c r="F317" s="37" t="n">
        <x:f>'Family Register'!L32</x:f>
        <x:v>12</x:v>
      </x:c>
      <x:c r="G317" s="37" t="n">
        <x:f>MIN(INDEX(Scenarios!$G$7:$G$12,Assumptions!C7),INDEX(Scenarios!$I$7:$I$12,Assumptions!C7))</x:f>
        <x:v>0.7</x:v>
      </x:c>
      <x:c r="H317" s="37" t="n">
        <x:f>'Family Register'!G32*'Family Register'!I32*G317</x:f>
        <x:v>13.440000000000001</x:v>
      </x:c>
      <x:c r="I317" s="37" t="n">
        <x:f>J316</x:f>
        <x:v>12</x:v>
      </x:c>
      <x:c r="J317" s="37" t="n">
        <x:f>MIN(F317,H317,I317)</x:f>
        <x:v>12</x:v>
      </x:c>
      <x:c r="K317" s="22" t="n">
        <x:v>0</x:v>
      </x:c>
      <x:c r="L317" s="22" t="n">
        <x:v>0</x:v>
      </x:c>
      <x:c r="M317" s="37" t="n">
        <x:f>K317*L317</x:f>
        <x:v>0</x:v>
      </x:c>
      <x:c r="N317" s="22" t="n">
        <x:v>0</x:v>
      </x:c>
      <x:c r="O317" s="37" t="n">
        <x:f>'Family Register'!H32*1</x:f>
        <x:v>168</x:v>
      </x:c>
      <x:c r="P317" s="37" t="n">
        <x:f>IF(AND(N317&gt;0,N317&lt;=O317),1,0)</x:f>
        <x:v>0</x:v>
      </x:c>
      <x:c r="Q317" s="22" t="n">
        <x:v>0</x:v>
      </x:c>
      <x:c r="R317" s="37" t="n">
        <x:f>IF(AND(P317=1,Q317=1),MIN(F317,M317,R316),0)</x:f>
        <x:v>0</x:v>
      </x:c>
      <x:c r="S317" s="23" t="str">
        <x:f>IF(R317&gt;=F317,"ADMITTED","NOT ADMITTED")</x:f>
        <x:v>NOT ADMITTED</x:v>
      </x:c>
    </x:row>
    <x:row r="318">
      <x:c r="B318" s="21" t="str">
        <x:v>SL-0312</x:v>
      </x:c>
      <x:c r="C318" s="21" t="str">
        <x:v>F26</x:v>
      </x:c>
      <x:c r="D318" s="21" t="n">
        <x:v>12</x:v>
      </x:c>
      <x:c r="E318" s="21" t="str">
        <x:v>Regeneration and replacement</x:v>
      </x:c>
      <x:c r="F318" s="37" t="n">
        <x:f>'Family Register'!L32</x:f>
        <x:v>12</x:v>
      </x:c>
      <x:c r="G318" s="37" t="n">
        <x:f>MIN(INDEX(Scenarios!$E$7:$E$12,Assumptions!C7),INDEX(Scenarios!$F$7:$F$12,Assumptions!C7))</x:f>
        <x:v>0.7</x:v>
      </x:c>
      <x:c r="H318" s="37" t="n">
        <x:f>'Family Register'!G32*'Family Register'!I32*G318</x:f>
        <x:v>13.440000000000001</x:v>
      </x:c>
      <x:c r="I318" s="37" t="n">
        <x:f>J317</x:f>
        <x:v>12</x:v>
      </x:c>
      <x:c r="J318" s="37" t="n">
        <x:f>MIN(F318,H318,I318)</x:f>
        <x:v>12</x:v>
      </x:c>
      <x:c r="K318" s="22" t="n">
        <x:v>0</x:v>
      </x:c>
      <x:c r="L318" s="22" t="n">
        <x:v>0</x:v>
      </x:c>
      <x:c r="M318" s="37" t="n">
        <x:f>K318*L318</x:f>
        <x:v>0</x:v>
      </x:c>
      <x:c r="N318" s="22" t="n">
        <x:v>0</x:v>
      </x:c>
      <x:c r="O318" s="37" t="n">
        <x:f>'Family Register'!H32+168</x:f>
        <x:v>336</x:v>
      </x:c>
      <x:c r="P318" s="37" t="n">
        <x:f>IF(AND(N318&gt;0,N318&lt;=O318),1,0)</x:f>
        <x:v>0</x:v>
      </x:c>
      <x:c r="Q318" s="22" t="n">
        <x:v>0</x:v>
      </x:c>
      <x:c r="R318" s="37" t="n">
        <x:f>IF(AND(P318=1,Q318=1),MIN(F318,M318,R317),0)</x:f>
        <x:v>0</x:v>
      </x:c>
      <x:c r="S318" s="23" t="str">
        <x:f>IF(R318&gt;=F318,"ADMITTED","NOT ADMITTED")</x:f>
        <x:v>NOT ADMITTED</x:v>
      </x:c>
    </x:row>
    <x:row r="319">
      <x:c r="B319" s="21" t="str">
        <x:v>SL-0313</x:v>
      </x:c>
      <x:c r="C319" s="21" t="str">
        <x:v>F27</x:v>
      </x:c>
      <x:c r="D319" s="21" t="n">
        <x:v>1</x:v>
      </x:c>
      <x:c r="E319" s="21" t="str">
        <x:v>Alert authentication</x:v>
      </x:c>
      <x:c r="F319" s="37" t="n">
        <x:f>'Family Register'!L33</x:f>
        <x:v>2</x:v>
      </x:c>
      <x:c r="G319" s="37" t="n">
        <x:f>INDEX(Scenarios!$K$7:$K$12,Assumptions!C7)</x:f>
        <x:v>0.75</x:v>
      </x:c>
      <x:c r="H319" s="37" t="n">
        <x:f>'Family Register'!G33*'Family Register'!I33*G319</x:f>
        <x:v>1.9500000000000002</x:v>
      </x:c>
      <x:c r="I319" s="37" t="n">
        <x:f>F319</x:f>
        <x:v>2</x:v>
      </x:c>
      <x:c r="J319" s="37" t="n">
        <x:f>MIN(F319,H319,I319)</x:f>
        <x:v>1.9500000000000002</x:v>
      </x:c>
      <x:c r="K319" s="22" t="n">
        <x:v>0</x:v>
      </x:c>
      <x:c r="L319" s="22" t="n">
        <x:v>0</x:v>
      </x:c>
      <x:c r="M319" s="37" t="n">
        <x:f>K319*L319</x:f>
        <x:v>0</x:v>
      </x:c>
      <x:c r="N319" s="22" t="n">
        <x:v>0</x:v>
      </x:c>
      <x:c r="O319" s="37" t="n">
        <x:f>2</x:f>
        <x:v>2</x:v>
      </x:c>
      <x:c r="P319" s="37" t="n">
        <x:f>IF(AND(N319&gt;0,N319&lt;=O319),1,0)</x:f>
        <x:v>0</x:v>
      </x:c>
      <x:c r="Q319" s="22" t="n">
        <x:v>0</x:v>
      </x:c>
      <x:c r="R319" s="37" t="n">
        <x:f>IF(AND(P319=1,Q319=1),MIN(F319,M319),0)</x:f>
        <x:v>0</x:v>
      </x:c>
      <x:c r="S319" s="23" t="str">
        <x:f>IF(R319&gt;=F319,"ADMITTED","NOT ADMITTED")</x:f>
        <x:v>NOT ADMITTED</x:v>
      </x:c>
    </x:row>
    <x:row r="320">
      <x:c r="B320" s="21" t="str">
        <x:v>SL-0314</x:v>
      </x:c>
      <x:c r="C320" s="21" t="str">
        <x:v>F27</x:v>
      </x:c>
      <x:c r="D320" s="21" t="n">
        <x:v>2</x:v>
      </x:c>
      <x:c r="E320" s="21" t="str">
        <x:v>Workforce muster</x:v>
      </x:c>
      <x:c r="F320" s="37" t="n">
        <x:f>'Family Register'!L33</x:f>
        <x:v>2</x:v>
      </x:c>
      <x:c r="G320" s="37" t="n">
        <x:f>INDEX(Scenarios!$J$7:$J$12,Assumptions!C7)</x:f>
        <x:v>0.8</x:v>
      </x:c>
      <x:c r="H320" s="37" t="n">
        <x:f>'Family Register'!G33*'Family Register'!I33*G320</x:f>
        <x:v>2.08</x:v>
      </x:c>
      <x:c r="I320" s="37" t="n">
        <x:f>J319</x:f>
        <x:v>1.9500000000000002</x:v>
      </x:c>
      <x:c r="J320" s="37" t="n">
        <x:f>MIN(F320,H320,I320)</x:f>
        <x:v>1.9500000000000002</x:v>
      </x:c>
      <x:c r="K320" s="22" t="n">
        <x:v>0</x:v>
      </x:c>
      <x:c r="L320" s="22" t="n">
        <x:v>0</x:v>
      </x:c>
      <x:c r="M320" s="37" t="n">
        <x:f>K320*L320</x:f>
        <x:v>0</x:v>
      </x:c>
      <x:c r="N320" s="22" t="n">
        <x:v>0</x:v>
      </x:c>
      <x:c r="O320" s="37" t="n">
        <x:f>12</x:f>
        <x:v>12</x:v>
      </x:c>
      <x:c r="P320" s="37" t="n">
        <x:f>IF(AND(N320&gt;0,N320&lt;=O320),1,0)</x:f>
        <x:v>0</x:v>
      </x:c>
      <x:c r="Q320" s="22" t="n">
        <x:v>0</x:v>
      </x:c>
      <x:c r="R320" s="37" t="n">
        <x:f>IF(AND(P320=1,Q320=1),MIN(F320,M320,R319),0)</x:f>
        <x:v>0</x:v>
      </x:c>
      <x:c r="S320" s="23" t="str">
        <x:f>IF(R320&gt;=F320,"ADMITTED","NOT ADMITTED")</x:f>
        <x:v>NOT ADMITTED</x:v>
      </x:c>
    </x:row>
    <x:row r="321">
      <x:c r="B321" s="21" t="str">
        <x:v>SL-0315</x:v>
      </x:c>
      <x:c r="C321" s="21" t="str">
        <x:v>F27</x:v>
      </x:c>
      <x:c r="D321" s="21" t="n">
        <x:v>3</x:v>
      </x:c>
      <x:c r="E321" s="21" t="str">
        <x:v>Facility utility and safe start</x:v>
      </x:c>
      <x:c r="F321" s="37" t="n">
        <x:f>'Family Register'!L33</x:f>
        <x:v>2</x:v>
      </x:c>
      <x:c r="G321" s="37" t="n">
        <x:f>INDEX(Scenarios!$G$7:$G$12,Assumptions!C7)</x:f>
        <x:v>0.7</x:v>
      </x:c>
      <x:c r="H321" s="37" t="n">
        <x:f>'Family Register'!G33*'Family Register'!I33*G321</x:f>
        <x:v>1.8199999999999998</x:v>
      </x:c>
      <x:c r="I321" s="37" t="n">
        <x:f>J320</x:f>
        <x:v>1.9500000000000002</x:v>
      </x:c>
      <x:c r="J321" s="37" t="n">
        <x:f>MIN(F321,H321,I321)</x:f>
        <x:v>1.8199999999999998</x:v>
      </x:c>
      <x:c r="K321" s="22" t="n">
        <x:v>0</x:v>
      </x:c>
      <x:c r="L321" s="22" t="n">
        <x:v>0</x:v>
      </x:c>
      <x:c r="M321" s="37" t="n">
        <x:f>K321*L321</x:f>
        <x:v>0</x:v>
      </x:c>
      <x:c r="N321" s="22" t="n">
        <x:v>0</x:v>
      </x:c>
      <x:c r="O321" s="37" t="n">
        <x:f>24</x:f>
        <x:v>24</x:v>
      </x:c>
      <x:c r="P321" s="37" t="n">
        <x:f>IF(AND(N321&gt;0,N321&lt;=O321),1,0)</x:f>
        <x:v>0</x:v>
      </x:c>
      <x:c r="Q321" s="22" t="n">
        <x:v>0</x:v>
      </x:c>
      <x:c r="R321" s="37" t="n">
        <x:f>IF(AND(P321=1,Q321=1),MIN(F321,M321,R320),0)</x:f>
        <x:v>0</x:v>
      </x:c>
      <x:c r="S321" s="23" t="str">
        <x:f>IF(R321&gt;=F321,"ADMITTED","NOT ADMITTED")</x:f>
        <x:v>NOT ADMITTED</x:v>
      </x:c>
    </x:row>
    <x:row r="322">
      <x:c r="B322" s="21" t="str">
        <x:v>SL-0316</x:v>
      </x:c>
      <x:c r="C322" s="21" t="str">
        <x:v>F27</x:v>
      </x:c>
      <x:c r="D322" s="21" t="n">
        <x:v>4</x:v>
      </x:c>
      <x:c r="E322" s="21" t="str">
        <x:v>Material tooling and instrument release</x:v>
      </x:c>
      <x:c r="F322" s="37" t="n">
        <x:f>'Family Register'!L33</x:f>
        <x:v>2</x:v>
      </x:c>
      <x:c r="G322" s="37" t="n">
        <x:f>INDEX(Scenarios!$E$7:$E$12,Assumptions!C7)</x:f>
        <x:v>0.75</x:v>
      </x:c>
      <x:c r="H322" s="37" t="n">
        <x:f>'Family Register'!G33*'Family Register'!I33*G322</x:f>
        <x:v>1.9500000000000002</x:v>
      </x:c>
      <x:c r="I322" s="37" t="n">
        <x:f>J321</x:f>
        <x:v>1.8199999999999998</x:v>
      </x:c>
      <x:c r="J322" s="37" t="n">
        <x:f>MIN(F322,H322,I322)</x:f>
        <x:v>1.8199999999999998</x:v>
      </x:c>
      <x:c r="K322" s="22" t="n">
        <x:v>0</x:v>
      </x:c>
      <x:c r="L322" s="22" t="n">
        <x:v>0</x:v>
      </x:c>
      <x:c r="M322" s="37" t="n">
        <x:f>K322*L322</x:f>
        <x:v>0</x:v>
      </x:c>
      <x:c r="N322" s="22" t="n">
        <x:v>0</x:v>
      </x:c>
      <x:c r="O322" s="37" t="n">
        <x:f>36</x:f>
        <x:v>36</x:v>
      </x:c>
      <x:c r="P322" s="37" t="n">
        <x:f>IF(AND(N322&gt;0,N322&lt;=O322),1,0)</x:f>
        <x:v>0</x:v>
      </x:c>
      <x:c r="Q322" s="22" t="n">
        <x:v>0</x:v>
      </x:c>
      <x:c r="R322" s="37" t="n">
        <x:f>IF(AND(P322=1,Q322=1),MIN(F322,M322,R321),0)</x:f>
        <x:v>0</x:v>
      </x:c>
      <x:c r="S322" s="23" t="str">
        <x:f>IF(R322&gt;=F322,"ADMITTED","NOT ADMITTED")</x:f>
        <x:v>NOT ADMITTED</x:v>
      </x:c>
    </x:row>
    <x:row r="323">
      <x:c r="B323" s="21" t="str">
        <x:v>SL-0317</x:v>
      </x:c>
      <x:c r="C323" s="21" t="str">
        <x:v>F27</x:v>
      </x:c>
      <x:c r="D323" s="21" t="n">
        <x:v>5</x:v>
      </x:c>
      <x:c r="E323" s="21" t="str">
        <x:v>Supplier and process activation</x:v>
      </x:c>
      <x:c r="F323" s="37" t="n">
        <x:f>'Family Register'!L33</x:f>
        <x:v>2</x:v>
      </x:c>
      <x:c r="G323" s="37" t="n">
        <x:f>MIN(INDEX(Scenarios!$E$7:$E$12,Assumptions!C7),INDEX(Scenarios!$F$7:$F$12,Assumptions!C7))</x:f>
        <x:v>0.7</x:v>
      </x:c>
      <x:c r="H323" s="37" t="n">
        <x:f>'Family Register'!G33*'Family Register'!I33*G323</x:f>
        <x:v>1.8199999999999998</x:v>
      </x:c>
      <x:c r="I323" s="37" t="n">
        <x:f>J322</x:f>
        <x:v>1.8199999999999998</x:v>
      </x:c>
      <x:c r="J323" s="37" t="n">
        <x:f>MIN(F323,H323,I323)</x:f>
        <x:v>1.8199999999999998</x:v>
      </x:c>
      <x:c r="K323" s="22" t="n">
        <x:v>0</x:v>
      </x:c>
      <x:c r="L323" s="22" t="n">
        <x:v>0</x:v>
      </x:c>
      <x:c r="M323" s="37" t="n">
        <x:f>K323*L323</x:f>
        <x:v>0</x:v>
      </x:c>
      <x:c r="N323" s="22" t="n">
        <x:v>0</x:v>
      </x:c>
      <x:c r="O323" s="37" t="n">
        <x:f>48</x:f>
        <x:v>48</x:v>
      </x:c>
      <x:c r="P323" s="37" t="n">
        <x:f>IF(AND(N323&gt;0,N323&lt;=O323),1,0)</x:f>
        <x:v>0</x:v>
      </x:c>
      <x:c r="Q323" s="22" t="n">
        <x:v>0</x:v>
      </x:c>
      <x:c r="R323" s="37" t="n">
        <x:f>IF(AND(P323=1,Q323=1),MIN(F323,M323,R322),0)</x:f>
        <x:v>0</x:v>
      </x:c>
      <x:c r="S323" s="23" t="str">
        <x:f>IF(R323&gt;=F323,"ADMITTED","NOT ADMITTED")</x:f>
        <x:v>NOT ADMITTED</x:v>
      </x:c>
    </x:row>
    <x:row r="324">
      <x:c r="B324" s="21" t="str">
        <x:v>SL-0318</x:v>
      </x:c>
      <x:c r="C324" s="21" t="str">
        <x:v>F27</x:v>
      </x:c>
      <x:c r="D324" s="21" t="n">
        <x:v>6</x:v>
      </x:c>
      <x:c r="E324" s="21" t="str">
        <x:v>Conforming production</x:v>
      </x:c>
      <x:c r="F324" s="37" t="n">
        <x:f>'Family Register'!L33</x:f>
        <x:v>2</x:v>
      </x:c>
      <x:c r="G324" s="37" t="n">
        <x:f>INDEX(Scenarios!$F$7:$F$12,Assumptions!C7)</x:f>
        <x:v>0.7</x:v>
      </x:c>
      <x:c r="H324" s="37" t="n">
        <x:f>'Family Register'!G33*'Family Register'!I33*G324</x:f>
        <x:v>1.8199999999999998</x:v>
      </x:c>
      <x:c r="I324" s="37" t="n">
        <x:f>J323</x:f>
        <x:v>1.8199999999999998</x:v>
      </x:c>
      <x:c r="J324" s="37" t="n">
        <x:f>MIN(F324,H324,I324)</x:f>
        <x:v>1.8199999999999998</x:v>
      </x:c>
      <x:c r="K324" s="22" t="n">
        <x:v>0</x:v>
      </x:c>
      <x:c r="L324" s="22" t="n">
        <x:v>0</x:v>
      </x:c>
      <x:c r="M324" s="37" t="n">
        <x:f>K324*L324</x:f>
        <x:v>0</x:v>
      </x:c>
      <x:c r="N324" s="22" t="n">
        <x:v>0</x:v>
      </x:c>
      <x:c r="O324" s="37" t="n">
        <x:f>'Family Register'!H33*0.55</x:f>
        <x:v>792.0000000000001</x:v>
      </x:c>
      <x:c r="P324" s="37" t="n">
        <x:f>IF(AND(N324&gt;0,N324&lt;=O324),1,0)</x:f>
        <x:v>0</x:v>
      </x:c>
      <x:c r="Q324" s="22" t="n">
        <x:v>0</x:v>
      </x:c>
      <x:c r="R324" s="37" t="n">
        <x:f>IF(AND(P324=1,Q324=1),MIN(F324,M324,R323),0)</x:f>
        <x:v>0</x:v>
      </x:c>
      <x:c r="S324" s="23" t="str">
        <x:f>IF(R324&gt;=F324,"ADMITTED","NOT ADMITTED")</x:f>
        <x:v>NOT ADMITTED</x:v>
      </x:c>
    </x:row>
    <x:row r="325">
      <x:c r="B325" s="21" t="str">
        <x:v>SL-0319</x:v>
      </x:c>
      <x:c r="C325" s="21" t="str">
        <x:v>F27</x:v>
      </x:c>
      <x:c r="D325" s="21" t="n">
        <x:v>7</x:v>
      </x:c>
      <x:c r="E325" s="21" t="str">
        <x:v>Independent acceptance</x:v>
      </x:c>
      <x:c r="F325" s="37" t="n">
        <x:f>'Family Register'!L33</x:f>
        <x:v>2</x:v>
      </x:c>
      <x:c r="G325" s="37" t="n">
        <x:f>INDEX(Scenarios!$L$7:$L$12,Assumptions!C7)</x:f>
        <x:v>0.8</x:v>
      </x:c>
      <x:c r="H325" s="37" t="n">
        <x:f>'Family Register'!G33*'Family Register'!I33*G325</x:f>
        <x:v>2.08</x:v>
      </x:c>
      <x:c r="I325" s="37" t="n">
        <x:f>J324</x:f>
        <x:v>1.8199999999999998</x:v>
      </x:c>
      <x:c r="J325" s="37" t="n">
        <x:f>MIN(F325,H325,I325)</x:f>
        <x:v>1.8199999999999998</x:v>
      </x:c>
      <x:c r="K325" s="22" t="n">
        <x:v>0</x:v>
      </x:c>
      <x:c r="L325" s="22" t="n">
        <x:v>0</x:v>
      </x:c>
      <x:c r="M325" s="37" t="n">
        <x:f>K325*L325</x:f>
        <x:v>0</x:v>
      </x:c>
      <x:c r="N325" s="22" t="n">
        <x:v>0</x:v>
      </x:c>
      <x:c r="O325" s="37" t="n">
        <x:f>'Family Register'!H33*0.65</x:f>
        <x:v>936</x:v>
      </x:c>
      <x:c r="P325" s="37" t="n">
        <x:f>IF(AND(N325&gt;0,N325&lt;=O325),1,0)</x:f>
        <x:v>0</x:v>
      </x:c>
      <x:c r="Q325" s="22" t="n">
        <x:v>0</x:v>
      </x:c>
      <x:c r="R325" s="37" t="n">
        <x:f>IF(AND(P325=1,Q325=1),MIN(F325,M325,R324),0)</x:f>
        <x:v>0</x:v>
      </x:c>
      <x:c r="S325" s="23" t="str">
        <x:f>IF(R325&gt;=F325,"ADMITTED","NOT ADMITTED")</x:f>
        <x:v>NOT ADMITTED</x:v>
      </x:c>
    </x:row>
    <x:row r="326">
      <x:c r="B326" s="21" t="str">
        <x:v>SL-0320</x:v>
      </x:c>
      <x:c r="C326" s="21" t="str">
        <x:v>F27</x:v>
      </x:c>
      <x:c r="D326" s="21" t="n">
        <x:v>8</x:v>
      </x:c>
      <x:c r="E326" s="21" t="str">
        <x:v>Loadout and custody transfer</x:v>
      </x:c>
      <x:c r="F326" s="37" t="n">
        <x:f>'Family Register'!L33</x:f>
        <x:v>2</x:v>
      </x:c>
      <x:c r="G326" s="37" t="n">
        <x:f>INDEX(Scenarios!$H$7:$H$12,Assumptions!C7)</x:f>
        <x:v>0.65</x:v>
      </x:c>
      <x:c r="H326" s="37" t="n">
        <x:f>'Family Register'!G33*'Family Register'!I33*G326</x:f>
        <x:v>1.6900000000000002</x:v>
      </x:c>
      <x:c r="I326" s="37" t="n">
        <x:f>J325</x:f>
        <x:v>1.8199999999999998</x:v>
      </x:c>
      <x:c r="J326" s="37" t="n">
        <x:f>MIN(F326,H326,I326)</x:f>
        <x:v>1.6900000000000002</x:v>
      </x:c>
      <x:c r="K326" s="22" t="n">
        <x:v>0</x:v>
      </x:c>
      <x:c r="L326" s="22" t="n">
        <x:v>0</x:v>
      </x:c>
      <x:c r="M326" s="37" t="n">
        <x:f>K326*L326</x:f>
        <x:v>0</x:v>
      </x:c>
      <x:c r="N326" s="22" t="n">
        <x:v>0</x:v>
      </x:c>
      <x:c r="O326" s="37" t="n">
        <x:f>'Family Register'!H33*0.7</x:f>
        <x:v>1007.9999999999999</x:v>
      </x:c>
      <x:c r="P326" s="37" t="n">
        <x:f>IF(AND(N326&gt;0,N326&lt;=O326),1,0)</x:f>
        <x:v>0</x:v>
      </x:c>
      <x:c r="Q326" s="22" t="n">
        <x:v>0</x:v>
      </x:c>
      <x:c r="R326" s="37" t="n">
        <x:f>IF(AND(P326=1,Q326=1),MIN(F326,M326,R325),0)</x:f>
        <x:v>0</x:v>
      </x:c>
      <x:c r="S326" s="23" t="str">
        <x:f>IF(R326&gt;=F326,"ADMITTED","NOT ADMITTED")</x:f>
        <x:v>NOT ADMITTED</x:v>
      </x:c>
    </x:row>
    <x:row r="327">
      <x:c r="B327" s="21" t="str">
        <x:v>SL-0321</x:v>
      </x:c>
      <x:c r="C327" s="21" t="str">
        <x:v>F27</x:v>
      </x:c>
      <x:c r="D327" s="21" t="n">
        <x:v>9</x:v>
      </x:c>
      <x:c r="E327" s="21" t="str">
        <x:v>Strategic transport</x:v>
      </x:c>
      <x:c r="F327" s="37" t="n">
        <x:f>'Family Register'!L33</x:f>
        <x:v>2</x:v>
      </x:c>
      <x:c r="G327" s="37" t="n">
        <x:f>INDEX(Scenarios!$H$7:$H$12,Assumptions!C7)</x:f>
        <x:v>0.65</x:v>
      </x:c>
      <x:c r="H327" s="37" t="n">
        <x:f>'Family Register'!G33*'Family Register'!I33*G327</x:f>
        <x:v>1.6900000000000002</x:v>
      </x:c>
      <x:c r="I327" s="37" t="n">
        <x:f>J326</x:f>
        <x:v>1.6900000000000002</x:v>
      </x:c>
      <x:c r="J327" s="37" t="n">
        <x:f>MIN(F327,H327,I327)</x:f>
        <x:v>1.6900000000000002</x:v>
      </x:c>
      <x:c r="K327" s="22" t="n">
        <x:v>0</x:v>
      </x:c>
      <x:c r="L327" s="22" t="n">
        <x:v>0</x:v>
      </x:c>
      <x:c r="M327" s="37" t="n">
        <x:f>K327*L327</x:f>
        <x:v>0</x:v>
      </x:c>
      <x:c r="N327" s="22" t="n">
        <x:v>0</x:v>
      </x:c>
      <x:c r="O327" s="37" t="n">
        <x:f>'Family Register'!H33*0.9</x:f>
        <x:v>1296</x:v>
      </x:c>
      <x:c r="P327" s="37" t="n">
        <x:f>IF(AND(N327&gt;0,N327&lt;=O327),1,0)</x:f>
        <x:v>0</x:v>
      </x:c>
      <x:c r="Q327" s="22" t="n">
        <x:v>0</x:v>
      </x:c>
      <x:c r="R327" s="37" t="n">
        <x:f>IF(AND(P327=1,Q327=1),MIN(F327,M327,R326),0)</x:f>
        <x:v>0</x:v>
      </x:c>
      <x:c r="S327" s="23" t="str">
        <x:f>IF(R327&gt;=F327,"ADMITTED","NOT ADMITTED")</x:f>
        <x:v>NOT ADMITTED</x:v>
      </x:c>
    </x:row>
    <x:row r="328">
      <x:c r="B328" s="21" t="str">
        <x:v>SL-0322</x:v>
      </x:c>
      <x:c r="C328" s="21" t="str">
        <x:v>F27</x:v>
      </x:c>
      <x:c r="D328" s="21" t="n">
        <x:v>10</x:v>
      </x:c>
      <x:c r="E328" s="21" t="str">
        <x:v>Receiving-node admission</x:v>
      </x:c>
      <x:c r="F328" s="37" t="n">
        <x:f>'Family Register'!L33</x:f>
        <x:v>2</x:v>
      </x:c>
      <x:c r="G328" s="37" t="n">
        <x:f>INDEX(Scenarios!$I$7:$I$12,Assumptions!C7)</x:f>
        <x:v>0.75</x:v>
      </x:c>
      <x:c r="H328" s="37" t="n">
        <x:f>'Family Register'!G33*'Family Register'!I33*G328</x:f>
        <x:v>1.9500000000000002</x:v>
      </x:c>
      <x:c r="I328" s="37" t="n">
        <x:f>J327</x:f>
        <x:v>1.6900000000000002</x:v>
      </x:c>
      <x:c r="J328" s="37" t="n">
        <x:f>MIN(F328,H328,I328)</x:f>
        <x:v>1.6900000000000002</x:v>
      </x:c>
      <x:c r="K328" s="22" t="n">
        <x:v>0</x:v>
      </x:c>
      <x:c r="L328" s="22" t="n">
        <x:v>0</x:v>
      </x:c>
      <x:c r="M328" s="37" t="n">
        <x:f>K328*L328</x:f>
        <x:v>0</x:v>
      </x:c>
      <x:c r="N328" s="22" t="n">
        <x:v>0</x:v>
      </x:c>
      <x:c r="O328" s="37" t="n">
        <x:f>'Family Register'!H33*0.94</x:f>
        <x:v>1353.6</x:v>
      </x:c>
      <x:c r="P328" s="37" t="n">
        <x:f>IF(AND(N328&gt;0,N328&lt;=O328),1,0)</x:f>
        <x:v>0</x:v>
      </x:c>
      <x:c r="Q328" s="22" t="n">
        <x:v>0</x:v>
      </x:c>
      <x:c r="R328" s="37" t="n">
        <x:f>IF(AND(P328=1,Q328=1),MIN(F328,M328,R327),0)</x:f>
        <x:v>0</x:v>
      </x:c>
      <x:c r="S328" s="23" t="str">
        <x:f>IF(R328&gt;=F328,"ADMITTED","NOT ADMITTED")</x:f>
        <x:v>NOT ADMITTED</x:v>
      </x:c>
    </x:row>
    <x:row r="329">
      <x:c r="B329" s="21" t="str">
        <x:v>SL-0323</x:v>
      </x:c>
      <x:c r="C329" s="21" t="str">
        <x:v>F27</x:v>
      </x:c>
      <x:c r="D329" s="21" t="n">
        <x:v>11</x:v>
      </x:c>
      <x:c r="E329" s="21" t="str">
        <x:v>Commissioned public service</x:v>
      </x:c>
      <x:c r="F329" s="37" t="n">
        <x:f>'Family Register'!L33</x:f>
        <x:v>2</x:v>
      </x:c>
      <x:c r="G329" s="37" t="n">
        <x:f>MIN(INDEX(Scenarios!$G$7:$G$12,Assumptions!C7),INDEX(Scenarios!$I$7:$I$12,Assumptions!C7))</x:f>
        <x:v>0.7</x:v>
      </x:c>
      <x:c r="H329" s="37" t="n">
        <x:f>'Family Register'!G33*'Family Register'!I33*G329</x:f>
        <x:v>1.8199999999999998</x:v>
      </x:c>
      <x:c r="I329" s="37" t="n">
        <x:f>J328</x:f>
        <x:v>1.6900000000000002</x:v>
      </x:c>
      <x:c r="J329" s="37" t="n">
        <x:f>MIN(F329,H329,I329)</x:f>
        <x:v>1.6900000000000002</x:v>
      </x:c>
      <x:c r="K329" s="22" t="n">
        <x:v>0</x:v>
      </x:c>
      <x:c r="L329" s="22" t="n">
        <x:v>0</x:v>
      </x:c>
      <x:c r="M329" s="37" t="n">
        <x:f>K329*L329</x:f>
        <x:v>0</x:v>
      </x:c>
      <x:c r="N329" s="22" t="n">
        <x:v>0</x:v>
      </x:c>
      <x:c r="O329" s="37" t="n">
        <x:f>'Family Register'!H33*1</x:f>
        <x:v>1440</x:v>
      </x:c>
      <x:c r="P329" s="37" t="n">
        <x:f>IF(AND(N329&gt;0,N329&lt;=O329),1,0)</x:f>
        <x:v>0</x:v>
      </x:c>
      <x:c r="Q329" s="22" t="n">
        <x:v>0</x:v>
      </x:c>
      <x:c r="R329" s="37" t="n">
        <x:f>IF(AND(P329=1,Q329=1),MIN(F329,M329,R328),0)</x:f>
        <x:v>0</x:v>
      </x:c>
      <x:c r="S329" s="23" t="str">
        <x:f>IF(R329&gt;=F329,"ADMITTED","NOT ADMITTED")</x:f>
        <x:v>NOT ADMITTED</x:v>
      </x:c>
    </x:row>
    <x:row r="330">
      <x:c r="B330" s="21" t="str">
        <x:v>SL-0324</x:v>
      </x:c>
      <x:c r="C330" s="21" t="str">
        <x:v>F27</x:v>
      </x:c>
      <x:c r="D330" s="21" t="n">
        <x:v>12</x:v>
      </x:c>
      <x:c r="E330" s="21" t="str">
        <x:v>Regeneration and replacement</x:v>
      </x:c>
      <x:c r="F330" s="37" t="n">
        <x:f>'Family Register'!L33</x:f>
        <x:v>2</x:v>
      </x:c>
      <x:c r="G330" s="37" t="n">
        <x:f>MIN(INDEX(Scenarios!$E$7:$E$12,Assumptions!C7),INDEX(Scenarios!$F$7:$F$12,Assumptions!C7))</x:f>
        <x:v>0.7</x:v>
      </x:c>
      <x:c r="H330" s="37" t="n">
        <x:f>'Family Register'!G33*'Family Register'!I33*G330</x:f>
        <x:v>1.8199999999999998</x:v>
      </x:c>
      <x:c r="I330" s="37" t="n">
        <x:f>J329</x:f>
        <x:v>1.6900000000000002</x:v>
      </x:c>
      <x:c r="J330" s="37" t="n">
        <x:f>MIN(F330,H330,I330)</x:f>
        <x:v>1.6900000000000002</x:v>
      </x:c>
      <x:c r="K330" s="22" t="n">
        <x:v>0</x:v>
      </x:c>
      <x:c r="L330" s="22" t="n">
        <x:v>0</x:v>
      </x:c>
      <x:c r="M330" s="37" t="n">
        <x:f>K330*L330</x:f>
        <x:v>0</x:v>
      </x:c>
      <x:c r="N330" s="22" t="n">
        <x:v>0</x:v>
      </x:c>
      <x:c r="O330" s="37" t="n">
        <x:f>'Family Register'!H33+168</x:f>
        <x:v>1608</x:v>
      </x:c>
      <x:c r="P330" s="37" t="n">
        <x:f>IF(AND(N330&gt;0,N330&lt;=O330),1,0)</x:f>
        <x:v>0</x:v>
      </x:c>
      <x:c r="Q330" s="22" t="n">
        <x:v>0</x:v>
      </x:c>
      <x:c r="R330" s="37" t="n">
        <x:f>IF(AND(P330=1,Q330=1),MIN(F330,M330,R329),0)</x:f>
        <x:v>0</x:v>
      </x:c>
      <x:c r="S330" s="23" t="str">
        <x:f>IF(R330&gt;=F330,"ADMITTED","NOT ADMITTED")</x:f>
        <x:v>NOT ADMITTED</x:v>
      </x:c>
    </x:row>
    <x:row r="331">
      <x:c r="B331" s="21" t="str">
        <x:v>SL-0325</x:v>
      </x:c>
      <x:c r="C331" s="21" t="str">
        <x:v>F28</x:v>
      </x:c>
      <x:c r="D331" s="21" t="n">
        <x:v>1</x:v>
      </x:c>
      <x:c r="E331" s="21" t="str">
        <x:v>Alert authentication</x:v>
      </x:c>
      <x:c r="F331" s="37" t="n">
        <x:f>'Family Register'!L34</x:f>
        <x:v>12</x:v>
      </x:c>
      <x:c r="G331" s="37" t="n">
        <x:f>INDEX(Scenarios!$K$7:$K$12,Assumptions!C7)</x:f>
        <x:v>0.75</x:v>
      </x:c>
      <x:c r="H331" s="37" t="n">
        <x:f>'Family Register'!G34*'Family Register'!I34*G331</x:f>
        <x:v>14.400000000000002</x:v>
      </x:c>
      <x:c r="I331" s="37" t="n">
        <x:f>F331</x:f>
        <x:v>12</x:v>
      </x:c>
      <x:c r="J331" s="37" t="n">
        <x:f>MIN(F331,H331,I331)</x:f>
        <x:v>12</x:v>
      </x:c>
      <x:c r="K331" s="22" t="n">
        <x:v>0</x:v>
      </x:c>
      <x:c r="L331" s="22" t="n">
        <x:v>0</x:v>
      </x:c>
      <x:c r="M331" s="37" t="n">
        <x:f>K331*L331</x:f>
        <x:v>0</x:v>
      </x:c>
      <x:c r="N331" s="22" t="n">
        <x:v>0</x:v>
      </x:c>
      <x:c r="O331" s="37" t="n">
        <x:f>2</x:f>
        <x:v>2</x:v>
      </x:c>
      <x:c r="P331" s="37" t="n">
        <x:f>IF(AND(N331&gt;0,N331&lt;=O331),1,0)</x:f>
        <x:v>0</x:v>
      </x:c>
      <x:c r="Q331" s="22" t="n">
        <x:v>0</x:v>
      </x:c>
      <x:c r="R331" s="37" t="n">
        <x:f>IF(AND(P331=1,Q331=1),MIN(F331,M331),0)</x:f>
        <x:v>0</x:v>
      </x:c>
      <x:c r="S331" s="23" t="str">
        <x:f>IF(R331&gt;=F331,"ADMITTED","NOT ADMITTED")</x:f>
        <x:v>NOT ADMITTED</x:v>
      </x:c>
    </x:row>
    <x:row r="332">
      <x:c r="B332" s="21" t="str">
        <x:v>SL-0326</x:v>
      </x:c>
      <x:c r="C332" s="21" t="str">
        <x:v>F28</x:v>
      </x:c>
      <x:c r="D332" s="21" t="n">
        <x:v>2</x:v>
      </x:c>
      <x:c r="E332" s="21" t="str">
        <x:v>Workforce muster</x:v>
      </x:c>
      <x:c r="F332" s="37" t="n">
        <x:f>'Family Register'!L34</x:f>
        <x:v>12</x:v>
      </x:c>
      <x:c r="G332" s="37" t="n">
        <x:f>INDEX(Scenarios!$J$7:$J$12,Assumptions!C7)</x:f>
        <x:v>0.8</x:v>
      </x:c>
      <x:c r="H332" s="37" t="n">
        <x:f>'Family Register'!G34*'Family Register'!I34*G332</x:f>
        <x:v>15.360000000000003</x:v>
      </x:c>
      <x:c r="I332" s="37" t="n">
        <x:f>J331</x:f>
        <x:v>12</x:v>
      </x:c>
      <x:c r="J332" s="37" t="n">
        <x:f>MIN(F332,H332,I332)</x:f>
        <x:v>12</x:v>
      </x:c>
      <x:c r="K332" s="22" t="n">
        <x:v>0</x:v>
      </x:c>
      <x:c r="L332" s="22" t="n">
        <x:v>0</x:v>
      </x:c>
      <x:c r="M332" s="37" t="n">
        <x:f>K332*L332</x:f>
        <x:v>0</x:v>
      </x:c>
      <x:c r="N332" s="22" t="n">
        <x:v>0</x:v>
      </x:c>
      <x:c r="O332" s="37" t="n">
        <x:f>12</x:f>
        <x:v>12</x:v>
      </x:c>
      <x:c r="P332" s="37" t="n">
        <x:f>IF(AND(N332&gt;0,N332&lt;=O332),1,0)</x:f>
        <x:v>0</x:v>
      </x:c>
      <x:c r="Q332" s="22" t="n">
        <x:v>0</x:v>
      </x:c>
      <x:c r="R332" s="37" t="n">
        <x:f>IF(AND(P332=1,Q332=1),MIN(F332,M332,R331),0)</x:f>
        <x:v>0</x:v>
      </x:c>
      <x:c r="S332" s="23" t="str">
        <x:f>IF(R332&gt;=F332,"ADMITTED","NOT ADMITTED")</x:f>
        <x:v>NOT ADMITTED</x:v>
      </x:c>
    </x:row>
    <x:row r="333">
      <x:c r="B333" s="21" t="str">
        <x:v>SL-0327</x:v>
      </x:c>
      <x:c r="C333" s="21" t="str">
        <x:v>F28</x:v>
      </x:c>
      <x:c r="D333" s="21" t="n">
        <x:v>3</x:v>
      </x:c>
      <x:c r="E333" s="21" t="str">
        <x:v>Facility utility and safe start</x:v>
      </x:c>
      <x:c r="F333" s="37" t="n">
        <x:f>'Family Register'!L34</x:f>
        <x:v>12</x:v>
      </x:c>
      <x:c r="G333" s="37" t="n">
        <x:f>INDEX(Scenarios!$G$7:$G$12,Assumptions!C7)</x:f>
        <x:v>0.7</x:v>
      </x:c>
      <x:c r="H333" s="37" t="n">
        <x:f>'Family Register'!G34*'Family Register'!I34*G333</x:f>
        <x:v>13.440000000000001</x:v>
      </x:c>
      <x:c r="I333" s="37" t="n">
        <x:f>J332</x:f>
        <x:v>12</x:v>
      </x:c>
      <x:c r="J333" s="37" t="n">
        <x:f>MIN(F333,H333,I333)</x:f>
        <x:v>12</x:v>
      </x:c>
      <x:c r="K333" s="22" t="n">
        <x:v>0</x:v>
      </x:c>
      <x:c r="L333" s="22" t="n">
        <x:v>0</x:v>
      </x:c>
      <x:c r="M333" s="37" t="n">
        <x:f>K333*L333</x:f>
        <x:v>0</x:v>
      </x:c>
      <x:c r="N333" s="22" t="n">
        <x:v>0</x:v>
      </x:c>
      <x:c r="O333" s="37" t="n">
        <x:f>24</x:f>
        <x:v>24</x:v>
      </x:c>
      <x:c r="P333" s="37" t="n">
        <x:f>IF(AND(N333&gt;0,N333&lt;=O333),1,0)</x:f>
        <x:v>0</x:v>
      </x:c>
      <x:c r="Q333" s="22" t="n">
        <x:v>0</x:v>
      </x:c>
      <x:c r="R333" s="37" t="n">
        <x:f>IF(AND(P333=1,Q333=1),MIN(F333,M333,R332),0)</x:f>
        <x:v>0</x:v>
      </x:c>
      <x:c r="S333" s="23" t="str">
        <x:f>IF(R333&gt;=F333,"ADMITTED","NOT ADMITTED")</x:f>
        <x:v>NOT ADMITTED</x:v>
      </x:c>
    </x:row>
    <x:row r="334">
      <x:c r="B334" s="21" t="str">
        <x:v>SL-0328</x:v>
      </x:c>
      <x:c r="C334" s="21" t="str">
        <x:v>F28</x:v>
      </x:c>
      <x:c r="D334" s="21" t="n">
        <x:v>4</x:v>
      </x:c>
      <x:c r="E334" s="21" t="str">
        <x:v>Material tooling and instrument release</x:v>
      </x:c>
      <x:c r="F334" s="37" t="n">
        <x:f>'Family Register'!L34</x:f>
        <x:v>12</x:v>
      </x:c>
      <x:c r="G334" s="37" t="n">
        <x:f>INDEX(Scenarios!$E$7:$E$12,Assumptions!C7)</x:f>
        <x:v>0.75</x:v>
      </x:c>
      <x:c r="H334" s="37" t="n">
        <x:f>'Family Register'!G34*'Family Register'!I34*G334</x:f>
        <x:v>14.400000000000002</x:v>
      </x:c>
      <x:c r="I334" s="37" t="n">
        <x:f>J333</x:f>
        <x:v>12</x:v>
      </x:c>
      <x:c r="J334" s="37" t="n">
        <x:f>MIN(F334,H334,I334)</x:f>
        <x:v>12</x:v>
      </x:c>
      <x:c r="K334" s="22" t="n">
        <x:v>0</x:v>
      </x:c>
      <x:c r="L334" s="22" t="n">
        <x:v>0</x:v>
      </x:c>
      <x:c r="M334" s="37" t="n">
        <x:f>K334*L334</x:f>
        <x:v>0</x:v>
      </x:c>
      <x:c r="N334" s="22" t="n">
        <x:v>0</x:v>
      </x:c>
      <x:c r="O334" s="37" t="n">
        <x:f>36</x:f>
        <x:v>36</x:v>
      </x:c>
      <x:c r="P334" s="37" t="n">
        <x:f>IF(AND(N334&gt;0,N334&lt;=O334),1,0)</x:f>
        <x:v>0</x:v>
      </x:c>
      <x:c r="Q334" s="22" t="n">
        <x:v>0</x:v>
      </x:c>
      <x:c r="R334" s="37" t="n">
        <x:f>IF(AND(P334=1,Q334=1),MIN(F334,M334,R333),0)</x:f>
        <x:v>0</x:v>
      </x:c>
      <x:c r="S334" s="23" t="str">
        <x:f>IF(R334&gt;=F334,"ADMITTED","NOT ADMITTED")</x:f>
        <x:v>NOT ADMITTED</x:v>
      </x:c>
    </x:row>
    <x:row r="335">
      <x:c r="B335" s="21" t="str">
        <x:v>SL-0329</x:v>
      </x:c>
      <x:c r="C335" s="21" t="str">
        <x:v>F28</x:v>
      </x:c>
      <x:c r="D335" s="21" t="n">
        <x:v>5</x:v>
      </x:c>
      <x:c r="E335" s="21" t="str">
        <x:v>Supplier and process activation</x:v>
      </x:c>
      <x:c r="F335" s="37" t="n">
        <x:f>'Family Register'!L34</x:f>
        <x:v>12</x:v>
      </x:c>
      <x:c r="G335" s="37" t="n">
        <x:f>MIN(INDEX(Scenarios!$E$7:$E$12,Assumptions!C7),INDEX(Scenarios!$F$7:$F$12,Assumptions!C7))</x:f>
        <x:v>0.7</x:v>
      </x:c>
      <x:c r="H335" s="37" t="n">
        <x:f>'Family Register'!G34*'Family Register'!I34*G335</x:f>
        <x:v>13.440000000000001</x:v>
      </x:c>
      <x:c r="I335" s="37" t="n">
        <x:f>J334</x:f>
        <x:v>12</x:v>
      </x:c>
      <x:c r="J335" s="37" t="n">
        <x:f>MIN(F335,H335,I335)</x:f>
        <x:v>12</x:v>
      </x:c>
      <x:c r="K335" s="22" t="n">
        <x:v>0</x:v>
      </x:c>
      <x:c r="L335" s="22" t="n">
        <x:v>0</x:v>
      </x:c>
      <x:c r="M335" s="37" t="n">
        <x:f>K335*L335</x:f>
        <x:v>0</x:v>
      </x:c>
      <x:c r="N335" s="22" t="n">
        <x:v>0</x:v>
      </x:c>
      <x:c r="O335" s="37" t="n">
        <x:f>48</x:f>
        <x:v>48</x:v>
      </x:c>
      <x:c r="P335" s="37" t="n">
        <x:f>IF(AND(N335&gt;0,N335&lt;=O335),1,0)</x:f>
        <x:v>0</x:v>
      </x:c>
      <x:c r="Q335" s="22" t="n">
        <x:v>0</x:v>
      </x:c>
      <x:c r="R335" s="37" t="n">
        <x:f>IF(AND(P335=1,Q335=1),MIN(F335,M335,R334),0)</x:f>
        <x:v>0</x:v>
      </x:c>
      <x:c r="S335" s="23" t="str">
        <x:f>IF(R335&gt;=F335,"ADMITTED","NOT ADMITTED")</x:f>
        <x:v>NOT ADMITTED</x:v>
      </x:c>
    </x:row>
    <x:row r="336">
      <x:c r="B336" s="21" t="str">
        <x:v>SL-0330</x:v>
      </x:c>
      <x:c r="C336" s="21" t="str">
        <x:v>F28</x:v>
      </x:c>
      <x:c r="D336" s="21" t="n">
        <x:v>6</x:v>
      </x:c>
      <x:c r="E336" s="21" t="str">
        <x:v>Conforming production</x:v>
      </x:c>
      <x:c r="F336" s="37" t="n">
        <x:f>'Family Register'!L34</x:f>
        <x:v>12</x:v>
      </x:c>
      <x:c r="G336" s="37" t="n">
        <x:f>INDEX(Scenarios!$F$7:$F$12,Assumptions!C7)</x:f>
        <x:v>0.7</x:v>
      </x:c>
      <x:c r="H336" s="37" t="n">
        <x:f>'Family Register'!G34*'Family Register'!I34*G336</x:f>
        <x:v>13.440000000000001</x:v>
      </x:c>
      <x:c r="I336" s="37" t="n">
        <x:f>J335</x:f>
        <x:v>12</x:v>
      </x:c>
      <x:c r="J336" s="37" t="n">
        <x:f>MIN(F336,H336,I336)</x:f>
        <x:v>12</x:v>
      </x:c>
      <x:c r="K336" s="22" t="n">
        <x:v>0</x:v>
      </x:c>
      <x:c r="L336" s="22" t="n">
        <x:v>0</x:v>
      </x:c>
      <x:c r="M336" s="37" t="n">
        <x:f>K336*L336</x:f>
        <x:v>0</x:v>
      </x:c>
      <x:c r="N336" s="22" t="n">
        <x:v>0</x:v>
      </x:c>
      <x:c r="O336" s="37" t="n">
        <x:f>'Family Register'!H34*0.55</x:f>
        <x:v>184.8</x:v>
      </x:c>
      <x:c r="P336" s="37" t="n">
        <x:f>IF(AND(N336&gt;0,N336&lt;=O336),1,0)</x:f>
        <x:v>0</x:v>
      </x:c>
      <x:c r="Q336" s="22" t="n">
        <x:v>0</x:v>
      </x:c>
      <x:c r="R336" s="37" t="n">
        <x:f>IF(AND(P336=1,Q336=1),MIN(F336,M336,R335),0)</x:f>
        <x:v>0</x:v>
      </x:c>
      <x:c r="S336" s="23" t="str">
        <x:f>IF(R336&gt;=F336,"ADMITTED","NOT ADMITTED")</x:f>
        <x:v>NOT ADMITTED</x:v>
      </x:c>
    </x:row>
    <x:row r="337">
      <x:c r="B337" s="21" t="str">
        <x:v>SL-0331</x:v>
      </x:c>
      <x:c r="C337" s="21" t="str">
        <x:v>F28</x:v>
      </x:c>
      <x:c r="D337" s="21" t="n">
        <x:v>7</x:v>
      </x:c>
      <x:c r="E337" s="21" t="str">
        <x:v>Independent acceptance</x:v>
      </x:c>
      <x:c r="F337" s="37" t="n">
        <x:f>'Family Register'!L34</x:f>
        <x:v>12</x:v>
      </x:c>
      <x:c r="G337" s="37" t="n">
        <x:f>INDEX(Scenarios!$L$7:$L$12,Assumptions!C7)</x:f>
        <x:v>0.8</x:v>
      </x:c>
      <x:c r="H337" s="37" t="n">
        <x:f>'Family Register'!G34*'Family Register'!I34*G337</x:f>
        <x:v>15.360000000000003</x:v>
      </x:c>
      <x:c r="I337" s="37" t="n">
        <x:f>J336</x:f>
        <x:v>12</x:v>
      </x:c>
      <x:c r="J337" s="37" t="n">
        <x:f>MIN(F337,H337,I337)</x:f>
        <x:v>12</x:v>
      </x:c>
      <x:c r="K337" s="22" t="n">
        <x:v>0</x:v>
      </x:c>
      <x:c r="L337" s="22" t="n">
        <x:v>0</x:v>
      </x:c>
      <x:c r="M337" s="37" t="n">
        <x:f>K337*L337</x:f>
        <x:v>0</x:v>
      </x:c>
      <x:c r="N337" s="22" t="n">
        <x:v>0</x:v>
      </x:c>
      <x:c r="O337" s="37" t="n">
        <x:f>'Family Register'!H34*0.65</x:f>
        <x:v>218.4</x:v>
      </x:c>
      <x:c r="P337" s="37" t="n">
        <x:f>IF(AND(N337&gt;0,N337&lt;=O337),1,0)</x:f>
        <x:v>0</x:v>
      </x:c>
      <x:c r="Q337" s="22" t="n">
        <x:v>0</x:v>
      </x:c>
      <x:c r="R337" s="37" t="n">
        <x:f>IF(AND(P337=1,Q337=1),MIN(F337,M337,R336),0)</x:f>
        <x:v>0</x:v>
      </x:c>
      <x:c r="S337" s="23" t="str">
        <x:f>IF(R337&gt;=F337,"ADMITTED","NOT ADMITTED")</x:f>
        <x:v>NOT ADMITTED</x:v>
      </x:c>
    </x:row>
    <x:row r="338">
      <x:c r="B338" s="21" t="str">
        <x:v>SL-0332</x:v>
      </x:c>
      <x:c r="C338" s="21" t="str">
        <x:v>F28</x:v>
      </x:c>
      <x:c r="D338" s="21" t="n">
        <x:v>8</x:v>
      </x:c>
      <x:c r="E338" s="21" t="str">
        <x:v>Loadout and custody transfer</x:v>
      </x:c>
      <x:c r="F338" s="37" t="n">
        <x:f>'Family Register'!L34</x:f>
        <x:v>12</x:v>
      </x:c>
      <x:c r="G338" s="37" t="n">
        <x:f>INDEX(Scenarios!$H$7:$H$12,Assumptions!C7)</x:f>
        <x:v>0.65</x:v>
      </x:c>
      <x:c r="H338" s="37" t="n">
        <x:f>'Family Register'!G34*'Family Register'!I34*G338</x:f>
        <x:v>12.480000000000002</x:v>
      </x:c>
      <x:c r="I338" s="37" t="n">
        <x:f>J337</x:f>
        <x:v>12</x:v>
      </x:c>
      <x:c r="J338" s="37" t="n">
        <x:f>MIN(F338,H338,I338)</x:f>
        <x:v>12</x:v>
      </x:c>
      <x:c r="K338" s="22" t="n">
        <x:v>0</x:v>
      </x:c>
      <x:c r="L338" s="22" t="n">
        <x:v>0</x:v>
      </x:c>
      <x:c r="M338" s="37" t="n">
        <x:f>K338*L338</x:f>
        <x:v>0</x:v>
      </x:c>
      <x:c r="N338" s="22" t="n">
        <x:v>0</x:v>
      </x:c>
      <x:c r="O338" s="37" t="n">
        <x:f>'Family Register'!H34*0.7</x:f>
        <x:v>235.2</x:v>
      </x:c>
      <x:c r="P338" s="37" t="n">
        <x:f>IF(AND(N338&gt;0,N338&lt;=O338),1,0)</x:f>
        <x:v>0</x:v>
      </x:c>
      <x:c r="Q338" s="22" t="n">
        <x:v>0</x:v>
      </x:c>
      <x:c r="R338" s="37" t="n">
        <x:f>IF(AND(P338=1,Q338=1),MIN(F338,M338,R337),0)</x:f>
        <x:v>0</x:v>
      </x:c>
      <x:c r="S338" s="23" t="str">
        <x:f>IF(R338&gt;=F338,"ADMITTED","NOT ADMITTED")</x:f>
        <x:v>NOT ADMITTED</x:v>
      </x:c>
    </x:row>
    <x:row r="339">
      <x:c r="B339" s="21" t="str">
        <x:v>SL-0333</x:v>
      </x:c>
      <x:c r="C339" s="21" t="str">
        <x:v>F28</x:v>
      </x:c>
      <x:c r="D339" s="21" t="n">
        <x:v>9</x:v>
      </x:c>
      <x:c r="E339" s="21" t="str">
        <x:v>Strategic transport</x:v>
      </x:c>
      <x:c r="F339" s="37" t="n">
        <x:f>'Family Register'!L34</x:f>
        <x:v>12</x:v>
      </x:c>
      <x:c r="G339" s="37" t="n">
        <x:f>INDEX(Scenarios!$H$7:$H$12,Assumptions!C7)</x:f>
        <x:v>0.65</x:v>
      </x:c>
      <x:c r="H339" s="37" t="n">
        <x:f>'Family Register'!G34*'Family Register'!I34*G339</x:f>
        <x:v>12.480000000000002</x:v>
      </x:c>
      <x:c r="I339" s="37" t="n">
        <x:f>J338</x:f>
        <x:v>12</x:v>
      </x:c>
      <x:c r="J339" s="37" t="n">
        <x:f>MIN(F339,H339,I339)</x:f>
        <x:v>12</x:v>
      </x:c>
      <x:c r="K339" s="22" t="n">
        <x:v>0</x:v>
      </x:c>
      <x:c r="L339" s="22" t="n">
        <x:v>0</x:v>
      </x:c>
      <x:c r="M339" s="37" t="n">
        <x:f>K339*L339</x:f>
        <x:v>0</x:v>
      </x:c>
      <x:c r="N339" s="22" t="n">
        <x:v>0</x:v>
      </x:c>
      <x:c r="O339" s="37" t="n">
        <x:f>'Family Register'!H34*0.9</x:f>
        <x:v>302.40000000000003</x:v>
      </x:c>
      <x:c r="P339" s="37" t="n">
        <x:f>IF(AND(N339&gt;0,N339&lt;=O339),1,0)</x:f>
        <x:v>0</x:v>
      </x:c>
      <x:c r="Q339" s="22" t="n">
        <x:v>0</x:v>
      </x:c>
      <x:c r="R339" s="37" t="n">
        <x:f>IF(AND(P339=1,Q339=1),MIN(F339,M339,R338),0)</x:f>
        <x:v>0</x:v>
      </x:c>
      <x:c r="S339" s="23" t="str">
        <x:f>IF(R339&gt;=F339,"ADMITTED","NOT ADMITTED")</x:f>
        <x:v>NOT ADMITTED</x:v>
      </x:c>
    </x:row>
    <x:row r="340">
      <x:c r="B340" s="21" t="str">
        <x:v>SL-0334</x:v>
      </x:c>
      <x:c r="C340" s="21" t="str">
        <x:v>F28</x:v>
      </x:c>
      <x:c r="D340" s="21" t="n">
        <x:v>10</x:v>
      </x:c>
      <x:c r="E340" s="21" t="str">
        <x:v>Receiving-node admission</x:v>
      </x:c>
      <x:c r="F340" s="37" t="n">
        <x:f>'Family Register'!L34</x:f>
        <x:v>12</x:v>
      </x:c>
      <x:c r="G340" s="37" t="n">
        <x:f>INDEX(Scenarios!$I$7:$I$12,Assumptions!C7)</x:f>
        <x:v>0.75</x:v>
      </x:c>
      <x:c r="H340" s="37" t="n">
        <x:f>'Family Register'!G34*'Family Register'!I34*G340</x:f>
        <x:v>14.400000000000002</x:v>
      </x:c>
      <x:c r="I340" s="37" t="n">
        <x:f>J339</x:f>
        <x:v>12</x:v>
      </x:c>
      <x:c r="J340" s="37" t="n">
        <x:f>MIN(F340,H340,I340)</x:f>
        <x:v>12</x:v>
      </x:c>
      <x:c r="K340" s="22" t="n">
        <x:v>0</x:v>
      </x:c>
      <x:c r="L340" s="22" t="n">
        <x:v>0</x:v>
      </x:c>
      <x:c r="M340" s="37" t="n">
        <x:f>K340*L340</x:f>
        <x:v>0</x:v>
      </x:c>
      <x:c r="N340" s="22" t="n">
        <x:v>0</x:v>
      </x:c>
      <x:c r="O340" s="37" t="n">
        <x:f>'Family Register'!H34*0.94</x:f>
        <x:v>315.84</x:v>
      </x:c>
      <x:c r="P340" s="37" t="n">
        <x:f>IF(AND(N340&gt;0,N340&lt;=O340),1,0)</x:f>
        <x:v>0</x:v>
      </x:c>
      <x:c r="Q340" s="22" t="n">
        <x:v>0</x:v>
      </x:c>
      <x:c r="R340" s="37" t="n">
        <x:f>IF(AND(P340=1,Q340=1),MIN(F340,M340,R339),0)</x:f>
        <x:v>0</x:v>
      </x:c>
      <x:c r="S340" s="23" t="str">
        <x:f>IF(R340&gt;=F340,"ADMITTED","NOT ADMITTED")</x:f>
        <x:v>NOT ADMITTED</x:v>
      </x:c>
    </x:row>
    <x:row r="341">
      <x:c r="B341" s="21" t="str">
        <x:v>SL-0335</x:v>
      </x:c>
      <x:c r="C341" s="21" t="str">
        <x:v>F28</x:v>
      </x:c>
      <x:c r="D341" s="21" t="n">
        <x:v>11</x:v>
      </x:c>
      <x:c r="E341" s="21" t="str">
        <x:v>Commissioned public service</x:v>
      </x:c>
      <x:c r="F341" s="37" t="n">
        <x:f>'Family Register'!L34</x:f>
        <x:v>12</x:v>
      </x:c>
      <x:c r="G341" s="37" t="n">
        <x:f>MIN(INDEX(Scenarios!$G$7:$G$12,Assumptions!C7),INDEX(Scenarios!$I$7:$I$12,Assumptions!C7))</x:f>
        <x:v>0.7</x:v>
      </x:c>
      <x:c r="H341" s="37" t="n">
        <x:f>'Family Register'!G34*'Family Register'!I34*G341</x:f>
        <x:v>13.440000000000001</x:v>
      </x:c>
      <x:c r="I341" s="37" t="n">
        <x:f>J340</x:f>
        <x:v>12</x:v>
      </x:c>
      <x:c r="J341" s="37" t="n">
        <x:f>MIN(F341,H341,I341)</x:f>
        <x:v>12</x:v>
      </x:c>
      <x:c r="K341" s="22" t="n">
        <x:v>0</x:v>
      </x:c>
      <x:c r="L341" s="22" t="n">
        <x:v>0</x:v>
      </x:c>
      <x:c r="M341" s="37" t="n">
        <x:f>K341*L341</x:f>
        <x:v>0</x:v>
      </x:c>
      <x:c r="N341" s="22" t="n">
        <x:v>0</x:v>
      </x:c>
      <x:c r="O341" s="37" t="n">
        <x:f>'Family Register'!H34*1</x:f>
        <x:v>336</x:v>
      </x:c>
      <x:c r="P341" s="37" t="n">
        <x:f>IF(AND(N341&gt;0,N341&lt;=O341),1,0)</x:f>
        <x:v>0</x:v>
      </x:c>
      <x:c r="Q341" s="22" t="n">
        <x:v>0</x:v>
      </x:c>
      <x:c r="R341" s="37" t="n">
        <x:f>IF(AND(P341=1,Q341=1),MIN(F341,M341,R340),0)</x:f>
        <x:v>0</x:v>
      </x:c>
      <x:c r="S341" s="23" t="str">
        <x:f>IF(R341&gt;=F341,"ADMITTED","NOT ADMITTED")</x:f>
        <x:v>NOT ADMITTED</x:v>
      </x:c>
    </x:row>
    <x:row r="342">
      <x:c r="B342" s="21" t="str">
        <x:v>SL-0336</x:v>
      </x:c>
      <x:c r="C342" s="21" t="str">
        <x:v>F28</x:v>
      </x:c>
      <x:c r="D342" s="21" t="n">
        <x:v>12</x:v>
      </x:c>
      <x:c r="E342" s="21" t="str">
        <x:v>Regeneration and replacement</x:v>
      </x:c>
      <x:c r="F342" s="37" t="n">
        <x:f>'Family Register'!L34</x:f>
        <x:v>12</x:v>
      </x:c>
      <x:c r="G342" s="37" t="n">
        <x:f>MIN(INDEX(Scenarios!$E$7:$E$12,Assumptions!C7),INDEX(Scenarios!$F$7:$F$12,Assumptions!C7))</x:f>
        <x:v>0.7</x:v>
      </x:c>
      <x:c r="H342" s="37" t="n">
        <x:f>'Family Register'!G34*'Family Register'!I34*G342</x:f>
        <x:v>13.440000000000001</x:v>
      </x:c>
      <x:c r="I342" s="37" t="n">
        <x:f>J341</x:f>
        <x:v>12</x:v>
      </x:c>
      <x:c r="J342" s="37" t="n">
        <x:f>MIN(F342,H342,I342)</x:f>
        <x:v>12</x:v>
      </x:c>
      <x:c r="K342" s="22" t="n">
        <x:v>0</x:v>
      </x:c>
      <x:c r="L342" s="22" t="n">
        <x:v>0</x:v>
      </x:c>
      <x:c r="M342" s="37" t="n">
        <x:f>K342*L342</x:f>
        <x:v>0</x:v>
      </x:c>
      <x:c r="N342" s="22" t="n">
        <x:v>0</x:v>
      </x:c>
      <x:c r="O342" s="37" t="n">
        <x:f>'Family Register'!H34+168</x:f>
        <x:v>504</x:v>
      </x:c>
      <x:c r="P342" s="37" t="n">
        <x:f>IF(AND(N342&gt;0,N342&lt;=O342),1,0)</x:f>
        <x:v>0</x:v>
      </x:c>
      <x:c r="Q342" s="22" t="n">
        <x:v>0</x:v>
      </x:c>
      <x:c r="R342" s="37" t="n">
        <x:f>IF(AND(P342=1,Q342=1),MIN(F342,M342,R341),0)</x:f>
        <x:v>0</x:v>
      </x:c>
      <x:c r="S342" s="23" t="str">
        <x:f>IF(R342&gt;=F342,"ADMITTED","NOT ADMITTED")</x:f>
        <x:v>NOT ADMITTED</x:v>
      </x:c>
    </x:row>
    <x:row r="343">
      <x:c r="B343" s="21" t="str">
        <x:v>SL-0337</x:v>
      </x:c>
      <x:c r="C343" s="21" t="str">
        <x:v>F29</x:v>
      </x:c>
      <x:c r="D343" s="21" t="n">
        <x:v>1</x:v>
      </x:c>
      <x:c r="E343" s="21" t="str">
        <x:v>Alert authentication</x:v>
      </x:c>
      <x:c r="F343" s="37" t="n">
        <x:f>'Family Register'!L35</x:f>
        <x:v>2</x:v>
      </x:c>
      <x:c r="G343" s="37" t="n">
        <x:f>INDEX(Scenarios!$K$7:$K$12,Assumptions!C7)</x:f>
        <x:v>0.75</x:v>
      </x:c>
      <x:c r="H343" s="37" t="n">
        <x:f>'Family Register'!G35*'Family Register'!I35*G343</x:f>
        <x:v>1.9500000000000002</x:v>
      </x:c>
      <x:c r="I343" s="37" t="n">
        <x:f>F343</x:f>
        <x:v>2</x:v>
      </x:c>
      <x:c r="J343" s="37" t="n">
        <x:f>MIN(F343,H343,I343)</x:f>
        <x:v>1.9500000000000002</x:v>
      </x:c>
      <x:c r="K343" s="22" t="n">
        <x:v>0</x:v>
      </x:c>
      <x:c r="L343" s="22" t="n">
        <x:v>0</x:v>
      </x:c>
      <x:c r="M343" s="37" t="n">
        <x:f>K343*L343</x:f>
        <x:v>0</x:v>
      </x:c>
      <x:c r="N343" s="22" t="n">
        <x:v>0</x:v>
      </x:c>
      <x:c r="O343" s="37" t="n">
        <x:f>2</x:f>
        <x:v>2</x:v>
      </x:c>
      <x:c r="P343" s="37" t="n">
        <x:f>IF(AND(N343&gt;0,N343&lt;=O343),1,0)</x:f>
        <x:v>0</x:v>
      </x:c>
      <x:c r="Q343" s="22" t="n">
        <x:v>0</x:v>
      </x:c>
      <x:c r="R343" s="37" t="n">
        <x:f>IF(AND(P343=1,Q343=1),MIN(F343,M343),0)</x:f>
        <x:v>0</x:v>
      </x:c>
      <x:c r="S343" s="23" t="str">
        <x:f>IF(R343&gt;=F343,"ADMITTED","NOT ADMITTED")</x:f>
        <x:v>NOT ADMITTED</x:v>
      </x:c>
    </x:row>
    <x:row r="344">
      <x:c r="B344" s="21" t="str">
        <x:v>SL-0338</x:v>
      </x:c>
      <x:c r="C344" s="21" t="str">
        <x:v>F29</x:v>
      </x:c>
      <x:c r="D344" s="21" t="n">
        <x:v>2</x:v>
      </x:c>
      <x:c r="E344" s="21" t="str">
        <x:v>Workforce muster</x:v>
      </x:c>
      <x:c r="F344" s="37" t="n">
        <x:f>'Family Register'!L35</x:f>
        <x:v>2</x:v>
      </x:c>
      <x:c r="G344" s="37" t="n">
        <x:f>INDEX(Scenarios!$J$7:$J$12,Assumptions!C7)</x:f>
        <x:v>0.8</x:v>
      </x:c>
      <x:c r="H344" s="37" t="n">
        <x:f>'Family Register'!G35*'Family Register'!I35*G344</x:f>
        <x:v>2.08</x:v>
      </x:c>
      <x:c r="I344" s="37" t="n">
        <x:f>J343</x:f>
        <x:v>1.9500000000000002</x:v>
      </x:c>
      <x:c r="J344" s="37" t="n">
        <x:f>MIN(F344,H344,I344)</x:f>
        <x:v>1.9500000000000002</x:v>
      </x:c>
      <x:c r="K344" s="22" t="n">
        <x:v>0</x:v>
      </x:c>
      <x:c r="L344" s="22" t="n">
        <x:v>0</x:v>
      </x:c>
      <x:c r="M344" s="37" t="n">
        <x:f>K344*L344</x:f>
        <x:v>0</x:v>
      </x:c>
      <x:c r="N344" s="22" t="n">
        <x:v>0</x:v>
      </x:c>
      <x:c r="O344" s="37" t="n">
        <x:f>12</x:f>
        <x:v>12</x:v>
      </x:c>
      <x:c r="P344" s="37" t="n">
        <x:f>IF(AND(N344&gt;0,N344&lt;=O344),1,0)</x:f>
        <x:v>0</x:v>
      </x:c>
      <x:c r="Q344" s="22" t="n">
        <x:v>0</x:v>
      </x:c>
      <x:c r="R344" s="37" t="n">
        <x:f>IF(AND(P344=1,Q344=1),MIN(F344,M344,R343),0)</x:f>
        <x:v>0</x:v>
      </x:c>
      <x:c r="S344" s="23" t="str">
        <x:f>IF(R344&gt;=F344,"ADMITTED","NOT ADMITTED")</x:f>
        <x:v>NOT ADMITTED</x:v>
      </x:c>
    </x:row>
    <x:row r="345">
      <x:c r="B345" s="21" t="str">
        <x:v>SL-0339</x:v>
      </x:c>
      <x:c r="C345" s="21" t="str">
        <x:v>F29</x:v>
      </x:c>
      <x:c r="D345" s="21" t="n">
        <x:v>3</x:v>
      </x:c>
      <x:c r="E345" s="21" t="str">
        <x:v>Facility utility and safe start</x:v>
      </x:c>
      <x:c r="F345" s="37" t="n">
        <x:f>'Family Register'!L35</x:f>
        <x:v>2</x:v>
      </x:c>
      <x:c r="G345" s="37" t="n">
        <x:f>INDEX(Scenarios!$G$7:$G$12,Assumptions!C7)</x:f>
        <x:v>0.7</x:v>
      </x:c>
      <x:c r="H345" s="37" t="n">
        <x:f>'Family Register'!G35*'Family Register'!I35*G345</x:f>
        <x:v>1.8199999999999998</x:v>
      </x:c>
      <x:c r="I345" s="37" t="n">
        <x:f>J344</x:f>
        <x:v>1.9500000000000002</x:v>
      </x:c>
      <x:c r="J345" s="37" t="n">
        <x:f>MIN(F345,H345,I345)</x:f>
        <x:v>1.8199999999999998</x:v>
      </x:c>
      <x:c r="K345" s="22" t="n">
        <x:v>0</x:v>
      </x:c>
      <x:c r="L345" s="22" t="n">
        <x:v>0</x:v>
      </x:c>
      <x:c r="M345" s="37" t="n">
        <x:f>K345*L345</x:f>
        <x:v>0</x:v>
      </x:c>
      <x:c r="N345" s="22" t="n">
        <x:v>0</x:v>
      </x:c>
      <x:c r="O345" s="37" t="n">
        <x:f>24</x:f>
        <x:v>24</x:v>
      </x:c>
      <x:c r="P345" s="37" t="n">
        <x:f>IF(AND(N345&gt;0,N345&lt;=O345),1,0)</x:f>
        <x:v>0</x:v>
      </x:c>
      <x:c r="Q345" s="22" t="n">
        <x:v>0</x:v>
      </x:c>
      <x:c r="R345" s="37" t="n">
        <x:f>IF(AND(P345=1,Q345=1),MIN(F345,M345,R344),0)</x:f>
        <x:v>0</x:v>
      </x:c>
      <x:c r="S345" s="23" t="str">
        <x:f>IF(R345&gt;=F345,"ADMITTED","NOT ADMITTED")</x:f>
        <x:v>NOT ADMITTED</x:v>
      </x:c>
    </x:row>
    <x:row r="346">
      <x:c r="B346" s="21" t="str">
        <x:v>SL-0340</x:v>
      </x:c>
      <x:c r="C346" s="21" t="str">
        <x:v>F29</x:v>
      </x:c>
      <x:c r="D346" s="21" t="n">
        <x:v>4</x:v>
      </x:c>
      <x:c r="E346" s="21" t="str">
        <x:v>Material tooling and instrument release</x:v>
      </x:c>
      <x:c r="F346" s="37" t="n">
        <x:f>'Family Register'!L35</x:f>
        <x:v>2</x:v>
      </x:c>
      <x:c r="G346" s="37" t="n">
        <x:f>INDEX(Scenarios!$E$7:$E$12,Assumptions!C7)</x:f>
        <x:v>0.75</x:v>
      </x:c>
      <x:c r="H346" s="37" t="n">
        <x:f>'Family Register'!G35*'Family Register'!I35*G346</x:f>
        <x:v>1.9500000000000002</x:v>
      </x:c>
      <x:c r="I346" s="37" t="n">
        <x:f>J345</x:f>
        <x:v>1.8199999999999998</x:v>
      </x:c>
      <x:c r="J346" s="37" t="n">
        <x:f>MIN(F346,H346,I346)</x:f>
        <x:v>1.8199999999999998</x:v>
      </x:c>
      <x:c r="K346" s="22" t="n">
        <x:v>0</x:v>
      </x:c>
      <x:c r="L346" s="22" t="n">
        <x:v>0</x:v>
      </x:c>
      <x:c r="M346" s="37" t="n">
        <x:f>K346*L346</x:f>
        <x:v>0</x:v>
      </x:c>
      <x:c r="N346" s="22" t="n">
        <x:v>0</x:v>
      </x:c>
      <x:c r="O346" s="37" t="n">
        <x:f>36</x:f>
        <x:v>36</x:v>
      </x:c>
      <x:c r="P346" s="37" t="n">
        <x:f>IF(AND(N346&gt;0,N346&lt;=O346),1,0)</x:f>
        <x:v>0</x:v>
      </x:c>
      <x:c r="Q346" s="22" t="n">
        <x:v>0</x:v>
      </x:c>
      <x:c r="R346" s="37" t="n">
        <x:f>IF(AND(P346=1,Q346=1),MIN(F346,M346,R345),0)</x:f>
        <x:v>0</x:v>
      </x:c>
      <x:c r="S346" s="23" t="str">
        <x:f>IF(R346&gt;=F346,"ADMITTED","NOT ADMITTED")</x:f>
        <x:v>NOT ADMITTED</x:v>
      </x:c>
    </x:row>
    <x:row r="347">
      <x:c r="B347" s="21" t="str">
        <x:v>SL-0341</x:v>
      </x:c>
      <x:c r="C347" s="21" t="str">
        <x:v>F29</x:v>
      </x:c>
      <x:c r="D347" s="21" t="n">
        <x:v>5</x:v>
      </x:c>
      <x:c r="E347" s="21" t="str">
        <x:v>Supplier and process activation</x:v>
      </x:c>
      <x:c r="F347" s="37" t="n">
        <x:f>'Family Register'!L35</x:f>
        <x:v>2</x:v>
      </x:c>
      <x:c r="G347" s="37" t="n">
        <x:f>MIN(INDEX(Scenarios!$E$7:$E$12,Assumptions!C7),INDEX(Scenarios!$F$7:$F$12,Assumptions!C7))</x:f>
        <x:v>0.7</x:v>
      </x:c>
      <x:c r="H347" s="37" t="n">
        <x:f>'Family Register'!G35*'Family Register'!I35*G347</x:f>
        <x:v>1.8199999999999998</x:v>
      </x:c>
      <x:c r="I347" s="37" t="n">
        <x:f>J346</x:f>
        <x:v>1.8199999999999998</x:v>
      </x:c>
      <x:c r="J347" s="37" t="n">
        <x:f>MIN(F347,H347,I347)</x:f>
        <x:v>1.8199999999999998</x:v>
      </x:c>
      <x:c r="K347" s="22" t="n">
        <x:v>0</x:v>
      </x:c>
      <x:c r="L347" s="22" t="n">
        <x:v>0</x:v>
      </x:c>
      <x:c r="M347" s="37" t="n">
        <x:f>K347*L347</x:f>
        <x:v>0</x:v>
      </x:c>
      <x:c r="N347" s="22" t="n">
        <x:v>0</x:v>
      </x:c>
      <x:c r="O347" s="37" t="n">
        <x:f>48</x:f>
        <x:v>48</x:v>
      </x:c>
      <x:c r="P347" s="37" t="n">
        <x:f>IF(AND(N347&gt;0,N347&lt;=O347),1,0)</x:f>
        <x:v>0</x:v>
      </x:c>
      <x:c r="Q347" s="22" t="n">
        <x:v>0</x:v>
      </x:c>
      <x:c r="R347" s="37" t="n">
        <x:f>IF(AND(P347=1,Q347=1),MIN(F347,M347,R346),0)</x:f>
        <x:v>0</x:v>
      </x:c>
      <x:c r="S347" s="23" t="str">
        <x:f>IF(R347&gt;=F347,"ADMITTED","NOT ADMITTED")</x:f>
        <x:v>NOT ADMITTED</x:v>
      </x:c>
    </x:row>
    <x:row r="348">
      <x:c r="B348" s="21" t="str">
        <x:v>SL-0342</x:v>
      </x:c>
      <x:c r="C348" s="21" t="str">
        <x:v>F29</x:v>
      </x:c>
      <x:c r="D348" s="21" t="n">
        <x:v>6</x:v>
      </x:c>
      <x:c r="E348" s="21" t="str">
        <x:v>Conforming production</x:v>
      </x:c>
      <x:c r="F348" s="37" t="n">
        <x:f>'Family Register'!L35</x:f>
        <x:v>2</x:v>
      </x:c>
      <x:c r="G348" s="37" t="n">
        <x:f>INDEX(Scenarios!$F$7:$F$12,Assumptions!C7)</x:f>
        <x:v>0.7</x:v>
      </x:c>
      <x:c r="H348" s="37" t="n">
        <x:f>'Family Register'!G35*'Family Register'!I35*G348</x:f>
        <x:v>1.8199999999999998</x:v>
      </x:c>
      <x:c r="I348" s="37" t="n">
        <x:f>J347</x:f>
        <x:v>1.8199999999999998</x:v>
      </x:c>
      <x:c r="J348" s="37" t="n">
        <x:f>MIN(F348,H348,I348)</x:f>
        <x:v>1.8199999999999998</x:v>
      </x:c>
      <x:c r="K348" s="22" t="n">
        <x:v>0</x:v>
      </x:c>
      <x:c r="L348" s="22" t="n">
        <x:v>0</x:v>
      </x:c>
      <x:c r="M348" s="37" t="n">
        <x:f>K348*L348</x:f>
        <x:v>0</x:v>
      </x:c>
      <x:c r="N348" s="22" t="n">
        <x:v>0</x:v>
      </x:c>
      <x:c r="O348" s="37" t="n">
        <x:f>'Family Register'!H35*0.55</x:f>
        <x:v>792.0000000000001</x:v>
      </x:c>
      <x:c r="P348" s="37" t="n">
        <x:f>IF(AND(N348&gt;0,N348&lt;=O348),1,0)</x:f>
        <x:v>0</x:v>
      </x:c>
      <x:c r="Q348" s="22" t="n">
        <x:v>0</x:v>
      </x:c>
      <x:c r="R348" s="37" t="n">
        <x:f>IF(AND(P348=1,Q348=1),MIN(F348,M348,R347),0)</x:f>
        <x:v>0</x:v>
      </x:c>
      <x:c r="S348" s="23" t="str">
        <x:f>IF(R348&gt;=F348,"ADMITTED","NOT ADMITTED")</x:f>
        <x:v>NOT ADMITTED</x:v>
      </x:c>
    </x:row>
    <x:row r="349">
      <x:c r="B349" s="21" t="str">
        <x:v>SL-0343</x:v>
      </x:c>
      <x:c r="C349" s="21" t="str">
        <x:v>F29</x:v>
      </x:c>
      <x:c r="D349" s="21" t="n">
        <x:v>7</x:v>
      </x:c>
      <x:c r="E349" s="21" t="str">
        <x:v>Independent acceptance</x:v>
      </x:c>
      <x:c r="F349" s="37" t="n">
        <x:f>'Family Register'!L35</x:f>
        <x:v>2</x:v>
      </x:c>
      <x:c r="G349" s="37" t="n">
        <x:f>INDEX(Scenarios!$L$7:$L$12,Assumptions!C7)</x:f>
        <x:v>0.8</x:v>
      </x:c>
      <x:c r="H349" s="37" t="n">
        <x:f>'Family Register'!G35*'Family Register'!I35*G349</x:f>
        <x:v>2.08</x:v>
      </x:c>
      <x:c r="I349" s="37" t="n">
        <x:f>J348</x:f>
        <x:v>1.8199999999999998</x:v>
      </x:c>
      <x:c r="J349" s="37" t="n">
        <x:f>MIN(F349,H349,I349)</x:f>
        <x:v>1.8199999999999998</x:v>
      </x:c>
      <x:c r="K349" s="22" t="n">
        <x:v>0</x:v>
      </x:c>
      <x:c r="L349" s="22" t="n">
        <x:v>0</x:v>
      </x:c>
      <x:c r="M349" s="37" t="n">
        <x:f>K349*L349</x:f>
        <x:v>0</x:v>
      </x:c>
      <x:c r="N349" s="22" t="n">
        <x:v>0</x:v>
      </x:c>
      <x:c r="O349" s="37" t="n">
        <x:f>'Family Register'!H35*0.65</x:f>
        <x:v>936</x:v>
      </x:c>
      <x:c r="P349" s="37" t="n">
        <x:f>IF(AND(N349&gt;0,N349&lt;=O349),1,0)</x:f>
        <x:v>0</x:v>
      </x:c>
      <x:c r="Q349" s="22" t="n">
        <x:v>0</x:v>
      </x:c>
      <x:c r="R349" s="37" t="n">
        <x:f>IF(AND(P349=1,Q349=1),MIN(F349,M349,R348),0)</x:f>
        <x:v>0</x:v>
      </x:c>
      <x:c r="S349" s="23" t="str">
        <x:f>IF(R349&gt;=F349,"ADMITTED","NOT ADMITTED")</x:f>
        <x:v>NOT ADMITTED</x:v>
      </x:c>
    </x:row>
    <x:row r="350">
      <x:c r="B350" s="21" t="str">
        <x:v>SL-0344</x:v>
      </x:c>
      <x:c r="C350" s="21" t="str">
        <x:v>F29</x:v>
      </x:c>
      <x:c r="D350" s="21" t="n">
        <x:v>8</x:v>
      </x:c>
      <x:c r="E350" s="21" t="str">
        <x:v>Loadout and custody transfer</x:v>
      </x:c>
      <x:c r="F350" s="37" t="n">
        <x:f>'Family Register'!L35</x:f>
        <x:v>2</x:v>
      </x:c>
      <x:c r="G350" s="37" t="n">
        <x:f>INDEX(Scenarios!$H$7:$H$12,Assumptions!C7)</x:f>
        <x:v>0.65</x:v>
      </x:c>
      <x:c r="H350" s="37" t="n">
        <x:f>'Family Register'!G35*'Family Register'!I35*G350</x:f>
        <x:v>1.6900000000000002</x:v>
      </x:c>
      <x:c r="I350" s="37" t="n">
        <x:f>J349</x:f>
        <x:v>1.8199999999999998</x:v>
      </x:c>
      <x:c r="J350" s="37" t="n">
        <x:f>MIN(F350,H350,I350)</x:f>
        <x:v>1.6900000000000002</x:v>
      </x:c>
      <x:c r="K350" s="22" t="n">
        <x:v>0</x:v>
      </x:c>
      <x:c r="L350" s="22" t="n">
        <x:v>0</x:v>
      </x:c>
      <x:c r="M350" s="37" t="n">
        <x:f>K350*L350</x:f>
        <x:v>0</x:v>
      </x:c>
      <x:c r="N350" s="22" t="n">
        <x:v>0</x:v>
      </x:c>
      <x:c r="O350" s="37" t="n">
        <x:f>'Family Register'!H35*0.7</x:f>
        <x:v>1007.9999999999999</x:v>
      </x:c>
      <x:c r="P350" s="37" t="n">
        <x:f>IF(AND(N350&gt;0,N350&lt;=O350),1,0)</x:f>
        <x:v>0</x:v>
      </x:c>
      <x:c r="Q350" s="22" t="n">
        <x:v>0</x:v>
      </x:c>
      <x:c r="R350" s="37" t="n">
        <x:f>IF(AND(P350=1,Q350=1),MIN(F350,M350,R349),0)</x:f>
        <x:v>0</x:v>
      </x:c>
      <x:c r="S350" s="23" t="str">
        <x:f>IF(R350&gt;=F350,"ADMITTED","NOT ADMITTED")</x:f>
        <x:v>NOT ADMITTED</x:v>
      </x:c>
    </x:row>
    <x:row r="351">
      <x:c r="B351" s="21" t="str">
        <x:v>SL-0345</x:v>
      </x:c>
      <x:c r="C351" s="21" t="str">
        <x:v>F29</x:v>
      </x:c>
      <x:c r="D351" s="21" t="n">
        <x:v>9</x:v>
      </x:c>
      <x:c r="E351" s="21" t="str">
        <x:v>Strategic transport</x:v>
      </x:c>
      <x:c r="F351" s="37" t="n">
        <x:f>'Family Register'!L35</x:f>
        <x:v>2</x:v>
      </x:c>
      <x:c r="G351" s="37" t="n">
        <x:f>INDEX(Scenarios!$H$7:$H$12,Assumptions!C7)</x:f>
        <x:v>0.65</x:v>
      </x:c>
      <x:c r="H351" s="37" t="n">
        <x:f>'Family Register'!G35*'Family Register'!I35*G351</x:f>
        <x:v>1.6900000000000002</x:v>
      </x:c>
      <x:c r="I351" s="37" t="n">
        <x:f>J350</x:f>
        <x:v>1.6900000000000002</x:v>
      </x:c>
      <x:c r="J351" s="37" t="n">
        <x:f>MIN(F351,H351,I351)</x:f>
        <x:v>1.6900000000000002</x:v>
      </x:c>
      <x:c r="K351" s="22" t="n">
        <x:v>0</x:v>
      </x:c>
      <x:c r="L351" s="22" t="n">
        <x:v>0</x:v>
      </x:c>
      <x:c r="M351" s="37" t="n">
        <x:f>K351*L351</x:f>
        <x:v>0</x:v>
      </x:c>
      <x:c r="N351" s="22" t="n">
        <x:v>0</x:v>
      </x:c>
      <x:c r="O351" s="37" t="n">
        <x:f>'Family Register'!H35*0.9</x:f>
        <x:v>1296</x:v>
      </x:c>
      <x:c r="P351" s="37" t="n">
        <x:f>IF(AND(N351&gt;0,N351&lt;=O351),1,0)</x:f>
        <x:v>0</x:v>
      </x:c>
      <x:c r="Q351" s="22" t="n">
        <x:v>0</x:v>
      </x:c>
      <x:c r="R351" s="37" t="n">
        <x:f>IF(AND(P351=1,Q351=1),MIN(F351,M351,R350),0)</x:f>
        <x:v>0</x:v>
      </x:c>
      <x:c r="S351" s="23" t="str">
        <x:f>IF(R351&gt;=F351,"ADMITTED","NOT ADMITTED")</x:f>
        <x:v>NOT ADMITTED</x:v>
      </x:c>
    </x:row>
    <x:row r="352">
      <x:c r="B352" s="21" t="str">
        <x:v>SL-0346</x:v>
      </x:c>
      <x:c r="C352" s="21" t="str">
        <x:v>F29</x:v>
      </x:c>
      <x:c r="D352" s="21" t="n">
        <x:v>10</x:v>
      </x:c>
      <x:c r="E352" s="21" t="str">
        <x:v>Receiving-node admission</x:v>
      </x:c>
      <x:c r="F352" s="37" t="n">
        <x:f>'Family Register'!L35</x:f>
        <x:v>2</x:v>
      </x:c>
      <x:c r="G352" s="37" t="n">
        <x:f>INDEX(Scenarios!$I$7:$I$12,Assumptions!C7)</x:f>
        <x:v>0.75</x:v>
      </x:c>
      <x:c r="H352" s="37" t="n">
        <x:f>'Family Register'!G35*'Family Register'!I35*G352</x:f>
        <x:v>1.9500000000000002</x:v>
      </x:c>
      <x:c r="I352" s="37" t="n">
        <x:f>J351</x:f>
        <x:v>1.6900000000000002</x:v>
      </x:c>
      <x:c r="J352" s="37" t="n">
        <x:f>MIN(F352,H352,I352)</x:f>
        <x:v>1.6900000000000002</x:v>
      </x:c>
      <x:c r="K352" s="22" t="n">
        <x:v>0</x:v>
      </x:c>
      <x:c r="L352" s="22" t="n">
        <x:v>0</x:v>
      </x:c>
      <x:c r="M352" s="37" t="n">
        <x:f>K352*L352</x:f>
        <x:v>0</x:v>
      </x:c>
      <x:c r="N352" s="22" t="n">
        <x:v>0</x:v>
      </x:c>
      <x:c r="O352" s="37" t="n">
        <x:f>'Family Register'!H35*0.94</x:f>
        <x:v>1353.6</x:v>
      </x:c>
      <x:c r="P352" s="37" t="n">
        <x:f>IF(AND(N352&gt;0,N352&lt;=O352),1,0)</x:f>
        <x:v>0</x:v>
      </x:c>
      <x:c r="Q352" s="22" t="n">
        <x:v>0</x:v>
      </x:c>
      <x:c r="R352" s="37" t="n">
        <x:f>IF(AND(P352=1,Q352=1),MIN(F352,M352,R351),0)</x:f>
        <x:v>0</x:v>
      </x:c>
      <x:c r="S352" s="23" t="str">
        <x:f>IF(R352&gt;=F352,"ADMITTED","NOT ADMITTED")</x:f>
        <x:v>NOT ADMITTED</x:v>
      </x:c>
    </x:row>
    <x:row r="353">
      <x:c r="B353" s="21" t="str">
        <x:v>SL-0347</x:v>
      </x:c>
      <x:c r="C353" s="21" t="str">
        <x:v>F29</x:v>
      </x:c>
      <x:c r="D353" s="21" t="n">
        <x:v>11</x:v>
      </x:c>
      <x:c r="E353" s="21" t="str">
        <x:v>Commissioned public service</x:v>
      </x:c>
      <x:c r="F353" s="37" t="n">
        <x:f>'Family Register'!L35</x:f>
        <x:v>2</x:v>
      </x:c>
      <x:c r="G353" s="37" t="n">
        <x:f>MIN(INDEX(Scenarios!$G$7:$G$12,Assumptions!C7),INDEX(Scenarios!$I$7:$I$12,Assumptions!C7))</x:f>
        <x:v>0.7</x:v>
      </x:c>
      <x:c r="H353" s="37" t="n">
        <x:f>'Family Register'!G35*'Family Register'!I35*G353</x:f>
        <x:v>1.8199999999999998</x:v>
      </x:c>
      <x:c r="I353" s="37" t="n">
        <x:f>J352</x:f>
        <x:v>1.6900000000000002</x:v>
      </x:c>
      <x:c r="J353" s="37" t="n">
        <x:f>MIN(F353,H353,I353)</x:f>
        <x:v>1.6900000000000002</x:v>
      </x:c>
      <x:c r="K353" s="22" t="n">
        <x:v>0</x:v>
      </x:c>
      <x:c r="L353" s="22" t="n">
        <x:v>0</x:v>
      </x:c>
      <x:c r="M353" s="37" t="n">
        <x:f>K353*L353</x:f>
        <x:v>0</x:v>
      </x:c>
      <x:c r="N353" s="22" t="n">
        <x:v>0</x:v>
      </x:c>
      <x:c r="O353" s="37" t="n">
        <x:f>'Family Register'!H35*1</x:f>
        <x:v>1440</x:v>
      </x:c>
      <x:c r="P353" s="37" t="n">
        <x:f>IF(AND(N353&gt;0,N353&lt;=O353),1,0)</x:f>
        <x:v>0</x:v>
      </x:c>
      <x:c r="Q353" s="22" t="n">
        <x:v>0</x:v>
      </x:c>
      <x:c r="R353" s="37" t="n">
        <x:f>IF(AND(P353=1,Q353=1),MIN(F353,M353,R352),0)</x:f>
        <x:v>0</x:v>
      </x:c>
      <x:c r="S353" s="23" t="str">
        <x:f>IF(R353&gt;=F353,"ADMITTED","NOT ADMITTED")</x:f>
        <x:v>NOT ADMITTED</x:v>
      </x:c>
    </x:row>
    <x:row r="354">
      <x:c r="B354" s="21" t="str">
        <x:v>SL-0348</x:v>
      </x:c>
      <x:c r="C354" s="21" t="str">
        <x:v>F29</x:v>
      </x:c>
      <x:c r="D354" s="21" t="n">
        <x:v>12</x:v>
      </x:c>
      <x:c r="E354" s="21" t="str">
        <x:v>Regeneration and replacement</x:v>
      </x:c>
      <x:c r="F354" s="37" t="n">
        <x:f>'Family Register'!L35</x:f>
        <x:v>2</x:v>
      </x:c>
      <x:c r="G354" s="37" t="n">
        <x:f>MIN(INDEX(Scenarios!$E$7:$E$12,Assumptions!C7),INDEX(Scenarios!$F$7:$F$12,Assumptions!C7))</x:f>
        <x:v>0.7</x:v>
      </x:c>
      <x:c r="H354" s="37" t="n">
        <x:f>'Family Register'!G35*'Family Register'!I35*G354</x:f>
        <x:v>1.8199999999999998</x:v>
      </x:c>
      <x:c r="I354" s="37" t="n">
        <x:f>J353</x:f>
        <x:v>1.6900000000000002</x:v>
      </x:c>
      <x:c r="J354" s="37" t="n">
        <x:f>MIN(F354,H354,I354)</x:f>
        <x:v>1.6900000000000002</x:v>
      </x:c>
      <x:c r="K354" s="22" t="n">
        <x:v>0</x:v>
      </x:c>
      <x:c r="L354" s="22" t="n">
        <x:v>0</x:v>
      </x:c>
      <x:c r="M354" s="37" t="n">
        <x:f>K354*L354</x:f>
        <x:v>0</x:v>
      </x:c>
      <x:c r="N354" s="22" t="n">
        <x:v>0</x:v>
      </x:c>
      <x:c r="O354" s="37" t="n">
        <x:f>'Family Register'!H35+168</x:f>
        <x:v>1608</x:v>
      </x:c>
      <x:c r="P354" s="37" t="n">
        <x:f>IF(AND(N354&gt;0,N354&lt;=O354),1,0)</x:f>
        <x:v>0</x:v>
      </x:c>
      <x:c r="Q354" s="22" t="n">
        <x:v>0</x:v>
      </x:c>
      <x:c r="R354" s="37" t="n">
        <x:f>IF(AND(P354=1,Q354=1),MIN(F354,M354,R353),0)</x:f>
        <x:v>0</x:v>
      </x:c>
      <x:c r="S354" s="23" t="str">
        <x:f>IF(R354&gt;=F354,"ADMITTED","NOT ADMITTED")</x:f>
        <x:v>NOT ADMITTED</x:v>
      </x:c>
    </x:row>
    <x:row r="355">
      <x:c r="B355" s="21" t="str">
        <x:v>SL-0349</x:v>
      </x:c>
      <x:c r="C355" s="21" t="str">
        <x:v>F30</x:v>
      </x:c>
      <x:c r="D355" s="21" t="n">
        <x:v>1</x:v>
      </x:c>
      <x:c r="E355" s="21" t="str">
        <x:v>Alert authentication</x:v>
      </x:c>
      <x:c r="F355" s="37" t="n">
        <x:f>'Family Register'!L36</x:f>
        <x:v>2</x:v>
      </x:c>
      <x:c r="G355" s="37" t="n">
        <x:f>INDEX(Scenarios!$K$7:$K$12,Assumptions!C7)</x:f>
        <x:v>0.75</x:v>
      </x:c>
      <x:c r="H355" s="37" t="n">
        <x:f>'Family Register'!G36*'Family Register'!I36*G355</x:f>
        <x:v>1.9500000000000002</x:v>
      </x:c>
      <x:c r="I355" s="37" t="n">
        <x:f>F355</x:f>
        <x:v>2</x:v>
      </x:c>
      <x:c r="J355" s="37" t="n">
        <x:f>MIN(F355,H355,I355)</x:f>
        <x:v>1.9500000000000002</x:v>
      </x:c>
      <x:c r="K355" s="22" t="n">
        <x:v>0</x:v>
      </x:c>
      <x:c r="L355" s="22" t="n">
        <x:v>0</x:v>
      </x:c>
      <x:c r="M355" s="37" t="n">
        <x:f>K355*L355</x:f>
        <x:v>0</x:v>
      </x:c>
      <x:c r="N355" s="22" t="n">
        <x:v>0</x:v>
      </x:c>
      <x:c r="O355" s="37" t="n">
        <x:f>2</x:f>
        <x:v>2</x:v>
      </x:c>
      <x:c r="P355" s="37" t="n">
        <x:f>IF(AND(N355&gt;0,N355&lt;=O355),1,0)</x:f>
        <x:v>0</x:v>
      </x:c>
      <x:c r="Q355" s="22" t="n">
        <x:v>0</x:v>
      </x:c>
      <x:c r="R355" s="37" t="n">
        <x:f>IF(AND(P355=1,Q355=1),MIN(F355,M355),0)</x:f>
        <x:v>0</x:v>
      </x:c>
      <x:c r="S355" s="23" t="str">
        <x:f>IF(R355&gt;=F355,"ADMITTED","NOT ADMITTED")</x:f>
        <x:v>NOT ADMITTED</x:v>
      </x:c>
    </x:row>
    <x:row r="356">
      <x:c r="B356" s="21" t="str">
        <x:v>SL-0350</x:v>
      </x:c>
      <x:c r="C356" s="21" t="str">
        <x:v>F30</x:v>
      </x:c>
      <x:c r="D356" s="21" t="n">
        <x:v>2</x:v>
      </x:c>
      <x:c r="E356" s="21" t="str">
        <x:v>Workforce muster</x:v>
      </x:c>
      <x:c r="F356" s="37" t="n">
        <x:f>'Family Register'!L36</x:f>
        <x:v>2</x:v>
      </x:c>
      <x:c r="G356" s="37" t="n">
        <x:f>INDEX(Scenarios!$J$7:$J$12,Assumptions!C7)</x:f>
        <x:v>0.8</x:v>
      </x:c>
      <x:c r="H356" s="37" t="n">
        <x:f>'Family Register'!G36*'Family Register'!I36*G356</x:f>
        <x:v>2.08</x:v>
      </x:c>
      <x:c r="I356" s="37" t="n">
        <x:f>J355</x:f>
        <x:v>1.9500000000000002</x:v>
      </x:c>
      <x:c r="J356" s="37" t="n">
        <x:f>MIN(F356,H356,I356)</x:f>
        <x:v>1.9500000000000002</x:v>
      </x:c>
      <x:c r="K356" s="22" t="n">
        <x:v>0</x:v>
      </x:c>
      <x:c r="L356" s="22" t="n">
        <x:v>0</x:v>
      </x:c>
      <x:c r="M356" s="37" t="n">
        <x:f>K356*L356</x:f>
        <x:v>0</x:v>
      </x:c>
      <x:c r="N356" s="22" t="n">
        <x:v>0</x:v>
      </x:c>
      <x:c r="O356" s="37" t="n">
        <x:f>12</x:f>
        <x:v>12</x:v>
      </x:c>
      <x:c r="P356" s="37" t="n">
        <x:f>IF(AND(N356&gt;0,N356&lt;=O356),1,0)</x:f>
        <x:v>0</x:v>
      </x:c>
      <x:c r="Q356" s="22" t="n">
        <x:v>0</x:v>
      </x:c>
      <x:c r="R356" s="37" t="n">
        <x:f>IF(AND(P356=1,Q356=1),MIN(F356,M356,R355),0)</x:f>
        <x:v>0</x:v>
      </x:c>
      <x:c r="S356" s="23" t="str">
        <x:f>IF(R356&gt;=F356,"ADMITTED","NOT ADMITTED")</x:f>
        <x:v>NOT ADMITTED</x:v>
      </x:c>
    </x:row>
    <x:row r="357">
      <x:c r="B357" s="21" t="str">
        <x:v>SL-0351</x:v>
      </x:c>
      <x:c r="C357" s="21" t="str">
        <x:v>F30</x:v>
      </x:c>
      <x:c r="D357" s="21" t="n">
        <x:v>3</x:v>
      </x:c>
      <x:c r="E357" s="21" t="str">
        <x:v>Facility utility and safe start</x:v>
      </x:c>
      <x:c r="F357" s="37" t="n">
        <x:f>'Family Register'!L36</x:f>
        <x:v>2</x:v>
      </x:c>
      <x:c r="G357" s="37" t="n">
        <x:f>INDEX(Scenarios!$G$7:$G$12,Assumptions!C7)</x:f>
        <x:v>0.7</x:v>
      </x:c>
      <x:c r="H357" s="37" t="n">
        <x:f>'Family Register'!G36*'Family Register'!I36*G357</x:f>
        <x:v>1.8199999999999998</x:v>
      </x:c>
      <x:c r="I357" s="37" t="n">
        <x:f>J356</x:f>
        <x:v>1.9500000000000002</x:v>
      </x:c>
      <x:c r="J357" s="37" t="n">
        <x:f>MIN(F357,H357,I357)</x:f>
        <x:v>1.8199999999999998</x:v>
      </x:c>
      <x:c r="K357" s="22" t="n">
        <x:v>0</x:v>
      </x:c>
      <x:c r="L357" s="22" t="n">
        <x:v>0</x:v>
      </x:c>
      <x:c r="M357" s="37" t="n">
        <x:f>K357*L357</x:f>
        <x:v>0</x:v>
      </x:c>
      <x:c r="N357" s="22" t="n">
        <x:v>0</x:v>
      </x:c>
      <x:c r="O357" s="37" t="n">
        <x:f>24</x:f>
        <x:v>24</x:v>
      </x:c>
      <x:c r="P357" s="37" t="n">
        <x:f>IF(AND(N357&gt;0,N357&lt;=O357),1,0)</x:f>
        <x:v>0</x:v>
      </x:c>
      <x:c r="Q357" s="22" t="n">
        <x:v>0</x:v>
      </x:c>
      <x:c r="R357" s="37" t="n">
        <x:f>IF(AND(P357=1,Q357=1),MIN(F357,M357,R356),0)</x:f>
        <x:v>0</x:v>
      </x:c>
      <x:c r="S357" s="23" t="str">
        <x:f>IF(R357&gt;=F357,"ADMITTED","NOT ADMITTED")</x:f>
        <x:v>NOT ADMITTED</x:v>
      </x:c>
    </x:row>
    <x:row r="358">
      <x:c r="B358" s="21" t="str">
        <x:v>SL-0352</x:v>
      </x:c>
      <x:c r="C358" s="21" t="str">
        <x:v>F30</x:v>
      </x:c>
      <x:c r="D358" s="21" t="n">
        <x:v>4</x:v>
      </x:c>
      <x:c r="E358" s="21" t="str">
        <x:v>Material tooling and instrument release</x:v>
      </x:c>
      <x:c r="F358" s="37" t="n">
        <x:f>'Family Register'!L36</x:f>
        <x:v>2</x:v>
      </x:c>
      <x:c r="G358" s="37" t="n">
        <x:f>INDEX(Scenarios!$E$7:$E$12,Assumptions!C7)</x:f>
        <x:v>0.75</x:v>
      </x:c>
      <x:c r="H358" s="37" t="n">
        <x:f>'Family Register'!G36*'Family Register'!I36*G358</x:f>
        <x:v>1.9500000000000002</x:v>
      </x:c>
      <x:c r="I358" s="37" t="n">
        <x:f>J357</x:f>
        <x:v>1.8199999999999998</x:v>
      </x:c>
      <x:c r="J358" s="37" t="n">
        <x:f>MIN(F358,H358,I358)</x:f>
        <x:v>1.8199999999999998</x:v>
      </x:c>
      <x:c r="K358" s="22" t="n">
        <x:v>0</x:v>
      </x:c>
      <x:c r="L358" s="22" t="n">
        <x:v>0</x:v>
      </x:c>
      <x:c r="M358" s="37" t="n">
        <x:f>K358*L358</x:f>
        <x:v>0</x:v>
      </x:c>
      <x:c r="N358" s="22" t="n">
        <x:v>0</x:v>
      </x:c>
      <x:c r="O358" s="37" t="n">
        <x:f>36</x:f>
        <x:v>36</x:v>
      </x:c>
      <x:c r="P358" s="37" t="n">
        <x:f>IF(AND(N358&gt;0,N358&lt;=O358),1,0)</x:f>
        <x:v>0</x:v>
      </x:c>
      <x:c r="Q358" s="22" t="n">
        <x:v>0</x:v>
      </x:c>
      <x:c r="R358" s="37" t="n">
        <x:f>IF(AND(P358=1,Q358=1),MIN(F358,M358,R357),0)</x:f>
        <x:v>0</x:v>
      </x:c>
      <x:c r="S358" s="23" t="str">
        <x:f>IF(R358&gt;=F358,"ADMITTED","NOT ADMITTED")</x:f>
        <x:v>NOT ADMITTED</x:v>
      </x:c>
    </x:row>
    <x:row r="359">
      <x:c r="B359" s="21" t="str">
        <x:v>SL-0353</x:v>
      </x:c>
      <x:c r="C359" s="21" t="str">
        <x:v>F30</x:v>
      </x:c>
      <x:c r="D359" s="21" t="n">
        <x:v>5</x:v>
      </x:c>
      <x:c r="E359" s="21" t="str">
        <x:v>Supplier and process activation</x:v>
      </x:c>
      <x:c r="F359" s="37" t="n">
        <x:f>'Family Register'!L36</x:f>
        <x:v>2</x:v>
      </x:c>
      <x:c r="G359" s="37" t="n">
        <x:f>MIN(INDEX(Scenarios!$E$7:$E$12,Assumptions!C7),INDEX(Scenarios!$F$7:$F$12,Assumptions!C7))</x:f>
        <x:v>0.7</x:v>
      </x:c>
      <x:c r="H359" s="37" t="n">
        <x:f>'Family Register'!G36*'Family Register'!I36*G359</x:f>
        <x:v>1.8199999999999998</x:v>
      </x:c>
      <x:c r="I359" s="37" t="n">
        <x:f>J358</x:f>
        <x:v>1.8199999999999998</x:v>
      </x:c>
      <x:c r="J359" s="37" t="n">
        <x:f>MIN(F359,H359,I359)</x:f>
        <x:v>1.8199999999999998</x:v>
      </x:c>
      <x:c r="K359" s="22" t="n">
        <x:v>0</x:v>
      </x:c>
      <x:c r="L359" s="22" t="n">
        <x:v>0</x:v>
      </x:c>
      <x:c r="M359" s="37" t="n">
        <x:f>K359*L359</x:f>
        <x:v>0</x:v>
      </x:c>
      <x:c r="N359" s="22" t="n">
        <x:v>0</x:v>
      </x:c>
      <x:c r="O359" s="37" t="n">
        <x:f>48</x:f>
        <x:v>48</x:v>
      </x:c>
      <x:c r="P359" s="37" t="n">
        <x:f>IF(AND(N359&gt;0,N359&lt;=O359),1,0)</x:f>
        <x:v>0</x:v>
      </x:c>
      <x:c r="Q359" s="22" t="n">
        <x:v>0</x:v>
      </x:c>
      <x:c r="R359" s="37" t="n">
        <x:f>IF(AND(P359=1,Q359=1),MIN(F359,M359,R358),0)</x:f>
        <x:v>0</x:v>
      </x:c>
      <x:c r="S359" s="23" t="str">
        <x:f>IF(R359&gt;=F359,"ADMITTED","NOT ADMITTED")</x:f>
        <x:v>NOT ADMITTED</x:v>
      </x:c>
    </x:row>
    <x:row r="360">
      <x:c r="B360" s="21" t="str">
        <x:v>SL-0354</x:v>
      </x:c>
      <x:c r="C360" s="21" t="str">
        <x:v>F30</x:v>
      </x:c>
      <x:c r="D360" s="21" t="n">
        <x:v>6</x:v>
      </x:c>
      <x:c r="E360" s="21" t="str">
        <x:v>Conforming production</x:v>
      </x:c>
      <x:c r="F360" s="37" t="n">
        <x:f>'Family Register'!L36</x:f>
        <x:v>2</x:v>
      </x:c>
      <x:c r="G360" s="37" t="n">
        <x:f>INDEX(Scenarios!$F$7:$F$12,Assumptions!C7)</x:f>
        <x:v>0.7</x:v>
      </x:c>
      <x:c r="H360" s="37" t="n">
        <x:f>'Family Register'!G36*'Family Register'!I36*G360</x:f>
        <x:v>1.8199999999999998</x:v>
      </x:c>
      <x:c r="I360" s="37" t="n">
        <x:f>J359</x:f>
        <x:v>1.8199999999999998</x:v>
      </x:c>
      <x:c r="J360" s="37" t="n">
        <x:f>MIN(F360,H360,I360)</x:f>
        <x:v>1.8199999999999998</x:v>
      </x:c>
      <x:c r="K360" s="22" t="n">
        <x:v>0</x:v>
      </x:c>
      <x:c r="L360" s="22" t="n">
        <x:v>0</x:v>
      </x:c>
      <x:c r="M360" s="37" t="n">
        <x:f>K360*L360</x:f>
        <x:v>0</x:v>
      </x:c>
      <x:c r="N360" s="22" t="n">
        <x:v>0</x:v>
      </x:c>
      <x:c r="O360" s="37" t="n">
        <x:f>'Family Register'!H36*0.55</x:f>
        <x:v>792.0000000000001</x:v>
      </x:c>
      <x:c r="P360" s="37" t="n">
        <x:f>IF(AND(N360&gt;0,N360&lt;=O360),1,0)</x:f>
        <x:v>0</x:v>
      </x:c>
      <x:c r="Q360" s="22" t="n">
        <x:v>0</x:v>
      </x:c>
      <x:c r="R360" s="37" t="n">
        <x:f>IF(AND(P360=1,Q360=1),MIN(F360,M360,R359),0)</x:f>
        <x:v>0</x:v>
      </x:c>
      <x:c r="S360" s="23" t="str">
        <x:f>IF(R360&gt;=F360,"ADMITTED","NOT ADMITTED")</x:f>
        <x:v>NOT ADMITTED</x:v>
      </x:c>
    </x:row>
    <x:row r="361">
      <x:c r="B361" s="21" t="str">
        <x:v>SL-0355</x:v>
      </x:c>
      <x:c r="C361" s="21" t="str">
        <x:v>F30</x:v>
      </x:c>
      <x:c r="D361" s="21" t="n">
        <x:v>7</x:v>
      </x:c>
      <x:c r="E361" s="21" t="str">
        <x:v>Independent acceptance</x:v>
      </x:c>
      <x:c r="F361" s="37" t="n">
        <x:f>'Family Register'!L36</x:f>
        <x:v>2</x:v>
      </x:c>
      <x:c r="G361" s="37" t="n">
        <x:f>INDEX(Scenarios!$L$7:$L$12,Assumptions!C7)</x:f>
        <x:v>0.8</x:v>
      </x:c>
      <x:c r="H361" s="37" t="n">
        <x:f>'Family Register'!G36*'Family Register'!I36*G361</x:f>
        <x:v>2.08</x:v>
      </x:c>
      <x:c r="I361" s="37" t="n">
        <x:f>J360</x:f>
        <x:v>1.8199999999999998</x:v>
      </x:c>
      <x:c r="J361" s="37" t="n">
        <x:f>MIN(F361,H361,I361)</x:f>
        <x:v>1.8199999999999998</x:v>
      </x:c>
      <x:c r="K361" s="22" t="n">
        <x:v>0</x:v>
      </x:c>
      <x:c r="L361" s="22" t="n">
        <x:v>0</x:v>
      </x:c>
      <x:c r="M361" s="37" t="n">
        <x:f>K361*L361</x:f>
        <x:v>0</x:v>
      </x:c>
      <x:c r="N361" s="22" t="n">
        <x:v>0</x:v>
      </x:c>
      <x:c r="O361" s="37" t="n">
        <x:f>'Family Register'!H36*0.65</x:f>
        <x:v>936</x:v>
      </x:c>
      <x:c r="P361" s="37" t="n">
        <x:f>IF(AND(N361&gt;0,N361&lt;=O361),1,0)</x:f>
        <x:v>0</x:v>
      </x:c>
      <x:c r="Q361" s="22" t="n">
        <x:v>0</x:v>
      </x:c>
      <x:c r="R361" s="37" t="n">
        <x:f>IF(AND(P361=1,Q361=1),MIN(F361,M361,R360),0)</x:f>
        <x:v>0</x:v>
      </x:c>
      <x:c r="S361" s="23" t="str">
        <x:f>IF(R361&gt;=F361,"ADMITTED","NOT ADMITTED")</x:f>
        <x:v>NOT ADMITTED</x:v>
      </x:c>
    </x:row>
    <x:row r="362">
      <x:c r="B362" s="21" t="str">
        <x:v>SL-0356</x:v>
      </x:c>
      <x:c r="C362" s="21" t="str">
        <x:v>F30</x:v>
      </x:c>
      <x:c r="D362" s="21" t="n">
        <x:v>8</x:v>
      </x:c>
      <x:c r="E362" s="21" t="str">
        <x:v>Loadout and custody transfer</x:v>
      </x:c>
      <x:c r="F362" s="37" t="n">
        <x:f>'Family Register'!L36</x:f>
        <x:v>2</x:v>
      </x:c>
      <x:c r="G362" s="37" t="n">
        <x:f>INDEX(Scenarios!$H$7:$H$12,Assumptions!C7)</x:f>
        <x:v>0.65</x:v>
      </x:c>
      <x:c r="H362" s="37" t="n">
        <x:f>'Family Register'!G36*'Family Register'!I36*G362</x:f>
        <x:v>1.6900000000000002</x:v>
      </x:c>
      <x:c r="I362" s="37" t="n">
        <x:f>J361</x:f>
        <x:v>1.8199999999999998</x:v>
      </x:c>
      <x:c r="J362" s="37" t="n">
        <x:f>MIN(F362,H362,I362)</x:f>
        <x:v>1.6900000000000002</x:v>
      </x:c>
      <x:c r="K362" s="22" t="n">
        <x:v>0</x:v>
      </x:c>
      <x:c r="L362" s="22" t="n">
        <x:v>0</x:v>
      </x:c>
      <x:c r="M362" s="37" t="n">
        <x:f>K362*L362</x:f>
        <x:v>0</x:v>
      </x:c>
      <x:c r="N362" s="22" t="n">
        <x:v>0</x:v>
      </x:c>
      <x:c r="O362" s="37" t="n">
        <x:f>'Family Register'!H36*0.7</x:f>
        <x:v>1007.9999999999999</x:v>
      </x:c>
      <x:c r="P362" s="37" t="n">
        <x:f>IF(AND(N362&gt;0,N362&lt;=O362),1,0)</x:f>
        <x:v>0</x:v>
      </x:c>
      <x:c r="Q362" s="22" t="n">
        <x:v>0</x:v>
      </x:c>
      <x:c r="R362" s="37" t="n">
        <x:f>IF(AND(P362=1,Q362=1),MIN(F362,M362,R361),0)</x:f>
        <x:v>0</x:v>
      </x:c>
      <x:c r="S362" s="23" t="str">
        <x:f>IF(R362&gt;=F362,"ADMITTED","NOT ADMITTED")</x:f>
        <x:v>NOT ADMITTED</x:v>
      </x:c>
    </x:row>
    <x:row r="363">
      <x:c r="B363" s="21" t="str">
        <x:v>SL-0357</x:v>
      </x:c>
      <x:c r="C363" s="21" t="str">
        <x:v>F30</x:v>
      </x:c>
      <x:c r="D363" s="21" t="n">
        <x:v>9</x:v>
      </x:c>
      <x:c r="E363" s="21" t="str">
        <x:v>Strategic transport</x:v>
      </x:c>
      <x:c r="F363" s="37" t="n">
        <x:f>'Family Register'!L36</x:f>
        <x:v>2</x:v>
      </x:c>
      <x:c r="G363" s="37" t="n">
        <x:f>INDEX(Scenarios!$H$7:$H$12,Assumptions!C7)</x:f>
        <x:v>0.65</x:v>
      </x:c>
      <x:c r="H363" s="37" t="n">
        <x:f>'Family Register'!G36*'Family Register'!I36*G363</x:f>
        <x:v>1.6900000000000002</x:v>
      </x:c>
      <x:c r="I363" s="37" t="n">
        <x:f>J362</x:f>
        <x:v>1.6900000000000002</x:v>
      </x:c>
      <x:c r="J363" s="37" t="n">
        <x:f>MIN(F363,H363,I363)</x:f>
        <x:v>1.6900000000000002</x:v>
      </x:c>
      <x:c r="K363" s="22" t="n">
        <x:v>0</x:v>
      </x:c>
      <x:c r="L363" s="22" t="n">
        <x:v>0</x:v>
      </x:c>
      <x:c r="M363" s="37" t="n">
        <x:f>K363*L363</x:f>
        <x:v>0</x:v>
      </x:c>
      <x:c r="N363" s="22" t="n">
        <x:v>0</x:v>
      </x:c>
      <x:c r="O363" s="37" t="n">
        <x:f>'Family Register'!H36*0.9</x:f>
        <x:v>1296</x:v>
      </x:c>
      <x:c r="P363" s="37" t="n">
        <x:f>IF(AND(N363&gt;0,N363&lt;=O363),1,0)</x:f>
        <x:v>0</x:v>
      </x:c>
      <x:c r="Q363" s="22" t="n">
        <x:v>0</x:v>
      </x:c>
      <x:c r="R363" s="37" t="n">
        <x:f>IF(AND(P363=1,Q363=1),MIN(F363,M363,R362),0)</x:f>
        <x:v>0</x:v>
      </x:c>
      <x:c r="S363" s="23" t="str">
        <x:f>IF(R363&gt;=F363,"ADMITTED","NOT ADMITTED")</x:f>
        <x:v>NOT ADMITTED</x:v>
      </x:c>
    </x:row>
    <x:row r="364">
      <x:c r="B364" s="21" t="str">
        <x:v>SL-0358</x:v>
      </x:c>
      <x:c r="C364" s="21" t="str">
        <x:v>F30</x:v>
      </x:c>
      <x:c r="D364" s="21" t="n">
        <x:v>10</x:v>
      </x:c>
      <x:c r="E364" s="21" t="str">
        <x:v>Receiving-node admission</x:v>
      </x:c>
      <x:c r="F364" s="37" t="n">
        <x:f>'Family Register'!L36</x:f>
        <x:v>2</x:v>
      </x:c>
      <x:c r="G364" s="37" t="n">
        <x:f>INDEX(Scenarios!$I$7:$I$12,Assumptions!C7)</x:f>
        <x:v>0.75</x:v>
      </x:c>
      <x:c r="H364" s="37" t="n">
        <x:f>'Family Register'!G36*'Family Register'!I36*G364</x:f>
        <x:v>1.9500000000000002</x:v>
      </x:c>
      <x:c r="I364" s="37" t="n">
        <x:f>J363</x:f>
        <x:v>1.6900000000000002</x:v>
      </x:c>
      <x:c r="J364" s="37" t="n">
        <x:f>MIN(F364,H364,I364)</x:f>
        <x:v>1.6900000000000002</x:v>
      </x:c>
      <x:c r="K364" s="22" t="n">
        <x:v>0</x:v>
      </x:c>
      <x:c r="L364" s="22" t="n">
        <x:v>0</x:v>
      </x:c>
      <x:c r="M364" s="37" t="n">
        <x:f>K364*L364</x:f>
        <x:v>0</x:v>
      </x:c>
      <x:c r="N364" s="22" t="n">
        <x:v>0</x:v>
      </x:c>
      <x:c r="O364" s="37" t="n">
        <x:f>'Family Register'!H36*0.94</x:f>
        <x:v>1353.6</x:v>
      </x:c>
      <x:c r="P364" s="37" t="n">
        <x:f>IF(AND(N364&gt;0,N364&lt;=O364),1,0)</x:f>
        <x:v>0</x:v>
      </x:c>
      <x:c r="Q364" s="22" t="n">
        <x:v>0</x:v>
      </x:c>
      <x:c r="R364" s="37" t="n">
        <x:f>IF(AND(P364=1,Q364=1),MIN(F364,M364,R363),0)</x:f>
        <x:v>0</x:v>
      </x:c>
      <x:c r="S364" s="23" t="str">
        <x:f>IF(R364&gt;=F364,"ADMITTED","NOT ADMITTED")</x:f>
        <x:v>NOT ADMITTED</x:v>
      </x:c>
    </x:row>
    <x:row r="365">
      <x:c r="B365" s="21" t="str">
        <x:v>SL-0359</x:v>
      </x:c>
      <x:c r="C365" s="21" t="str">
        <x:v>F30</x:v>
      </x:c>
      <x:c r="D365" s="21" t="n">
        <x:v>11</x:v>
      </x:c>
      <x:c r="E365" s="21" t="str">
        <x:v>Commissioned public service</x:v>
      </x:c>
      <x:c r="F365" s="37" t="n">
        <x:f>'Family Register'!L36</x:f>
        <x:v>2</x:v>
      </x:c>
      <x:c r="G365" s="37" t="n">
        <x:f>MIN(INDEX(Scenarios!$G$7:$G$12,Assumptions!C7),INDEX(Scenarios!$I$7:$I$12,Assumptions!C7))</x:f>
        <x:v>0.7</x:v>
      </x:c>
      <x:c r="H365" s="37" t="n">
        <x:f>'Family Register'!G36*'Family Register'!I36*G365</x:f>
        <x:v>1.8199999999999998</x:v>
      </x:c>
      <x:c r="I365" s="37" t="n">
        <x:f>J364</x:f>
        <x:v>1.6900000000000002</x:v>
      </x:c>
      <x:c r="J365" s="37" t="n">
        <x:f>MIN(F365,H365,I365)</x:f>
        <x:v>1.6900000000000002</x:v>
      </x:c>
      <x:c r="K365" s="22" t="n">
        <x:v>0</x:v>
      </x:c>
      <x:c r="L365" s="22" t="n">
        <x:v>0</x:v>
      </x:c>
      <x:c r="M365" s="37" t="n">
        <x:f>K365*L365</x:f>
        <x:v>0</x:v>
      </x:c>
      <x:c r="N365" s="22" t="n">
        <x:v>0</x:v>
      </x:c>
      <x:c r="O365" s="37" t="n">
        <x:f>'Family Register'!H36*1</x:f>
        <x:v>1440</x:v>
      </x:c>
      <x:c r="P365" s="37" t="n">
        <x:f>IF(AND(N365&gt;0,N365&lt;=O365),1,0)</x:f>
        <x:v>0</x:v>
      </x:c>
      <x:c r="Q365" s="22" t="n">
        <x:v>0</x:v>
      </x:c>
      <x:c r="R365" s="37" t="n">
        <x:f>IF(AND(P365=1,Q365=1),MIN(F365,M365,R364),0)</x:f>
        <x:v>0</x:v>
      </x:c>
      <x:c r="S365" s="23" t="str">
        <x:f>IF(R365&gt;=F365,"ADMITTED","NOT ADMITTED")</x:f>
        <x:v>NOT ADMITTED</x:v>
      </x:c>
    </x:row>
    <x:row r="366">
      <x:c r="B366" s="21" t="str">
        <x:v>SL-0360</x:v>
      </x:c>
      <x:c r="C366" s="21" t="str">
        <x:v>F30</x:v>
      </x:c>
      <x:c r="D366" s="21" t="n">
        <x:v>12</x:v>
      </x:c>
      <x:c r="E366" s="21" t="str">
        <x:v>Regeneration and replacement</x:v>
      </x:c>
      <x:c r="F366" s="37" t="n">
        <x:f>'Family Register'!L36</x:f>
        <x:v>2</x:v>
      </x:c>
      <x:c r="G366" s="37" t="n">
        <x:f>MIN(INDEX(Scenarios!$E$7:$E$12,Assumptions!C7),INDEX(Scenarios!$F$7:$F$12,Assumptions!C7))</x:f>
        <x:v>0.7</x:v>
      </x:c>
      <x:c r="H366" s="37" t="n">
        <x:f>'Family Register'!G36*'Family Register'!I36*G366</x:f>
        <x:v>1.8199999999999998</x:v>
      </x:c>
      <x:c r="I366" s="37" t="n">
        <x:f>J365</x:f>
        <x:v>1.6900000000000002</x:v>
      </x:c>
      <x:c r="J366" s="37" t="n">
        <x:f>MIN(F366,H366,I366)</x:f>
        <x:v>1.6900000000000002</x:v>
      </x:c>
      <x:c r="K366" s="22" t="n">
        <x:v>0</x:v>
      </x:c>
      <x:c r="L366" s="22" t="n">
        <x:v>0</x:v>
      </x:c>
      <x:c r="M366" s="37" t="n">
        <x:f>K366*L366</x:f>
        <x:v>0</x:v>
      </x:c>
      <x:c r="N366" s="22" t="n">
        <x:v>0</x:v>
      </x:c>
      <x:c r="O366" s="37" t="n">
        <x:f>'Family Register'!H36+168</x:f>
        <x:v>1608</x:v>
      </x:c>
      <x:c r="P366" s="37" t="n">
        <x:f>IF(AND(N366&gt;0,N366&lt;=O366),1,0)</x:f>
        <x:v>0</x:v>
      </x:c>
      <x:c r="Q366" s="22" t="n">
        <x:v>0</x:v>
      </x:c>
      <x:c r="R366" s="37" t="n">
        <x:f>IF(AND(P366=1,Q366=1),MIN(F366,M366,R365),0)</x:f>
        <x:v>0</x:v>
      </x:c>
      <x:c r="S366" s="23" t="str">
        <x:f>IF(R366&gt;=F366,"ADMITTED","NOT ADMITTED")</x:f>
        <x:v>NOT ADMITTED</x:v>
      </x:c>
    </x:row>
    <x:row r="367">
      <x:c r="B367" s="21" t="str">
        <x:v>SL-0361</x:v>
      </x:c>
      <x:c r="C367" s="21" t="str">
        <x:v>F31</x:v>
      </x:c>
      <x:c r="D367" s="21" t="n">
        <x:v>1</x:v>
      </x:c>
      <x:c r="E367" s="21" t="str">
        <x:v>Alert authentication</x:v>
      </x:c>
      <x:c r="F367" s="37" t="n">
        <x:f>'Family Register'!L37</x:f>
        <x:v>12</x:v>
      </x:c>
      <x:c r="G367" s="37" t="n">
        <x:f>INDEX(Scenarios!$K$7:$K$12,Assumptions!C7)</x:f>
        <x:v>0.75</x:v>
      </x:c>
      <x:c r="H367" s="37" t="n">
        <x:f>'Family Register'!G37*'Family Register'!I37*G367</x:f>
        <x:v>13.049999999999999</x:v>
      </x:c>
      <x:c r="I367" s="37" t="n">
        <x:f>F367</x:f>
        <x:v>12</x:v>
      </x:c>
      <x:c r="J367" s="37" t="n">
        <x:f>MIN(F367,H367,I367)</x:f>
        <x:v>12</x:v>
      </x:c>
      <x:c r="K367" s="22" t="n">
        <x:v>0</x:v>
      </x:c>
      <x:c r="L367" s="22" t="n">
        <x:v>0</x:v>
      </x:c>
      <x:c r="M367" s="37" t="n">
        <x:f>K367*L367</x:f>
        <x:v>0</x:v>
      </x:c>
      <x:c r="N367" s="22" t="n">
        <x:v>0</x:v>
      </x:c>
      <x:c r="O367" s="37" t="n">
        <x:f>2</x:f>
        <x:v>2</x:v>
      </x:c>
      <x:c r="P367" s="37" t="n">
        <x:f>IF(AND(N367&gt;0,N367&lt;=O367),1,0)</x:f>
        <x:v>0</x:v>
      </x:c>
      <x:c r="Q367" s="22" t="n">
        <x:v>0</x:v>
      </x:c>
      <x:c r="R367" s="37" t="n">
        <x:f>IF(AND(P367=1,Q367=1),MIN(F367,M367),0)</x:f>
        <x:v>0</x:v>
      </x:c>
      <x:c r="S367" s="23" t="str">
        <x:f>IF(R367&gt;=F367,"ADMITTED","NOT ADMITTED")</x:f>
        <x:v>NOT ADMITTED</x:v>
      </x:c>
    </x:row>
    <x:row r="368">
      <x:c r="B368" s="21" t="str">
        <x:v>SL-0362</x:v>
      </x:c>
      <x:c r="C368" s="21" t="str">
        <x:v>F31</x:v>
      </x:c>
      <x:c r="D368" s="21" t="n">
        <x:v>2</x:v>
      </x:c>
      <x:c r="E368" s="21" t="str">
        <x:v>Workforce muster</x:v>
      </x:c>
      <x:c r="F368" s="37" t="n">
        <x:f>'Family Register'!L37</x:f>
        <x:v>12</x:v>
      </x:c>
      <x:c r="G368" s="37" t="n">
        <x:f>INDEX(Scenarios!$J$7:$J$12,Assumptions!C7)</x:f>
        <x:v>0.8</x:v>
      </x:c>
      <x:c r="H368" s="37" t="n">
        <x:f>'Family Register'!G37*'Family Register'!I37*G368</x:f>
        <x:v>13.92</x:v>
      </x:c>
      <x:c r="I368" s="37" t="n">
        <x:f>J367</x:f>
        <x:v>12</x:v>
      </x:c>
      <x:c r="J368" s="37" t="n">
        <x:f>MIN(F368,H368,I368)</x:f>
        <x:v>12</x:v>
      </x:c>
      <x:c r="K368" s="22" t="n">
        <x:v>0</x:v>
      </x:c>
      <x:c r="L368" s="22" t="n">
        <x:v>0</x:v>
      </x:c>
      <x:c r="M368" s="37" t="n">
        <x:f>K368*L368</x:f>
        <x:v>0</x:v>
      </x:c>
      <x:c r="N368" s="22" t="n">
        <x:v>0</x:v>
      </x:c>
      <x:c r="O368" s="37" t="n">
        <x:f>12</x:f>
        <x:v>12</x:v>
      </x:c>
      <x:c r="P368" s="37" t="n">
        <x:f>IF(AND(N368&gt;0,N368&lt;=O368),1,0)</x:f>
        <x:v>0</x:v>
      </x:c>
      <x:c r="Q368" s="22" t="n">
        <x:v>0</x:v>
      </x:c>
      <x:c r="R368" s="37" t="n">
        <x:f>IF(AND(P368=1,Q368=1),MIN(F368,M368,R367),0)</x:f>
        <x:v>0</x:v>
      </x:c>
      <x:c r="S368" s="23" t="str">
        <x:f>IF(R368&gt;=F368,"ADMITTED","NOT ADMITTED")</x:f>
        <x:v>NOT ADMITTED</x:v>
      </x:c>
    </x:row>
    <x:row r="369">
      <x:c r="B369" s="21" t="str">
        <x:v>SL-0363</x:v>
      </x:c>
      <x:c r="C369" s="21" t="str">
        <x:v>F31</x:v>
      </x:c>
      <x:c r="D369" s="21" t="n">
        <x:v>3</x:v>
      </x:c>
      <x:c r="E369" s="21" t="str">
        <x:v>Facility utility and safe start</x:v>
      </x:c>
      <x:c r="F369" s="37" t="n">
        <x:f>'Family Register'!L37</x:f>
        <x:v>12</x:v>
      </x:c>
      <x:c r="G369" s="37" t="n">
        <x:f>INDEX(Scenarios!$G$7:$G$12,Assumptions!C7)</x:f>
        <x:v>0.7</x:v>
      </x:c>
      <x:c r="H369" s="37" t="n">
        <x:f>'Family Register'!G37*'Family Register'!I37*G369</x:f>
        <x:v>12.179999999999998</x:v>
      </x:c>
      <x:c r="I369" s="37" t="n">
        <x:f>J368</x:f>
        <x:v>12</x:v>
      </x:c>
      <x:c r="J369" s="37" t="n">
        <x:f>MIN(F369,H369,I369)</x:f>
        <x:v>12</x:v>
      </x:c>
      <x:c r="K369" s="22" t="n">
        <x:v>0</x:v>
      </x:c>
      <x:c r="L369" s="22" t="n">
        <x:v>0</x:v>
      </x:c>
      <x:c r="M369" s="37" t="n">
        <x:f>K369*L369</x:f>
        <x:v>0</x:v>
      </x:c>
      <x:c r="N369" s="22" t="n">
        <x:v>0</x:v>
      </x:c>
      <x:c r="O369" s="37" t="n">
        <x:f>24</x:f>
        <x:v>24</x:v>
      </x:c>
      <x:c r="P369" s="37" t="n">
        <x:f>IF(AND(N369&gt;0,N369&lt;=O369),1,0)</x:f>
        <x:v>0</x:v>
      </x:c>
      <x:c r="Q369" s="22" t="n">
        <x:v>0</x:v>
      </x:c>
      <x:c r="R369" s="37" t="n">
        <x:f>IF(AND(P369=1,Q369=1),MIN(F369,M369,R368),0)</x:f>
        <x:v>0</x:v>
      </x:c>
      <x:c r="S369" s="23" t="str">
        <x:f>IF(R369&gt;=F369,"ADMITTED","NOT ADMITTED")</x:f>
        <x:v>NOT ADMITTED</x:v>
      </x:c>
    </x:row>
    <x:row r="370">
      <x:c r="B370" s="21" t="str">
        <x:v>SL-0364</x:v>
      </x:c>
      <x:c r="C370" s="21" t="str">
        <x:v>F31</x:v>
      </x:c>
      <x:c r="D370" s="21" t="n">
        <x:v>4</x:v>
      </x:c>
      <x:c r="E370" s="21" t="str">
        <x:v>Material tooling and instrument release</x:v>
      </x:c>
      <x:c r="F370" s="37" t="n">
        <x:f>'Family Register'!L37</x:f>
        <x:v>12</x:v>
      </x:c>
      <x:c r="G370" s="37" t="n">
        <x:f>INDEX(Scenarios!$E$7:$E$12,Assumptions!C7)</x:f>
        <x:v>0.75</x:v>
      </x:c>
      <x:c r="H370" s="37" t="n">
        <x:f>'Family Register'!G37*'Family Register'!I37*G370</x:f>
        <x:v>13.049999999999999</x:v>
      </x:c>
      <x:c r="I370" s="37" t="n">
        <x:f>J369</x:f>
        <x:v>12</x:v>
      </x:c>
      <x:c r="J370" s="37" t="n">
        <x:f>MIN(F370,H370,I370)</x:f>
        <x:v>12</x:v>
      </x:c>
      <x:c r="K370" s="22" t="n">
        <x:v>0</x:v>
      </x:c>
      <x:c r="L370" s="22" t="n">
        <x:v>0</x:v>
      </x:c>
      <x:c r="M370" s="37" t="n">
        <x:f>K370*L370</x:f>
        <x:v>0</x:v>
      </x:c>
      <x:c r="N370" s="22" t="n">
        <x:v>0</x:v>
      </x:c>
      <x:c r="O370" s="37" t="n">
        <x:f>36</x:f>
        <x:v>36</x:v>
      </x:c>
      <x:c r="P370" s="37" t="n">
        <x:f>IF(AND(N370&gt;0,N370&lt;=O370),1,0)</x:f>
        <x:v>0</x:v>
      </x:c>
      <x:c r="Q370" s="22" t="n">
        <x:v>0</x:v>
      </x:c>
      <x:c r="R370" s="37" t="n">
        <x:f>IF(AND(P370=1,Q370=1),MIN(F370,M370,R369),0)</x:f>
        <x:v>0</x:v>
      </x:c>
      <x:c r="S370" s="23" t="str">
        <x:f>IF(R370&gt;=F370,"ADMITTED","NOT ADMITTED")</x:f>
        <x:v>NOT ADMITTED</x:v>
      </x:c>
    </x:row>
    <x:row r="371">
      <x:c r="B371" s="21" t="str">
        <x:v>SL-0365</x:v>
      </x:c>
      <x:c r="C371" s="21" t="str">
        <x:v>F31</x:v>
      </x:c>
      <x:c r="D371" s="21" t="n">
        <x:v>5</x:v>
      </x:c>
      <x:c r="E371" s="21" t="str">
        <x:v>Supplier and process activation</x:v>
      </x:c>
      <x:c r="F371" s="37" t="n">
        <x:f>'Family Register'!L37</x:f>
        <x:v>12</x:v>
      </x:c>
      <x:c r="G371" s="37" t="n">
        <x:f>MIN(INDEX(Scenarios!$E$7:$E$12,Assumptions!C7),INDEX(Scenarios!$F$7:$F$12,Assumptions!C7))</x:f>
        <x:v>0.7</x:v>
      </x:c>
      <x:c r="H371" s="37" t="n">
        <x:f>'Family Register'!G37*'Family Register'!I37*G371</x:f>
        <x:v>12.179999999999998</x:v>
      </x:c>
      <x:c r="I371" s="37" t="n">
        <x:f>J370</x:f>
        <x:v>12</x:v>
      </x:c>
      <x:c r="J371" s="37" t="n">
        <x:f>MIN(F371,H371,I371)</x:f>
        <x:v>12</x:v>
      </x:c>
      <x:c r="K371" s="22" t="n">
        <x:v>0</x:v>
      </x:c>
      <x:c r="L371" s="22" t="n">
        <x:v>0</x:v>
      </x:c>
      <x:c r="M371" s="37" t="n">
        <x:f>K371*L371</x:f>
        <x:v>0</x:v>
      </x:c>
      <x:c r="N371" s="22" t="n">
        <x:v>0</x:v>
      </x:c>
      <x:c r="O371" s="37" t="n">
        <x:f>48</x:f>
        <x:v>48</x:v>
      </x:c>
      <x:c r="P371" s="37" t="n">
        <x:f>IF(AND(N371&gt;0,N371&lt;=O371),1,0)</x:f>
        <x:v>0</x:v>
      </x:c>
      <x:c r="Q371" s="22" t="n">
        <x:v>0</x:v>
      </x:c>
      <x:c r="R371" s="37" t="n">
        <x:f>IF(AND(P371=1,Q371=1),MIN(F371,M371,R370),0)</x:f>
        <x:v>0</x:v>
      </x:c>
      <x:c r="S371" s="23" t="str">
        <x:f>IF(R371&gt;=F371,"ADMITTED","NOT ADMITTED")</x:f>
        <x:v>NOT ADMITTED</x:v>
      </x:c>
    </x:row>
    <x:row r="372">
      <x:c r="B372" s="21" t="str">
        <x:v>SL-0366</x:v>
      </x:c>
      <x:c r="C372" s="21" t="str">
        <x:v>F31</x:v>
      </x:c>
      <x:c r="D372" s="21" t="n">
        <x:v>6</x:v>
      </x:c>
      <x:c r="E372" s="21" t="str">
        <x:v>Conforming production</x:v>
      </x:c>
      <x:c r="F372" s="37" t="n">
        <x:f>'Family Register'!L37</x:f>
        <x:v>12</x:v>
      </x:c>
      <x:c r="G372" s="37" t="n">
        <x:f>INDEX(Scenarios!$F$7:$F$12,Assumptions!C7)</x:f>
        <x:v>0.7</x:v>
      </x:c>
      <x:c r="H372" s="37" t="n">
        <x:f>'Family Register'!G37*'Family Register'!I37*G372</x:f>
        <x:v>12.179999999999998</x:v>
      </x:c>
      <x:c r="I372" s="37" t="n">
        <x:f>J371</x:f>
        <x:v>12</x:v>
      </x:c>
      <x:c r="J372" s="37" t="n">
        <x:f>MIN(F372,H372,I372)</x:f>
        <x:v>12</x:v>
      </x:c>
      <x:c r="K372" s="22" t="n">
        <x:v>0</x:v>
      </x:c>
      <x:c r="L372" s="22" t="n">
        <x:v>0</x:v>
      </x:c>
      <x:c r="M372" s="37" t="n">
        <x:f>K372*L372</x:f>
        <x:v>0</x:v>
      </x:c>
      <x:c r="N372" s="22" t="n">
        <x:v>0</x:v>
      </x:c>
      <x:c r="O372" s="37" t="n">
        <x:f>'Family Register'!H37*0.55</x:f>
        <x:v>396.00000000000006</x:v>
      </x:c>
      <x:c r="P372" s="37" t="n">
        <x:f>IF(AND(N372&gt;0,N372&lt;=O372),1,0)</x:f>
        <x:v>0</x:v>
      </x:c>
      <x:c r="Q372" s="22" t="n">
        <x:v>0</x:v>
      </x:c>
      <x:c r="R372" s="37" t="n">
        <x:f>IF(AND(P372=1,Q372=1),MIN(F372,M372,R371),0)</x:f>
        <x:v>0</x:v>
      </x:c>
      <x:c r="S372" s="23" t="str">
        <x:f>IF(R372&gt;=F372,"ADMITTED","NOT ADMITTED")</x:f>
        <x:v>NOT ADMITTED</x:v>
      </x:c>
    </x:row>
    <x:row r="373">
      <x:c r="B373" s="21" t="str">
        <x:v>SL-0367</x:v>
      </x:c>
      <x:c r="C373" s="21" t="str">
        <x:v>F31</x:v>
      </x:c>
      <x:c r="D373" s="21" t="n">
        <x:v>7</x:v>
      </x:c>
      <x:c r="E373" s="21" t="str">
        <x:v>Independent acceptance</x:v>
      </x:c>
      <x:c r="F373" s="37" t="n">
        <x:f>'Family Register'!L37</x:f>
        <x:v>12</x:v>
      </x:c>
      <x:c r="G373" s="37" t="n">
        <x:f>INDEX(Scenarios!$L$7:$L$12,Assumptions!C7)</x:f>
        <x:v>0.8</x:v>
      </x:c>
      <x:c r="H373" s="37" t="n">
        <x:f>'Family Register'!G37*'Family Register'!I37*G373</x:f>
        <x:v>13.92</x:v>
      </x:c>
      <x:c r="I373" s="37" t="n">
        <x:f>J372</x:f>
        <x:v>12</x:v>
      </x:c>
      <x:c r="J373" s="37" t="n">
        <x:f>MIN(F373,H373,I373)</x:f>
        <x:v>12</x:v>
      </x:c>
      <x:c r="K373" s="22" t="n">
        <x:v>0</x:v>
      </x:c>
      <x:c r="L373" s="22" t="n">
        <x:v>0</x:v>
      </x:c>
      <x:c r="M373" s="37" t="n">
        <x:f>K373*L373</x:f>
        <x:v>0</x:v>
      </x:c>
      <x:c r="N373" s="22" t="n">
        <x:v>0</x:v>
      </x:c>
      <x:c r="O373" s="37" t="n">
        <x:f>'Family Register'!H37*0.65</x:f>
        <x:v>468</x:v>
      </x:c>
      <x:c r="P373" s="37" t="n">
        <x:f>IF(AND(N373&gt;0,N373&lt;=O373),1,0)</x:f>
        <x:v>0</x:v>
      </x:c>
      <x:c r="Q373" s="22" t="n">
        <x:v>0</x:v>
      </x:c>
      <x:c r="R373" s="37" t="n">
        <x:f>IF(AND(P373=1,Q373=1),MIN(F373,M373,R372),0)</x:f>
        <x:v>0</x:v>
      </x:c>
      <x:c r="S373" s="23" t="str">
        <x:f>IF(R373&gt;=F373,"ADMITTED","NOT ADMITTED")</x:f>
        <x:v>NOT ADMITTED</x:v>
      </x:c>
    </x:row>
    <x:row r="374">
      <x:c r="B374" s="21" t="str">
        <x:v>SL-0368</x:v>
      </x:c>
      <x:c r="C374" s="21" t="str">
        <x:v>F31</x:v>
      </x:c>
      <x:c r="D374" s="21" t="n">
        <x:v>8</x:v>
      </x:c>
      <x:c r="E374" s="21" t="str">
        <x:v>Loadout and custody transfer</x:v>
      </x:c>
      <x:c r="F374" s="37" t="n">
        <x:f>'Family Register'!L37</x:f>
        <x:v>12</x:v>
      </x:c>
      <x:c r="G374" s="37" t="n">
        <x:f>INDEX(Scenarios!$H$7:$H$12,Assumptions!C7)</x:f>
        <x:v>0.65</x:v>
      </x:c>
      <x:c r="H374" s="37" t="n">
        <x:f>'Family Register'!G37*'Family Register'!I37*G374</x:f>
        <x:v>11.309999999999999</x:v>
      </x:c>
      <x:c r="I374" s="37" t="n">
        <x:f>J373</x:f>
        <x:v>12</x:v>
      </x:c>
      <x:c r="J374" s="37" t="n">
        <x:f>MIN(F374,H374,I374)</x:f>
        <x:v>11.309999999999999</x:v>
      </x:c>
      <x:c r="K374" s="22" t="n">
        <x:v>0</x:v>
      </x:c>
      <x:c r="L374" s="22" t="n">
        <x:v>0</x:v>
      </x:c>
      <x:c r="M374" s="37" t="n">
        <x:f>K374*L374</x:f>
        <x:v>0</x:v>
      </x:c>
      <x:c r="N374" s="22" t="n">
        <x:v>0</x:v>
      </x:c>
      <x:c r="O374" s="37" t="n">
        <x:f>'Family Register'!H37*0.7</x:f>
        <x:v>503.99999999999994</x:v>
      </x:c>
      <x:c r="P374" s="37" t="n">
        <x:f>IF(AND(N374&gt;0,N374&lt;=O374),1,0)</x:f>
        <x:v>0</x:v>
      </x:c>
      <x:c r="Q374" s="22" t="n">
        <x:v>0</x:v>
      </x:c>
      <x:c r="R374" s="37" t="n">
        <x:f>IF(AND(P374=1,Q374=1),MIN(F374,M374,R373),0)</x:f>
        <x:v>0</x:v>
      </x:c>
      <x:c r="S374" s="23" t="str">
        <x:f>IF(R374&gt;=F374,"ADMITTED","NOT ADMITTED")</x:f>
        <x:v>NOT ADMITTED</x:v>
      </x:c>
    </x:row>
    <x:row r="375">
      <x:c r="B375" s="21" t="str">
        <x:v>SL-0369</x:v>
      </x:c>
      <x:c r="C375" s="21" t="str">
        <x:v>F31</x:v>
      </x:c>
      <x:c r="D375" s="21" t="n">
        <x:v>9</x:v>
      </x:c>
      <x:c r="E375" s="21" t="str">
        <x:v>Strategic transport</x:v>
      </x:c>
      <x:c r="F375" s="37" t="n">
        <x:f>'Family Register'!L37</x:f>
        <x:v>12</x:v>
      </x:c>
      <x:c r="G375" s="37" t="n">
        <x:f>INDEX(Scenarios!$H$7:$H$12,Assumptions!C7)</x:f>
        <x:v>0.65</x:v>
      </x:c>
      <x:c r="H375" s="37" t="n">
        <x:f>'Family Register'!G37*'Family Register'!I37*G375</x:f>
        <x:v>11.309999999999999</x:v>
      </x:c>
      <x:c r="I375" s="37" t="n">
        <x:f>J374</x:f>
        <x:v>11.309999999999999</x:v>
      </x:c>
      <x:c r="J375" s="37" t="n">
        <x:f>MIN(F375,H375,I375)</x:f>
        <x:v>11.309999999999999</x:v>
      </x:c>
      <x:c r="K375" s="22" t="n">
        <x:v>0</x:v>
      </x:c>
      <x:c r="L375" s="22" t="n">
        <x:v>0</x:v>
      </x:c>
      <x:c r="M375" s="37" t="n">
        <x:f>K375*L375</x:f>
        <x:v>0</x:v>
      </x:c>
      <x:c r="N375" s="22" t="n">
        <x:v>0</x:v>
      </x:c>
      <x:c r="O375" s="37" t="n">
        <x:f>'Family Register'!H37*0.9</x:f>
        <x:v>648</x:v>
      </x:c>
      <x:c r="P375" s="37" t="n">
        <x:f>IF(AND(N375&gt;0,N375&lt;=O375),1,0)</x:f>
        <x:v>0</x:v>
      </x:c>
      <x:c r="Q375" s="22" t="n">
        <x:v>0</x:v>
      </x:c>
      <x:c r="R375" s="37" t="n">
        <x:f>IF(AND(P375=1,Q375=1),MIN(F375,M375,R374),0)</x:f>
        <x:v>0</x:v>
      </x:c>
      <x:c r="S375" s="23" t="str">
        <x:f>IF(R375&gt;=F375,"ADMITTED","NOT ADMITTED")</x:f>
        <x:v>NOT ADMITTED</x:v>
      </x:c>
    </x:row>
    <x:row r="376">
      <x:c r="B376" s="21" t="str">
        <x:v>SL-0370</x:v>
      </x:c>
      <x:c r="C376" s="21" t="str">
        <x:v>F31</x:v>
      </x:c>
      <x:c r="D376" s="21" t="n">
        <x:v>10</x:v>
      </x:c>
      <x:c r="E376" s="21" t="str">
        <x:v>Receiving-node admission</x:v>
      </x:c>
      <x:c r="F376" s="37" t="n">
        <x:f>'Family Register'!L37</x:f>
        <x:v>12</x:v>
      </x:c>
      <x:c r="G376" s="37" t="n">
        <x:f>INDEX(Scenarios!$I$7:$I$12,Assumptions!C7)</x:f>
        <x:v>0.75</x:v>
      </x:c>
      <x:c r="H376" s="37" t="n">
        <x:f>'Family Register'!G37*'Family Register'!I37*G376</x:f>
        <x:v>13.049999999999999</x:v>
      </x:c>
      <x:c r="I376" s="37" t="n">
        <x:f>J375</x:f>
        <x:v>11.309999999999999</x:v>
      </x:c>
      <x:c r="J376" s="37" t="n">
        <x:f>MIN(F376,H376,I376)</x:f>
        <x:v>11.309999999999999</x:v>
      </x:c>
      <x:c r="K376" s="22" t="n">
        <x:v>0</x:v>
      </x:c>
      <x:c r="L376" s="22" t="n">
        <x:v>0</x:v>
      </x:c>
      <x:c r="M376" s="37" t="n">
        <x:f>K376*L376</x:f>
        <x:v>0</x:v>
      </x:c>
      <x:c r="N376" s="22" t="n">
        <x:v>0</x:v>
      </x:c>
      <x:c r="O376" s="37" t="n">
        <x:f>'Family Register'!H37*0.94</x:f>
        <x:v>676.8</x:v>
      </x:c>
      <x:c r="P376" s="37" t="n">
        <x:f>IF(AND(N376&gt;0,N376&lt;=O376),1,0)</x:f>
        <x:v>0</x:v>
      </x:c>
      <x:c r="Q376" s="22" t="n">
        <x:v>0</x:v>
      </x:c>
      <x:c r="R376" s="37" t="n">
        <x:f>IF(AND(P376=1,Q376=1),MIN(F376,M376,R375),0)</x:f>
        <x:v>0</x:v>
      </x:c>
      <x:c r="S376" s="23" t="str">
        <x:f>IF(R376&gt;=F376,"ADMITTED","NOT ADMITTED")</x:f>
        <x:v>NOT ADMITTED</x:v>
      </x:c>
    </x:row>
    <x:row r="377">
      <x:c r="B377" s="21" t="str">
        <x:v>SL-0371</x:v>
      </x:c>
      <x:c r="C377" s="21" t="str">
        <x:v>F31</x:v>
      </x:c>
      <x:c r="D377" s="21" t="n">
        <x:v>11</x:v>
      </x:c>
      <x:c r="E377" s="21" t="str">
        <x:v>Commissioned public service</x:v>
      </x:c>
      <x:c r="F377" s="37" t="n">
        <x:f>'Family Register'!L37</x:f>
        <x:v>12</x:v>
      </x:c>
      <x:c r="G377" s="37" t="n">
        <x:f>MIN(INDEX(Scenarios!$G$7:$G$12,Assumptions!C7),INDEX(Scenarios!$I$7:$I$12,Assumptions!C7))</x:f>
        <x:v>0.7</x:v>
      </x:c>
      <x:c r="H377" s="37" t="n">
        <x:f>'Family Register'!G37*'Family Register'!I37*G377</x:f>
        <x:v>12.179999999999998</x:v>
      </x:c>
      <x:c r="I377" s="37" t="n">
        <x:f>J376</x:f>
        <x:v>11.309999999999999</x:v>
      </x:c>
      <x:c r="J377" s="37" t="n">
        <x:f>MIN(F377,H377,I377)</x:f>
        <x:v>11.309999999999999</x:v>
      </x:c>
      <x:c r="K377" s="22" t="n">
        <x:v>0</x:v>
      </x:c>
      <x:c r="L377" s="22" t="n">
        <x:v>0</x:v>
      </x:c>
      <x:c r="M377" s="37" t="n">
        <x:f>K377*L377</x:f>
        <x:v>0</x:v>
      </x:c>
      <x:c r="N377" s="22" t="n">
        <x:v>0</x:v>
      </x:c>
      <x:c r="O377" s="37" t="n">
        <x:f>'Family Register'!H37*1</x:f>
        <x:v>720</x:v>
      </x:c>
      <x:c r="P377" s="37" t="n">
        <x:f>IF(AND(N377&gt;0,N377&lt;=O377),1,0)</x:f>
        <x:v>0</x:v>
      </x:c>
      <x:c r="Q377" s="22" t="n">
        <x:v>0</x:v>
      </x:c>
      <x:c r="R377" s="37" t="n">
        <x:f>IF(AND(P377=1,Q377=1),MIN(F377,M377,R376),0)</x:f>
        <x:v>0</x:v>
      </x:c>
      <x:c r="S377" s="23" t="str">
        <x:f>IF(R377&gt;=F377,"ADMITTED","NOT ADMITTED")</x:f>
        <x:v>NOT ADMITTED</x:v>
      </x:c>
    </x:row>
    <x:row r="378">
      <x:c r="B378" s="21" t="str">
        <x:v>SL-0372</x:v>
      </x:c>
      <x:c r="C378" s="21" t="str">
        <x:v>F31</x:v>
      </x:c>
      <x:c r="D378" s="21" t="n">
        <x:v>12</x:v>
      </x:c>
      <x:c r="E378" s="21" t="str">
        <x:v>Regeneration and replacement</x:v>
      </x:c>
      <x:c r="F378" s="37" t="n">
        <x:f>'Family Register'!L37</x:f>
        <x:v>12</x:v>
      </x:c>
      <x:c r="G378" s="37" t="n">
        <x:f>MIN(INDEX(Scenarios!$E$7:$E$12,Assumptions!C7),INDEX(Scenarios!$F$7:$F$12,Assumptions!C7))</x:f>
        <x:v>0.7</x:v>
      </x:c>
      <x:c r="H378" s="37" t="n">
        <x:f>'Family Register'!G37*'Family Register'!I37*G378</x:f>
        <x:v>12.179999999999998</x:v>
      </x:c>
      <x:c r="I378" s="37" t="n">
        <x:f>J377</x:f>
        <x:v>11.309999999999999</x:v>
      </x:c>
      <x:c r="J378" s="37" t="n">
        <x:f>MIN(F378,H378,I378)</x:f>
        <x:v>11.309999999999999</x:v>
      </x:c>
      <x:c r="K378" s="22" t="n">
        <x:v>0</x:v>
      </x:c>
      <x:c r="L378" s="22" t="n">
        <x:v>0</x:v>
      </x:c>
      <x:c r="M378" s="37" t="n">
        <x:f>K378*L378</x:f>
        <x:v>0</x:v>
      </x:c>
      <x:c r="N378" s="22" t="n">
        <x:v>0</x:v>
      </x:c>
      <x:c r="O378" s="37" t="n">
        <x:f>'Family Register'!H37+168</x:f>
        <x:v>888</x:v>
      </x:c>
      <x:c r="P378" s="37" t="n">
        <x:f>IF(AND(N378&gt;0,N378&lt;=O378),1,0)</x:f>
        <x:v>0</x:v>
      </x:c>
      <x:c r="Q378" s="22" t="n">
        <x:v>0</x:v>
      </x:c>
      <x:c r="R378" s="37" t="n">
        <x:f>IF(AND(P378=1,Q378=1),MIN(F378,M378,R377),0)</x:f>
        <x:v>0</x:v>
      </x:c>
      <x:c r="S378" s="23" t="str">
        <x:f>IF(R378&gt;=F378,"ADMITTED","NOT ADMITTED")</x:f>
        <x:v>NOT ADMITTED</x:v>
      </x:c>
    </x:row>
    <x:row r="379">
      <x:c r="B379" s="21" t="str">
        <x:v>SL-0373</x:v>
      </x:c>
      <x:c r="C379" s="21" t="str">
        <x:v>F32</x:v>
      </x:c>
      <x:c r="D379" s="21" t="n">
        <x:v>1</x:v>
      </x:c>
      <x:c r="E379" s="21" t="str">
        <x:v>Alert authentication</x:v>
      </x:c>
      <x:c r="F379" s="37" t="n">
        <x:f>'Family Register'!L38</x:f>
        <x:v>8</x:v>
      </x:c>
      <x:c r="G379" s="37" t="n">
        <x:f>INDEX(Scenarios!$K$7:$K$12,Assumptions!C7)</x:f>
        <x:v>0.75</x:v>
      </x:c>
      <x:c r="H379" s="37" t="n">
        <x:f>'Family Register'!G38*'Family Register'!I38*G379</x:f>
        <x:v>7.800000000000001</x:v>
      </x:c>
      <x:c r="I379" s="37" t="n">
        <x:f>F379</x:f>
        <x:v>8</x:v>
      </x:c>
      <x:c r="J379" s="37" t="n">
        <x:f>MIN(F379,H379,I379)</x:f>
        <x:v>7.800000000000001</x:v>
      </x:c>
      <x:c r="K379" s="22" t="n">
        <x:v>0</x:v>
      </x:c>
      <x:c r="L379" s="22" t="n">
        <x:v>0</x:v>
      </x:c>
      <x:c r="M379" s="37" t="n">
        <x:f>K379*L379</x:f>
        <x:v>0</x:v>
      </x:c>
      <x:c r="N379" s="22" t="n">
        <x:v>0</x:v>
      </x:c>
      <x:c r="O379" s="37" t="n">
        <x:f>2</x:f>
        <x:v>2</x:v>
      </x:c>
      <x:c r="P379" s="37" t="n">
        <x:f>IF(AND(N379&gt;0,N379&lt;=O379),1,0)</x:f>
        <x:v>0</x:v>
      </x:c>
      <x:c r="Q379" s="22" t="n">
        <x:v>0</x:v>
      </x:c>
      <x:c r="R379" s="37" t="n">
        <x:f>IF(AND(P379=1,Q379=1),MIN(F379,M379),0)</x:f>
        <x:v>0</x:v>
      </x:c>
      <x:c r="S379" s="23" t="str">
        <x:f>IF(R379&gt;=F379,"ADMITTED","NOT ADMITTED")</x:f>
        <x:v>NOT ADMITTED</x:v>
      </x:c>
    </x:row>
    <x:row r="380">
      <x:c r="B380" s="21" t="str">
        <x:v>SL-0374</x:v>
      </x:c>
      <x:c r="C380" s="21" t="str">
        <x:v>F32</x:v>
      </x:c>
      <x:c r="D380" s="21" t="n">
        <x:v>2</x:v>
      </x:c>
      <x:c r="E380" s="21" t="str">
        <x:v>Workforce muster</x:v>
      </x:c>
      <x:c r="F380" s="37" t="n">
        <x:f>'Family Register'!L38</x:f>
        <x:v>8</x:v>
      </x:c>
      <x:c r="G380" s="37" t="n">
        <x:f>INDEX(Scenarios!$J$7:$J$12,Assumptions!C7)</x:f>
        <x:v>0.8</x:v>
      </x:c>
      <x:c r="H380" s="37" t="n">
        <x:f>'Family Register'!G38*'Family Register'!I38*G380</x:f>
        <x:v>8.32</x:v>
      </x:c>
      <x:c r="I380" s="37" t="n">
        <x:f>J379</x:f>
        <x:v>7.800000000000001</x:v>
      </x:c>
      <x:c r="J380" s="37" t="n">
        <x:f>MIN(F380,H380,I380)</x:f>
        <x:v>7.800000000000001</x:v>
      </x:c>
      <x:c r="K380" s="22" t="n">
        <x:v>0</x:v>
      </x:c>
      <x:c r="L380" s="22" t="n">
        <x:v>0</x:v>
      </x:c>
      <x:c r="M380" s="37" t="n">
        <x:f>K380*L380</x:f>
        <x:v>0</x:v>
      </x:c>
      <x:c r="N380" s="22" t="n">
        <x:v>0</x:v>
      </x:c>
      <x:c r="O380" s="37" t="n">
        <x:f>12</x:f>
        <x:v>12</x:v>
      </x:c>
      <x:c r="P380" s="37" t="n">
        <x:f>IF(AND(N380&gt;0,N380&lt;=O380),1,0)</x:f>
        <x:v>0</x:v>
      </x:c>
      <x:c r="Q380" s="22" t="n">
        <x:v>0</x:v>
      </x:c>
      <x:c r="R380" s="37" t="n">
        <x:f>IF(AND(P380=1,Q380=1),MIN(F380,M380,R379),0)</x:f>
        <x:v>0</x:v>
      </x:c>
      <x:c r="S380" s="23" t="str">
        <x:f>IF(R380&gt;=F380,"ADMITTED","NOT ADMITTED")</x:f>
        <x:v>NOT ADMITTED</x:v>
      </x:c>
    </x:row>
    <x:row r="381">
      <x:c r="B381" s="21" t="str">
        <x:v>SL-0375</x:v>
      </x:c>
      <x:c r="C381" s="21" t="str">
        <x:v>F32</x:v>
      </x:c>
      <x:c r="D381" s="21" t="n">
        <x:v>3</x:v>
      </x:c>
      <x:c r="E381" s="21" t="str">
        <x:v>Facility utility and safe start</x:v>
      </x:c>
      <x:c r="F381" s="37" t="n">
        <x:f>'Family Register'!L38</x:f>
        <x:v>8</x:v>
      </x:c>
      <x:c r="G381" s="37" t="n">
        <x:f>INDEX(Scenarios!$G$7:$G$12,Assumptions!C7)</x:f>
        <x:v>0.7</x:v>
      </x:c>
      <x:c r="H381" s="37" t="n">
        <x:f>'Family Register'!G38*'Family Register'!I38*G381</x:f>
        <x:v>7.279999999999999</x:v>
      </x:c>
      <x:c r="I381" s="37" t="n">
        <x:f>J380</x:f>
        <x:v>7.800000000000001</x:v>
      </x:c>
      <x:c r="J381" s="37" t="n">
        <x:f>MIN(F381,H381,I381)</x:f>
        <x:v>7.279999999999999</x:v>
      </x:c>
      <x:c r="K381" s="22" t="n">
        <x:v>0</x:v>
      </x:c>
      <x:c r="L381" s="22" t="n">
        <x:v>0</x:v>
      </x:c>
      <x:c r="M381" s="37" t="n">
        <x:f>K381*L381</x:f>
        <x:v>0</x:v>
      </x:c>
      <x:c r="N381" s="22" t="n">
        <x:v>0</x:v>
      </x:c>
      <x:c r="O381" s="37" t="n">
        <x:f>24</x:f>
        <x:v>24</x:v>
      </x:c>
      <x:c r="P381" s="37" t="n">
        <x:f>IF(AND(N381&gt;0,N381&lt;=O381),1,0)</x:f>
        <x:v>0</x:v>
      </x:c>
      <x:c r="Q381" s="22" t="n">
        <x:v>0</x:v>
      </x:c>
      <x:c r="R381" s="37" t="n">
        <x:f>IF(AND(P381=1,Q381=1),MIN(F381,M381,R380),0)</x:f>
        <x:v>0</x:v>
      </x:c>
      <x:c r="S381" s="23" t="str">
        <x:f>IF(R381&gt;=F381,"ADMITTED","NOT ADMITTED")</x:f>
        <x:v>NOT ADMITTED</x:v>
      </x:c>
    </x:row>
    <x:row r="382">
      <x:c r="B382" s="21" t="str">
        <x:v>SL-0376</x:v>
      </x:c>
      <x:c r="C382" s="21" t="str">
        <x:v>F32</x:v>
      </x:c>
      <x:c r="D382" s="21" t="n">
        <x:v>4</x:v>
      </x:c>
      <x:c r="E382" s="21" t="str">
        <x:v>Material tooling and instrument release</x:v>
      </x:c>
      <x:c r="F382" s="37" t="n">
        <x:f>'Family Register'!L38</x:f>
        <x:v>8</x:v>
      </x:c>
      <x:c r="G382" s="37" t="n">
        <x:f>INDEX(Scenarios!$E$7:$E$12,Assumptions!C7)</x:f>
        <x:v>0.75</x:v>
      </x:c>
      <x:c r="H382" s="37" t="n">
        <x:f>'Family Register'!G38*'Family Register'!I38*G382</x:f>
        <x:v>7.800000000000001</x:v>
      </x:c>
      <x:c r="I382" s="37" t="n">
        <x:f>J381</x:f>
        <x:v>7.279999999999999</x:v>
      </x:c>
      <x:c r="J382" s="37" t="n">
        <x:f>MIN(F382,H382,I382)</x:f>
        <x:v>7.279999999999999</x:v>
      </x:c>
      <x:c r="K382" s="22" t="n">
        <x:v>0</x:v>
      </x:c>
      <x:c r="L382" s="22" t="n">
        <x:v>0</x:v>
      </x:c>
      <x:c r="M382" s="37" t="n">
        <x:f>K382*L382</x:f>
        <x:v>0</x:v>
      </x:c>
      <x:c r="N382" s="22" t="n">
        <x:v>0</x:v>
      </x:c>
      <x:c r="O382" s="37" t="n">
        <x:f>36</x:f>
        <x:v>36</x:v>
      </x:c>
      <x:c r="P382" s="37" t="n">
        <x:f>IF(AND(N382&gt;0,N382&lt;=O382),1,0)</x:f>
        <x:v>0</x:v>
      </x:c>
      <x:c r="Q382" s="22" t="n">
        <x:v>0</x:v>
      </x:c>
      <x:c r="R382" s="37" t="n">
        <x:f>IF(AND(P382=1,Q382=1),MIN(F382,M382,R381),0)</x:f>
        <x:v>0</x:v>
      </x:c>
      <x:c r="S382" s="23" t="str">
        <x:f>IF(R382&gt;=F382,"ADMITTED","NOT ADMITTED")</x:f>
        <x:v>NOT ADMITTED</x:v>
      </x:c>
    </x:row>
    <x:row r="383">
      <x:c r="B383" s="21" t="str">
        <x:v>SL-0377</x:v>
      </x:c>
      <x:c r="C383" s="21" t="str">
        <x:v>F32</x:v>
      </x:c>
      <x:c r="D383" s="21" t="n">
        <x:v>5</x:v>
      </x:c>
      <x:c r="E383" s="21" t="str">
        <x:v>Supplier and process activation</x:v>
      </x:c>
      <x:c r="F383" s="37" t="n">
        <x:f>'Family Register'!L38</x:f>
        <x:v>8</x:v>
      </x:c>
      <x:c r="G383" s="37" t="n">
        <x:f>MIN(INDEX(Scenarios!$E$7:$E$12,Assumptions!C7),INDEX(Scenarios!$F$7:$F$12,Assumptions!C7))</x:f>
        <x:v>0.7</x:v>
      </x:c>
      <x:c r="H383" s="37" t="n">
        <x:f>'Family Register'!G38*'Family Register'!I38*G383</x:f>
        <x:v>7.279999999999999</x:v>
      </x:c>
      <x:c r="I383" s="37" t="n">
        <x:f>J382</x:f>
        <x:v>7.279999999999999</x:v>
      </x:c>
      <x:c r="J383" s="37" t="n">
        <x:f>MIN(F383,H383,I383)</x:f>
        <x:v>7.279999999999999</x:v>
      </x:c>
      <x:c r="K383" s="22" t="n">
        <x:v>0</x:v>
      </x:c>
      <x:c r="L383" s="22" t="n">
        <x:v>0</x:v>
      </x:c>
      <x:c r="M383" s="37" t="n">
        <x:f>K383*L383</x:f>
        <x:v>0</x:v>
      </x:c>
      <x:c r="N383" s="22" t="n">
        <x:v>0</x:v>
      </x:c>
      <x:c r="O383" s="37" t="n">
        <x:f>48</x:f>
        <x:v>48</x:v>
      </x:c>
      <x:c r="P383" s="37" t="n">
        <x:f>IF(AND(N383&gt;0,N383&lt;=O383),1,0)</x:f>
        <x:v>0</x:v>
      </x:c>
      <x:c r="Q383" s="22" t="n">
        <x:v>0</x:v>
      </x:c>
      <x:c r="R383" s="37" t="n">
        <x:f>IF(AND(P383=1,Q383=1),MIN(F383,M383,R382),0)</x:f>
        <x:v>0</x:v>
      </x:c>
      <x:c r="S383" s="23" t="str">
        <x:f>IF(R383&gt;=F383,"ADMITTED","NOT ADMITTED")</x:f>
        <x:v>NOT ADMITTED</x:v>
      </x:c>
    </x:row>
    <x:row r="384">
      <x:c r="B384" s="21" t="str">
        <x:v>SL-0378</x:v>
      </x:c>
      <x:c r="C384" s="21" t="str">
        <x:v>F32</x:v>
      </x:c>
      <x:c r="D384" s="21" t="n">
        <x:v>6</x:v>
      </x:c>
      <x:c r="E384" s="21" t="str">
        <x:v>Conforming production</x:v>
      </x:c>
      <x:c r="F384" s="37" t="n">
        <x:f>'Family Register'!L38</x:f>
        <x:v>8</x:v>
      </x:c>
      <x:c r="G384" s="37" t="n">
        <x:f>INDEX(Scenarios!$F$7:$F$12,Assumptions!C7)</x:f>
        <x:v>0.7</x:v>
      </x:c>
      <x:c r="H384" s="37" t="n">
        <x:f>'Family Register'!G38*'Family Register'!I38*G384</x:f>
        <x:v>7.279999999999999</x:v>
      </x:c>
      <x:c r="I384" s="37" t="n">
        <x:f>J383</x:f>
        <x:v>7.279999999999999</x:v>
      </x:c>
      <x:c r="J384" s="37" t="n">
        <x:f>MIN(F384,H384,I384)</x:f>
        <x:v>7.279999999999999</x:v>
      </x:c>
      <x:c r="K384" s="22" t="n">
        <x:v>0</x:v>
      </x:c>
      <x:c r="L384" s="22" t="n">
        <x:v>0</x:v>
      </x:c>
      <x:c r="M384" s="37" t="n">
        <x:f>K384*L384</x:f>
        <x:v>0</x:v>
      </x:c>
      <x:c r="N384" s="22" t="n">
        <x:v>0</x:v>
      </x:c>
      <x:c r="O384" s="37" t="n">
        <x:f>'Family Register'!H38*0.55</x:f>
        <x:v>792.0000000000001</x:v>
      </x:c>
      <x:c r="P384" s="37" t="n">
        <x:f>IF(AND(N384&gt;0,N384&lt;=O384),1,0)</x:f>
        <x:v>0</x:v>
      </x:c>
      <x:c r="Q384" s="22" t="n">
        <x:v>0</x:v>
      </x:c>
      <x:c r="R384" s="37" t="n">
        <x:f>IF(AND(P384=1,Q384=1),MIN(F384,M384,R383),0)</x:f>
        <x:v>0</x:v>
      </x:c>
      <x:c r="S384" s="23" t="str">
        <x:f>IF(R384&gt;=F384,"ADMITTED","NOT ADMITTED")</x:f>
        <x:v>NOT ADMITTED</x:v>
      </x:c>
    </x:row>
    <x:row r="385">
      <x:c r="B385" s="21" t="str">
        <x:v>SL-0379</x:v>
      </x:c>
      <x:c r="C385" s="21" t="str">
        <x:v>F32</x:v>
      </x:c>
      <x:c r="D385" s="21" t="n">
        <x:v>7</x:v>
      </x:c>
      <x:c r="E385" s="21" t="str">
        <x:v>Independent acceptance</x:v>
      </x:c>
      <x:c r="F385" s="37" t="n">
        <x:f>'Family Register'!L38</x:f>
        <x:v>8</x:v>
      </x:c>
      <x:c r="G385" s="37" t="n">
        <x:f>INDEX(Scenarios!$L$7:$L$12,Assumptions!C7)</x:f>
        <x:v>0.8</x:v>
      </x:c>
      <x:c r="H385" s="37" t="n">
        <x:f>'Family Register'!G38*'Family Register'!I38*G385</x:f>
        <x:v>8.32</x:v>
      </x:c>
      <x:c r="I385" s="37" t="n">
        <x:f>J384</x:f>
        <x:v>7.279999999999999</x:v>
      </x:c>
      <x:c r="J385" s="37" t="n">
        <x:f>MIN(F385,H385,I385)</x:f>
        <x:v>7.279999999999999</x:v>
      </x:c>
      <x:c r="K385" s="22" t="n">
        <x:v>0</x:v>
      </x:c>
      <x:c r="L385" s="22" t="n">
        <x:v>0</x:v>
      </x:c>
      <x:c r="M385" s="37" t="n">
        <x:f>K385*L385</x:f>
        <x:v>0</x:v>
      </x:c>
      <x:c r="N385" s="22" t="n">
        <x:v>0</x:v>
      </x:c>
      <x:c r="O385" s="37" t="n">
        <x:f>'Family Register'!H38*0.65</x:f>
        <x:v>936</x:v>
      </x:c>
      <x:c r="P385" s="37" t="n">
        <x:f>IF(AND(N385&gt;0,N385&lt;=O385),1,0)</x:f>
        <x:v>0</x:v>
      </x:c>
      <x:c r="Q385" s="22" t="n">
        <x:v>0</x:v>
      </x:c>
      <x:c r="R385" s="37" t="n">
        <x:f>IF(AND(P385=1,Q385=1),MIN(F385,M385,R384),0)</x:f>
        <x:v>0</x:v>
      </x:c>
      <x:c r="S385" s="23" t="str">
        <x:f>IF(R385&gt;=F385,"ADMITTED","NOT ADMITTED")</x:f>
        <x:v>NOT ADMITTED</x:v>
      </x:c>
    </x:row>
    <x:row r="386">
      <x:c r="B386" s="21" t="str">
        <x:v>SL-0380</x:v>
      </x:c>
      <x:c r="C386" s="21" t="str">
        <x:v>F32</x:v>
      </x:c>
      <x:c r="D386" s="21" t="n">
        <x:v>8</x:v>
      </x:c>
      <x:c r="E386" s="21" t="str">
        <x:v>Loadout and custody transfer</x:v>
      </x:c>
      <x:c r="F386" s="37" t="n">
        <x:f>'Family Register'!L38</x:f>
        <x:v>8</x:v>
      </x:c>
      <x:c r="G386" s="37" t="n">
        <x:f>INDEX(Scenarios!$H$7:$H$12,Assumptions!C7)</x:f>
        <x:v>0.65</x:v>
      </x:c>
      <x:c r="H386" s="37" t="n">
        <x:f>'Family Register'!G38*'Family Register'!I38*G386</x:f>
        <x:v>6.760000000000001</x:v>
      </x:c>
      <x:c r="I386" s="37" t="n">
        <x:f>J385</x:f>
        <x:v>7.279999999999999</x:v>
      </x:c>
      <x:c r="J386" s="37" t="n">
        <x:f>MIN(F386,H386,I386)</x:f>
        <x:v>6.760000000000001</x:v>
      </x:c>
      <x:c r="K386" s="22" t="n">
        <x:v>0</x:v>
      </x:c>
      <x:c r="L386" s="22" t="n">
        <x:v>0</x:v>
      </x:c>
      <x:c r="M386" s="37" t="n">
        <x:f>K386*L386</x:f>
        <x:v>0</x:v>
      </x:c>
      <x:c r="N386" s="22" t="n">
        <x:v>0</x:v>
      </x:c>
      <x:c r="O386" s="37" t="n">
        <x:f>'Family Register'!H38*0.7</x:f>
        <x:v>1007.9999999999999</x:v>
      </x:c>
      <x:c r="P386" s="37" t="n">
        <x:f>IF(AND(N386&gt;0,N386&lt;=O386),1,0)</x:f>
        <x:v>0</x:v>
      </x:c>
      <x:c r="Q386" s="22" t="n">
        <x:v>0</x:v>
      </x:c>
      <x:c r="R386" s="37" t="n">
        <x:f>IF(AND(P386=1,Q386=1),MIN(F386,M386,R385),0)</x:f>
        <x:v>0</x:v>
      </x:c>
      <x:c r="S386" s="23" t="str">
        <x:f>IF(R386&gt;=F386,"ADMITTED","NOT ADMITTED")</x:f>
        <x:v>NOT ADMITTED</x:v>
      </x:c>
    </x:row>
    <x:row r="387">
      <x:c r="B387" s="21" t="str">
        <x:v>SL-0381</x:v>
      </x:c>
      <x:c r="C387" s="21" t="str">
        <x:v>F32</x:v>
      </x:c>
      <x:c r="D387" s="21" t="n">
        <x:v>9</x:v>
      </x:c>
      <x:c r="E387" s="21" t="str">
        <x:v>Strategic transport</x:v>
      </x:c>
      <x:c r="F387" s="37" t="n">
        <x:f>'Family Register'!L38</x:f>
        <x:v>8</x:v>
      </x:c>
      <x:c r="G387" s="37" t="n">
        <x:f>INDEX(Scenarios!$H$7:$H$12,Assumptions!C7)</x:f>
        <x:v>0.65</x:v>
      </x:c>
      <x:c r="H387" s="37" t="n">
        <x:f>'Family Register'!G38*'Family Register'!I38*G387</x:f>
        <x:v>6.760000000000001</x:v>
      </x:c>
      <x:c r="I387" s="37" t="n">
        <x:f>J386</x:f>
        <x:v>6.760000000000001</x:v>
      </x:c>
      <x:c r="J387" s="37" t="n">
        <x:f>MIN(F387,H387,I387)</x:f>
        <x:v>6.760000000000001</x:v>
      </x:c>
      <x:c r="K387" s="22" t="n">
        <x:v>0</x:v>
      </x:c>
      <x:c r="L387" s="22" t="n">
        <x:v>0</x:v>
      </x:c>
      <x:c r="M387" s="37" t="n">
        <x:f>K387*L387</x:f>
        <x:v>0</x:v>
      </x:c>
      <x:c r="N387" s="22" t="n">
        <x:v>0</x:v>
      </x:c>
      <x:c r="O387" s="37" t="n">
        <x:f>'Family Register'!H38*0.9</x:f>
        <x:v>1296</x:v>
      </x:c>
      <x:c r="P387" s="37" t="n">
        <x:f>IF(AND(N387&gt;0,N387&lt;=O387),1,0)</x:f>
        <x:v>0</x:v>
      </x:c>
      <x:c r="Q387" s="22" t="n">
        <x:v>0</x:v>
      </x:c>
      <x:c r="R387" s="37" t="n">
        <x:f>IF(AND(P387=1,Q387=1),MIN(F387,M387,R386),0)</x:f>
        <x:v>0</x:v>
      </x:c>
      <x:c r="S387" s="23" t="str">
        <x:f>IF(R387&gt;=F387,"ADMITTED","NOT ADMITTED")</x:f>
        <x:v>NOT ADMITTED</x:v>
      </x:c>
    </x:row>
    <x:row r="388">
      <x:c r="B388" s="21" t="str">
        <x:v>SL-0382</x:v>
      </x:c>
      <x:c r="C388" s="21" t="str">
        <x:v>F32</x:v>
      </x:c>
      <x:c r="D388" s="21" t="n">
        <x:v>10</x:v>
      </x:c>
      <x:c r="E388" s="21" t="str">
        <x:v>Receiving-node admission</x:v>
      </x:c>
      <x:c r="F388" s="37" t="n">
        <x:f>'Family Register'!L38</x:f>
        <x:v>8</x:v>
      </x:c>
      <x:c r="G388" s="37" t="n">
        <x:f>INDEX(Scenarios!$I$7:$I$12,Assumptions!C7)</x:f>
        <x:v>0.75</x:v>
      </x:c>
      <x:c r="H388" s="37" t="n">
        <x:f>'Family Register'!G38*'Family Register'!I38*G388</x:f>
        <x:v>7.800000000000001</x:v>
      </x:c>
      <x:c r="I388" s="37" t="n">
        <x:f>J387</x:f>
        <x:v>6.760000000000001</x:v>
      </x:c>
      <x:c r="J388" s="37" t="n">
        <x:f>MIN(F388,H388,I388)</x:f>
        <x:v>6.760000000000001</x:v>
      </x:c>
      <x:c r="K388" s="22" t="n">
        <x:v>0</x:v>
      </x:c>
      <x:c r="L388" s="22" t="n">
        <x:v>0</x:v>
      </x:c>
      <x:c r="M388" s="37" t="n">
        <x:f>K388*L388</x:f>
        <x:v>0</x:v>
      </x:c>
      <x:c r="N388" s="22" t="n">
        <x:v>0</x:v>
      </x:c>
      <x:c r="O388" s="37" t="n">
        <x:f>'Family Register'!H38*0.94</x:f>
        <x:v>1353.6</x:v>
      </x:c>
      <x:c r="P388" s="37" t="n">
        <x:f>IF(AND(N388&gt;0,N388&lt;=O388),1,0)</x:f>
        <x:v>0</x:v>
      </x:c>
      <x:c r="Q388" s="22" t="n">
        <x:v>0</x:v>
      </x:c>
      <x:c r="R388" s="37" t="n">
        <x:f>IF(AND(P388=1,Q388=1),MIN(F388,M388,R387),0)</x:f>
        <x:v>0</x:v>
      </x:c>
      <x:c r="S388" s="23" t="str">
        <x:f>IF(R388&gt;=F388,"ADMITTED","NOT ADMITTED")</x:f>
        <x:v>NOT ADMITTED</x:v>
      </x:c>
    </x:row>
    <x:row r="389">
      <x:c r="B389" s="21" t="str">
        <x:v>SL-0383</x:v>
      </x:c>
      <x:c r="C389" s="21" t="str">
        <x:v>F32</x:v>
      </x:c>
      <x:c r="D389" s="21" t="n">
        <x:v>11</x:v>
      </x:c>
      <x:c r="E389" s="21" t="str">
        <x:v>Commissioned public service</x:v>
      </x:c>
      <x:c r="F389" s="37" t="n">
        <x:f>'Family Register'!L38</x:f>
        <x:v>8</x:v>
      </x:c>
      <x:c r="G389" s="37" t="n">
        <x:f>MIN(INDEX(Scenarios!$G$7:$G$12,Assumptions!C7),INDEX(Scenarios!$I$7:$I$12,Assumptions!C7))</x:f>
        <x:v>0.7</x:v>
      </x:c>
      <x:c r="H389" s="37" t="n">
        <x:f>'Family Register'!G38*'Family Register'!I38*G389</x:f>
        <x:v>7.279999999999999</x:v>
      </x:c>
      <x:c r="I389" s="37" t="n">
        <x:f>J388</x:f>
        <x:v>6.760000000000001</x:v>
      </x:c>
      <x:c r="J389" s="37" t="n">
        <x:f>MIN(F389,H389,I389)</x:f>
        <x:v>6.760000000000001</x:v>
      </x:c>
      <x:c r="K389" s="22" t="n">
        <x:v>0</x:v>
      </x:c>
      <x:c r="L389" s="22" t="n">
        <x:v>0</x:v>
      </x:c>
      <x:c r="M389" s="37" t="n">
        <x:f>K389*L389</x:f>
        <x:v>0</x:v>
      </x:c>
      <x:c r="N389" s="22" t="n">
        <x:v>0</x:v>
      </x:c>
      <x:c r="O389" s="37" t="n">
        <x:f>'Family Register'!H38*1</x:f>
        <x:v>1440</x:v>
      </x:c>
      <x:c r="P389" s="37" t="n">
        <x:f>IF(AND(N389&gt;0,N389&lt;=O389),1,0)</x:f>
        <x:v>0</x:v>
      </x:c>
      <x:c r="Q389" s="22" t="n">
        <x:v>0</x:v>
      </x:c>
      <x:c r="R389" s="37" t="n">
        <x:f>IF(AND(P389=1,Q389=1),MIN(F389,M389,R388),0)</x:f>
        <x:v>0</x:v>
      </x:c>
      <x:c r="S389" s="23" t="str">
        <x:f>IF(R389&gt;=F389,"ADMITTED","NOT ADMITTED")</x:f>
        <x:v>NOT ADMITTED</x:v>
      </x:c>
    </x:row>
    <x:row r="390">
      <x:c r="B390" s="21" t="str">
        <x:v>SL-0384</x:v>
      </x:c>
      <x:c r="C390" s="21" t="str">
        <x:v>F32</x:v>
      </x:c>
      <x:c r="D390" s="21" t="n">
        <x:v>12</x:v>
      </x:c>
      <x:c r="E390" s="21" t="str">
        <x:v>Regeneration and replacement</x:v>
      </x:c>
      <x:c r="F390" s="37" t="n">
        <x:f>'Family Register'!L38</x:f>
        <x:v>8</x:v>
      </x:c>
      <x:c r="G390" s="37" t="n">
        <x:f>MIN(INDEX(Scenarios!$E$7:$E$12,Assumptions!C7),INDEX(Scenarios!$F$7:$F$12,Assumptions!C7))</x:f>
        <x:v>0.7</x:v>
      </x:c>
      <x:c r="H390" s="37" t="n">
        <x:f>'Family Register'!G38*'Family Register'!I38*G390</x:f>
        <x:v>7.279999999999999</x:v>
      </x:c>
      <x:c r="I390" s="37" t="n">
        <x:f>J389</x:f>
        <x:v>6.760000000000001</x:v>
      </x:c>
      <x:c r="J390" s="37" t="n">
        <x:f>MIN(F390,H390,I390)</x:f>
        <x:v>6.760000000000001</x:v>
      </x:c>
      <x:c r="K390" s="22" t="n">
        <x:v>0</x:v>
      </x:c>
      <x:c r="L390" s="22" t="n">
        <x:v>0</x:v>
      </x:c>
      <x:c r="M390" s="37" t="n">
        <x:f>K390*L390</x:f>
        <x:v>0</x:v>
      </x:c>
      <x:c r="N390" s="22" t="n">
        <x:v>0</x:v>
      </x:c>
      <x:c r="O390" s="37" t="n">
        <x:f>'Family Register'!H38+168</x:f>
        <x:v>1608</x:v>
      </x:c>
      <x:c r="P390" s="37" t="n">
        <x:f>IF(AND(N390&gt;0,N390&lt;=O390),1,0)</x:f>
        <x:v>0</x:v>
      </x:c>
      <x:c r="Q390" s="22" t="n">
        <x:v>0</x:v>
      </x:c>
      <x:c r="R390" s="37" t="n">
        <x:f>IF(AND(P390=1,Q390=1),MIN(F390,M390,R389),0)</x:f>
        <x:v>0</x:v>
      </x:c>
      <x:c r="S390" s="23" t="str">
        <x:f>IF(R390&gt;=F390,"ADMITTED","NOT ADMITTED")</x:f>
        <x:v>NOT ADMITTED</x:v>
      </x:c>
    </x:row>
    <x:row r="391">
      <x:c r="B391" s="21" t="str">
        <x:v>SL-0385</x:v>
      </x:c>
      <x:c r="C391" s="21" t="str">
        <x:v>F33</x:v>
      </x:c>
      <x:c r="D391" s="21" t="n">
        <x:v>1</x:v>
      </x:c>
      <x:c r="E391" s="21" t="str">
        <x:v>Alert authentication</x:v>
      </x:c>
      <x:c r="F391" s="37" t="n">
        <x:f>'Family Register'!L39</x:f>
        <x:v>8</x:v>
      </x:c>
      <x:c r="G391" s="37" t="n">
        <x:f>INDEX(Scenarios!$K$7:$K$12,Assumptions!C7)</x:f>
        <x:v>0.75</x:v>
      </x:c>
      <x:c r="H391" s="37" t="n">
        <x:f>'Family Register'!G39*'Family Register'!I39*G391</x:f>
        <x:v>7.199999999999999</x:v>
      </x:c>
      <x:c r="I391" s="37" t="n">
        <x:f>F391</x:f>
        <x:v>8</x:v>
      </x:c>
      <x:c r="J391" s="37" t="n">
        <x:f>MIN(F391,H391,I391)</x:f>
        <x:v>7.199999999999999</x:v>
      </x:c>
      <x:c r="K391" s="22" t="n">
        <x:v>0</x:v>
      </x:c>
      <x:c r="L391" s="22" t="n">
        <x:v>0</x:v>
      </x:c>
      <x:c r="M391" s="37" t="n">
        <x:f>K391*L391</x:f>
        <x:v>0</x:v>
      </x:c>
      <x:c r="N391" s="22" t="n">
        <x:v>0</x:v>
      </x:c>
      <x:c r="O391" s="37" t="n">
        <x:f>2</x:f>
        <x:v>2</x:v>
      </x:c>
      <x:c r="P391" s="37" t="n">
        <x:f>IF(AND(N391&gt;0,N391&lt;=O391),1,0)</x:f>
        <x:v>0</x:v>
      </x:c>
      <x:c r="Q391" s="22" t="n">
        <x:v>0</x:v>
      </x:c>
      <x:c r="R391" s="37" t="n">
        <x:f>IF(AND(P391=1,Q391=1),MIN(F391,M391),0)</x:f>
        <x:v>0</x:v>
      </x:c>
      <x:c r="S391" s="23" t="str">
        <x:f>IF(R391&gt;=F391,"ADMITTED","NOT ADMITTED")</x:f>
        <x:v>NOT ADMITTED</x:v>
      </x:c>
    </x:row>
    <x:row r="392">
      <x:c r="B392" s="21" t="str">
        <x:v>SL-0386</x:v>
      </x:c>
      <x:c r="C392" s="21" t="str">
        <x:v>F33</x:v>
      </x:c>
      <x:c r="D392" s="21" t="n">
        <x:v>2</x:v>
      </x:c>
      <x:c r="E392" s="21" t="str">
        <x:v>Workforce muster</x:v>
      </x:c>
      <x:c r="F392" s="37" t="n">
        <x:f>'Family Register'!L39</x:f>
        <x:v>8</x:v>
      </x:c>
      <x:c r="G392" s="37" t="n">
        <x:f>INDEX(Scenarios!$J$7:$J$12,Assumptions!C7)</x:f>
        <x:v>0.8</x:v>
      </x:c>
      <x:c r="H392" s="37" t="n">
        <x:f>'Family Register'!G39*'Family Register'!I39*G392</x:f>
        <x:v>7.68</x:v>
      </x:c>
      <x:c r="I392" s="37" t="n">
        <x:f>J391</x:f>
        <x:v>7.199999999999999</x:v>
      </x:c>
      <x:c r="J392" s="37" t="n">
        <x:f>MIN(F392,H392,I392)</x:f>
        <x:v>7.199999999999999</x:v>
      </x:c>
      <x:c r="K392" s="22" t="n">
        <x:v>0</x:v>
      </x:c>
      <x:c r="L392" s="22" t="n">
        <x:v>0</x:v>
      </x:c>
      <x:c r="M392" s="37" t="n">
        <x:f>K392*L392</x:f>
        <x:v>0</x:v>
      </x:c>
      <x:c r="N392" s="22" t="n">
        <x:v>0</x:v>
      </x:c>
      <x:c r="O392" s="37" t="n">
        <x:f>12</x:f>
        <x:v>12</x:v>
      </x:c>
      <x:c r="P392" s="37" t="n">
        <x:f>IF(AND(N392&gt;0,N392&lt;=O392),1,0)</x:f>
        <x:v>0</x:v>
      </x:c>
      <x:c r="Q392" s="22" t="n">
        <x:v>0</x:v>
      </x:c>
      <x:c r="R392" s="37" t="n">
        <x:f>IF(AND(P392=1,Q392=1),MIN(F392,M392,R391),0)</x:f>
        <x:v>0</x:v>
      </x:c>
      <x:c r="S392" s="23" t="str">
        <x:f>IF(R392&gt;=F392,"ADMITTED","NOT ADMITTED")</x:f>
        <x:v>NOT ADMITTED</x:v>
      </x:c>
    </x:row>
    <x:row r="393">
      <x:c r="B393" s="21" t="str">
        <x:v>SL-0387</x:v>
      </x:c>
      <x:c r="C393" s="21" t="str">
        <x:v>F33</x:v>
      </x:c>
      <x:c r="D393" s="21" t="n">
        <x:v>3</x:v>
      </x:c>
      <x:c r="E393" s="21" t="str">
        <x:v>Facility utility and safe start</x:v>
      </x:c>
      <x:c r="F393" s="37" t="n">
        <x:f>'Family Register'!L39</x:f>
        <x:v>8</x:v>
      </x:c>
      <x:c r="G393" s="37" t="n">
        <x:f>INDEX(Scenarios!$G$7:$G$12,Assumptions!C7)</x:f>
        <x:v>0.7</x:v>
      </x:c>
      <x:c r="H393" s="37" t="n">
        <x:f>'Family Register'!G39*'Family Register'!I39*G393</x:f>
        <x:v>6.72</x:v>
      </x:c>
      <x:c r="I393" s="37" t="n">
        <x:f>J392</x:f>
        <x:v>7.199999999999999</x:v>
      </x:c>
      <x:c r="J393" s="37" t="n">
        <x:f>MIN(F393,H393,I393)</x:f>
        <x:v>6.72</x:v>
      </x:c>
      <x:c r="K393" s="22" t="n">
        <x:v>0</x:v>
      </x:c>
      <x:c r="L393" s="22" t="n">
        <x:v>0</x:v>
      </x:c>
      <x:c r="M393" s="37" t="n">
        <x:f>K393*L393</x:f>
        <x:v>0</x:v>
      </x:c>
      <x:c r="N393" s="22" t="n">
        <x:v>0</x:v>
      </x:c>
      <x:c r="O393" s="37" t="n">
        <x:f>24</x:f>
        <x:v>24</x:v>
      </x:c>
      <x:c r="P393" s="37" t="n">
        <x:f>IF(AND(N393&gt;0,N393&lt;=O393),1,0)</x:f>
        <x:v>0</x:v>
      </x:c>
      <x:c r="Q393" s="22" t="n">
        <x:v>0</x:v>
      </x:c>
      <x:c r="R393" s="37" t="n">
        <x:f>IF(AND(P393=1,Q393=1),MIN(F393,M393,R392),0)</x:f>
        <x:v>0</x:v>
      </x:c>
      <x:c r="S393" s="23" t="str">
        <x:f>IF(R393&gt;=F393,"ADMITTED","NOT ADMITTED")</x:f>
        <x:v>NOT ADMITTED</x:v>
      </x:c>
    </x:row>
    <x:row r="394">
      <x:c r="B394" s="21" t="str">
        <x:v>SL-0388</x:v>
      </x:c>
      <x:c r="C394" s="21" t="str">
        <x:v>F33</x:v>
      </x:c>
      <x:c r="D394" s="21" t="n">
        <x:v>4</x:v>
      </x:c>
      <x:c r="E394" s="21" t="str">
        <x:v>Material tooling and instrument release</x:v>
      </x:c>
      <x:c r="F394" s="37" t="n">
        <x:f>'Family Register'!L39</x:f>
        <x:v>8</x:v>
      </x:c>
      <x:c r="G394" s="37" t="n">
        <x:f>INDEX(Scenarios!$E$7:$E$12,Assumptions!C7)</x:f>
        <x:v>0.75</x:v>
      </x:c>
      <x:c r="H394" s="37" t="n">
        <x:f>'Family Register'!G39*'Family Register'!I39*G394</x:f>
        <x:v>7.199999999999999</x:v>
      </x:c>
      <x:c r="I394" s="37" t="n">
        <x:f>J393</x:f>
        <x:v>6.72</x:v>
      </x:c>
      <x:c r="J394" s="37" t="n">
        <x:f>MIN(F394,H394,I394)</x:f>
        <x:v>6.72</x:v>
      </x:c>
      <x:c r="K394" s="22" t="n">
        <x:v>0</x:v>
      </x:c>
      <x:c r="L394" s="22" t="n">
        <x:v>0</x:v>
      </x:c>
      <x:c r="M394" s="37" t="n">
        <x:f>K394*L394</x:f>
        <x:v>0</x:v>
      </x:c>
      <x:c r="N394" s="22" t="n">
        <x:v>0</x:v>
      </x:c>
      <x:c r="O394" s="37" t="n">
        <x:f>36</x:f>
        <x:v>36</x:v>
      </x:c>
      <x:c r="P394" s="37" t="n">
        <x:f>IF(AND(N394&gt;0,N394&lt;=O394),1,0)</x:f>
        <x:v>0</x:v>
      </x:c>
      <x:c r="Q394" s="22" t="n">
        <x:v>0</x:v>
      </x:c>
      <x:c r="R394" s="37" t="n">
        <x:f>IF(AND(P394=1,Q394=1),MIN(F394,M394,R393),0)</x:f>
        <x:v>0</x:v>
      </x:c>
      <x:c r="S394" s="23" t="str">
        <x:f>IF(R394&gt;=F394,"ADMITTED","NOT ADMITTED")</x:f>
        <x:v>NOT ADMITTED</x:v>
      </x:c>
    </x:row>
    <x:row r="395">
      <x:c r="B395" s="21" t="str">
        <x:v>SL-0389</x:v>
      </x:c>
      <x:c r="C395" s="21" t="str">
        <x:v>F33</x:v>
      </x:c>
      <x:c r="D395" s="21" t="n">
        <x:v>5</x:v>
      </x:c>
      <x:c r="E395" s="21" t="str">
        <x:v>Supplier and process activation</x:v>
      </x:c>
      <x:c r="F395" s="37" t="n">
        <x:f>'Family Register'!L39</x:f>
        <x:v>8</x:v>
      </x:c>
      <x:c r="G395" s="37" t="n">
        <x:f>MIN(INDEX(Scenarios!$E$7:$E$12,Assumptions!C7),INDEX(Scenarios!$F$7:$F$12,Assumptions!C7))</x:f>
        <x:v>0.7</x:v>
      </x:c>
      <x:c r="H395" s="37" t="n">
        <x:f>'Family Register'!G39*'Family Register'!I39*G395</x:f>
        <x:v>6.72</x:v>
      </x:c>
      <x:c r="I395" s="37" t="n">
        <x:f>J394</x:f>
        <x:v>6.72</x:v>
      </x:c>
      <x:c r="J395" s="37" t="n">
        <x:f>MIN(F395,H395,I395)</x:f>
        <x:v>6.72</x:v>
      </x:c>
      <x:c r="K395" s="22" t="n">
        <x:v>0</x:v>
      </x:c>
      <x:c r="L395" s="22" t="n">
        <x:v>0</x:v>
      </x:c>
      <x:c r="M395" s="37" t="n">
        <x:f>K395*L395</x:f>
        <x:v>0</x:v>
      </x:c>
      <x:c r="N395" s="22" t="n">
        <x:v>0</x:v>
      </x:c>
      <x:c r="O395" s="37" t="n">
        <x:f>48</x:f>
        <x:v>48</x:v>
      </x:c>
      <x:c r="P395" s="37" t="n">
        <x:f>IF(AND(N395&gt;0,N395&lt;=O395),1,0)</x:f>
        <x:v>0</x:v>
      </x:c>
      <x:c r="Q395" s="22" t="n">
        <x:v>0</x:v>
      </x:c>
      <x:c r="R395" s="37" t="n">
        <x:f>IF(AND(P395=1,Q395=1),MIN(F395,M395,R394),0)</x:f>
        <x:v>0</x:v>
      </x:c>
      <x:c r="S395" s="23" t="str">
        <x:f>IF(R395&gt;=F395,"ADMITTED","NOT ADMITTED")</x:f>
        <x:v>NOT ADMITTED</x:v>
      </x:c>
    </x:row>
    <x:row r="396">
      <x:c r="B396" s="21" t="str">
        <x:v>SL-0390</x:v>
      </x:c>
      <x:c r="C396" s="21" t="str">
        <x:v>F33</x:v>
      </x:c>
      <x:c r="D396" s="21" t="n">
        <x:v>6</x:v>
      </x:c>
      <x:c r="E396" s="21" t="str">
        <x:v>Conforming production</x:v>
      </x:c>
      <x:c r="F396" s="37" t="n">
        <x:f>'Family Register'!L39</x:f>
        <x:v>8</x:v>
      </x:c>
      <x:c r="G396" s="37" t="n">
        <x:f>INDEX(Scenarios!$F$7:$F$12,Assumptions!C7)</x:f>
        <x:v>0.7</x:v>
      </x:c>
      <x:c r="H396" s="37" t="n">
        <x:f>'Family Register'!G39*'Family Register'!I39*G396</x:f>
        <x:v>6.72</x:v>
      </x:c>
      <x:c r="I396" s="37" t="n">
        <x:f>J395</x:f>
        <x:v>6.72</x:v>
      </x:c>
      <x:c r="J396" s="37" t="n">
        <x:f>MIN(F396,H396,I396)</x:f>
        <x:v>6.72</x:v>
      </x:c>
      <x:c r="K396" s="22" t="n">
        <x:v>0</x:v>
      </x:c>
      <x:c r="L396" s="22" t="n">
        <x:v>0</x:v>
      </x:c>
      <x:c r="M396" s="37" t="n">
        <x:f>K396*L396</x:f>
        <x:v>0</x:v>
      </x:c>
      <x:c r="N396" s="22" t="n">
        <x:v>0</x:v>
      </x:c>
      <x:c r="O396" s="37" t="n">
        <x:f>'Family Register'!H39*0.55</x:f>
        <x:v>1188</x:v>
      </x:c>
      <x:c r="P396" s="37" t="n">
        <x:f>IF(AND(N396&gt;0,N396&lt;=O396),1,0)</x:f>
        <x:v>0</x:v>
      </x:c>
      <x:c r="Q396" s="22" t="n">
        <x:v>0</x:v>
      </x:c>
      <x:c r="R396" s="37" t="n">
        <x:f>IF(AND(P396=1,Q396=1),MIN(F396,M396,R395),0)</x:f>
        <x:v>0</x:v>
      </x:c>
      <x:c r="S396" s="23" t="str">
        <x:f>IF(R396&gt;=F396,"ADMITTED","NOT ADMITTED")</x:f>
        <x:v>NOT ADMITTED</x:v>
      </x:c>
    </x:row>
    <x:row r="397">
      <x:c r="B397" s="21" t="str">
        <x:v>SL-0391</x:v>
      </x:c>
      <x:c r="C397" s="21" t="str">
        <x:v>F33</x:v>
      </x:c>
      <x:c r="D397" s="21" t="n">
        <x:v>7</x:v>
      </x:c>
      <x:c r="E397" s="21" t="str">
        <x:v>Independent acceptance</x:v>
      </x:c>
      <x:c r="F397" s="37" t="n">
        <x:f>'Family Register'!L39</x:f>
        <x:v>8</x:v>
      </x:c>
      <x:c r="G397" s="37" t="n">
        <x:f>INDEX(Scenarios!$L$7:$L$12,Assumptions!C7)</x:f>
        <x:v>0.8</x:v>
      </x:c>
      <x:c r="H397" s="37" t="n">
        <x:f>'Family Register'!G39*'Family Register'!I39*G397</x:f>
        <x:v>7.68</x:v>
      </x:c>
      <x:c r="I397" s="37" t="n">
        <x:f>J396</x:f>
        <x:v>6.72</x:v>
      </x:c>
      <x:c r="J397" s="37" t="n">
        <x:f>MIN(F397,H397,I397)</x:f>
        <x:v>6.72</x:v>
      </x:c>
      <x:c r="K397" s="22" t="n">
        <x:v>0</x:v>
      </x:c>
      <x:c r="L397" s="22" t="n">
        <x:v>0</x:v>
      </x:c>
      <x:c r="M397" s="37" t="n">
        <x:f>K397*L397</x:f>
        <x:v>0</x:v>
      </x:c>
      <x:c r="N397" s="22" t="n">
        <x:v>0</x:v>
      </x:c>
      <x:c r="O397" s="37" t="n">
        <x:f>'Family Register'!H39*0.65</x:f>
        <x:v>1404</x:v>
      </x:c>
      <x:c r="P397" s="37" t="n">
        <x:f>IF(AND(N397&gt;0,N397&lt;=O397),1,0)</x:f>
        <x:v>0</x:v>
      </x:c>
      <x:c r="Q397" s="22" t="n">
        <x:v>0</x:v>
      </x:c>
      <x:c r="R397" s="37" t="n">
        <x:f>IF(AND(P397=1,Q397=1),MIN(F397,M397,R396),0)</x:f>
        <x:v>0</x:v>
      </x:c>
      <x:c r="S397" s="23" t="str">
        <x:f>IF(R397&gt;=F397,"ADMITTED","NOT ADMITTED")</x:f>
        <x:v>NOT ADMITTED</x:v>
      </x:c>
    </x:row>
    <x:row r="398">
      <x:c r="B398" s="21" t="str">
        <x:v>SL-0392</x:v>
      </x:c>
      <x:c r="C398" s="21" t="str">
        <x:v>F33</x:v>
      </x:c>
      <x:c r="D398" s="21" t="n">
        <x:v>8</x:v>
      </x:c>
      <x:c r="E398" s="21" t="str">
        <x:v>Loadout and custody transfer</x:v>
      </x:c>
      <x:c r="F398" s="37" t="n">
        <x:f>'Family Register'!L39</x:f>
        <x:v>8</x:v>
      </x:c>
      <x:c r="G398" s="37" t="n">
        <x:f>INDEX(Scenarios!$H$7:$H$12,Assumptions!C7)</x:f>
        <x:v>0.65</x:v>
      </x:c>
      <x:c r="H398" s="37" t="n">
        <x:f>'Family Register'!G39*'Family Register'!I39*G398</x:f>
        <x:v>6.24</x:v>
      </x:c>
      <x:c r="I398" s="37" t="n">
        <x:f>J397</x:f>
        <x:v>6.72</x:v>
      </x:c>
      <x:c r="J398" s="37" t="n">
        <x:f>MIN(F398,H398,I398)</x:f>
        <x:v>6.24</x:v>
      </x:c>
      <x:c r="K398" s="22" t="n">
        <x:v>0</x:v>
      </x:c>
      <x:c r="L398" s="22" t="n">
        <x:v>0</x:v>
      </x:c>
      <x:c r="M398" s="37" t="n">
        <x:f>K398*L398</x:f>
        <x:v>0</x:v>
      </x:c>
      <x:c r="N398" s="22" t="n">
        <x:v>0</x:v>
      </x:c>
      <x:c r="O398" s="37" t="n">
        <x:f>'Family Register'!H39*0.7</x:f>
        <x:v>1512</x:v>
      </x:c>
      <x:c r="P398" s="37" t="n">
        <x:f>IF(AND(N398&gt;0,N398&lt;=O398),1,0)</x:f>
        <x:v>0</x:v>
      </x:c>
      <x:c r="Q398" s="22" t="n">
        <x:v>0</x:v>
      </x:c>
      <x:c r="R398" s="37" t="n">
        <x:f>IF(AND(P398=1,Q398=1),MIN(F398,M398,R397),0)</x:f>
        <x:v>0</x:v>
      </x:c>
      <x:c r="S398" s="23" t="str">
        <x:f>IF(R398&gt;=F398,"ADMITTED","NOT ADMITTED")</x:f>
        <x:v>NOT ADMITTED</x:v>
      </x:c>
    </x:row>
    <x:row r="399">
      <x:c r="B399" s="21" t="str">
        <x:v>SL-0393</x:v>
      </x:c>
      <x:c r="C399" s="21" t="str">
        <x:v>F33</x:v>
      </x:c>
      <x:c r="D399" s="21" t="n">
        <x:v>9</x:v>
      </x:c>
      <x:c r="E399" s="21" t="str">
        <x:v>Strategic transport</x:v>
      </x:c>
      <x:c r="F399" s="37" t="n">
        <x:f>'Family Register'!L39</x:f>
        <x:v>8</x:v>
      </x:c>
      <x:c r="G399" s="37" t="n">
        <x:f>INDEX(Scenarios!$H$7:$H$12,Assumptions!C7)</x:f>
        <x:v>0.65</x:v>
      </x:c>
      <x:c r="H399" s="37" t="n">
        <x:f>'Family Register'!G39*'Family Register'!I39*G399</x:f>
        <x:v>6.24</x:v>
      </x:c>
      <x:c r="I399" s="37" t="n">
        <x:f>J398</x:f>
        <x:v>6.24</x:v>
      </x:c>
      <x:c r="J399" s="37" t="n">
        <x:f>MIN(F399,H399,I399)</x:f>
        <x:v>6.24</x:v>
      </x:c>
      <x:c r="K399" s="22" t="n">
        <x:v>0</x:v>
      </x:c>
      <x:c r="L399" s="22" t="n">
        <x:v>0</x:v>
      </x:c>
      <x:c r="M399" s="37" t="n">
        <x:f>K399*L399</x:f>
        <x:v>0</x:v>
      </x:c>
      <x:c r="N399" s="22" t="n">
        <x:v>0</x:v>
      </x:c>
      <x:c r="O399" s="37" t="n">
        <x:f>'Family Register'!H39*0.9</x:f>
        <x:v>1944</x:v>
      </x:c>
      <x:c r="P399" s="37" t="n">
        <x:f>IF(AND(N399&gt;0,N399&lt;=O399),1,0)</x:f>
        <x:v>0</x:v>
      </x:c>
      <x:c r="Q399" s="22" t="n">
        <x:v>0</x:v>
      </x:c>
      <x:c r="R399" s="37" t="n">
        <x:f>IF(AND(P399=1,Q399=1),MIN(F399,M399,R398),0)</x:f>
        <x:v>0</x:v>
      </x:c>
      <x:c r="S399" s="23" t="str">
        <x:f>IF(R399&gt;=F399,"ADMITTED","NOT ADMITTED")</x:f>
        <x:v>NOT ADMITTED</x:v>
      </x:c>
    </x:row>
    <x:row r="400">
      <x:c r="B400" s="21" t="str">
        <x:v>SL-0394</x:v>
      </x:c>
      <x:c r="C400" s="21" t="str">
        <x:v>F33</x:v>
      </x:c>
      <x:c r="D400" s="21" t="n">
        <x:v>10</x:v>
      </x:c>
      <x:c r="E400" s="21" t="str">
        <x:v>Receiving-node admission</x:v>
      </x:c>
      <x:c r="F400" s="37" t="n">
        <x:f>'Family Register'!L39</x:f>
        <x:v>8</x:v>
      </x:c>
      <x:c r="G400" s="37" t="n">
        <x:f>INDEX(Scenarios!$I$7:$I$12,Assumptions!C7)</x:f>
        <x:v>0.75</x:v>
      </x:c>
      <x:c r="H400" s="37" t="n">
        <x:f>'Family Register'!G39*'Family Register'!I39*G400</x:f>
        <x:v>7.199999999999999</x:v>
      </x:c>
      <x:c r="I400" s="37" t="n">
        <x:f>J399</x:f>
        <x:v>6.24</x:v>
      </x:c>
      <x:c r="J400" s="37" t="n">
        <x:f>MIN(F400,H400,I400)</x:f>
        <x:v>6.24</x:v>
      </x:c>
      <x:c r="K400" s="22" t="n">
        <x:v>0</x:v>
      </x:c>
      <x:c r="L400" s="22" t="n">
        <x:v>0</x:v>
      </x:c>
      <x:c r="M400" s="37" t="n">
        <x:f>K400*L400</x:f>
        <x:v>0</x:v>
      </x:c>
      <x:c r="N400" s="22" t="n">
        <x:v>0</x:v>
      </x:c>
      <x:c r="O400" s="37" t="n">
        <x:f>'Family Register'!H39*0.94</x:f>
        <x:v>2030.3999999999999</x:v>
      </x:c>
      <x:c r="P400" s="37" t="n">
        <x:f>IF(AND(N400&gt;0,N400&lt;=O400),1,0)</x:f>
        <x:v>0</x:v>
      </x:c>
      <x:c r="Q400" s="22" t="n">
        <x:v>0</x:v>
      </x:c>
      <x:c r="R400" s="37" t="n">
        <x:f>IF(AND(P400=1,Q400=1),MIN(F400,M400,R399),0)</x:f>
        <x:v>0</x:v>
      </x:c>
      <x:c r="S400" s="23" t="str">
        <x:f>IF(R400&gt;=F400,"ADMITTED","NOT ADMITTED")</x:f>
        <x:v>NOT ADMITTED</x:v>
      </x:c>
    </x:row>
    <x:row r="401">
      <x:c r="B401" s="21" t="str">
        <x:v>SL-0395</x:v>
      </x:c>
      <x:c r="C401" s="21" t="str">
        <x:v>F33</x:v>
      </x:c>
      <x:c r="D401" s="21" t="n">
        <x:v>11</x:v>
      </x:c>
      <x:c r="E401" s="21" t="str">
        <x:v>Commissioned public service</x:v>
      </x:c>
      <x:c r="F401" s="37" t="n">
        <x:f>'Family Register'!L39</x:f>
        <x:v>8</x:v>
      </x:c>
      <x:c r="G401" s="37" t="n">
        <x:f>MIN(INDEX(Scenarios!$G$7:$G$12,Assumptions!C7),INDEX(Scenarios!$I$7:$I$12,Assumptions!C7))</x:f>
        <x:v>0.7</x:v>
      </x:c>
      <x:c r="H401" s="37" t="n">
        <x:f>'Family Register'!G39*'Family Register'!I39*G401</x:f>
        <x:v>6.72</x:v>
      </x:c>
      <x:c r="I401" s="37" t="n">
        <x:f>J400</x:f>
        <x:v>6.24</x:v>
      </x:c>
      <x:c r="J401" s="37" t="n">
        <x:f>MIN(F401,H401,I401)</x:f>
        <x:v>6.24</x:v>
      </x:c>
      <x:c r="K401" s="22" t="n">
        <x:v>0</x:v>
      </x:c>
      <x:c r="L401" s="22" t="n">
        <x:v>0</x:v>
      </x:c>
      <x:c r="M401" s="37" t="n">
        <x:f>K401*L401</x:f>
        <x:v>0</x:v>
      </x:c>
      <x:c r="N401" s="22" t="n">
        <x:v>0</x:v>
      </x:c>
      <x:c r="O401" s="37" t="n">
        <x:f>'Family Register'!H39*1</x:f>
        <x:v>2160</x:v>
      </x:c>
      <x:c r="P401" s="37" t="n">
        <x:f>IF(AND(N401&gt;0,N401&lt;=O401),1,0)</x:f>
        <x:v>0</x:v>
      </x:c>
      <x:c r="Q401" s="22" t="n">
        <x:v>0</x:v>
      </x:c>
      <x:c r="R401" s="37" t="n">
        <x:f>IF(AND(P401=1,Q401=1),MIN(F401,M401,R400),0)</x:f>
        <x:v>0</x:v>
      </x:c>
      <x:c r="S401" s="23" t="str">
        <x:f>IF(R401&gt;=F401,"ADMITTED","NOT ADMITTED")</x:f>
        <x:v>NOT ADMITTED</x:v>
      </x:c>
    </x:row>
    <x:row r="402">
      <x:c r="B402" s="21" t="str">
        <x:v>SL-0396</x:v>
      </x:c>
      <x:c r="C402" s="21" t="str">
        <x:v>F33</x:v>
      </x:c>
      <x:c r="D402" s="21" t="n">
        <x:v>12</x:v>
      </x:c>
      <x:c r="E402" s="21" t="str">
        <x:v>Regeneration and replacement</x:v>
      </x:c>
      <x:c r="F402" s="37" t="n">
        <x:f>'Family Register'!L39</x:f>
        <x:v>8</x:v>
      </x:c>
      <x:c r="G402" s="37" t="n">
        <x:f>MIN(INDEX(Scenarios!$E$7:$E$12,Assumptions!C7),INDEX(Scenarios!$F$7:$F$12,Assumptions!C7))</x:f>
        <x:v>0.7</x:v>
      </x:c>
      <x:c r="H402" s="37" t="n">
        <x:f>'Family Register'!G39*'Family Register'!I39*G402</x:f>
        <x:v>6.72</x:v>
      </x:c>
      <x:c r="I402" s="37" t="n">
        <x:f>J401</x:f>
        <x:v>6.24</x:v>
      </x:c>
      <x:c r="J402" s="37" t="n">
        <x:f>MIN(F402,H402,I402)</x:f>
        <x:v>6.24</x:v>
      </x:c>
      <x:c r="K402" s="22" t="n">
        <x:v>0</x:v>
      </x:c>
      <x:c r="L402" s="22" t="n">
        <x:v>0</x:v>
      </x:c>
      <x:c r="M402" s="37" t="n">
        <x:f>K402*L402</x:f>
        <x:v>0</x:v>
      </x:c>
      <x:c r="N402" s="22" t="n">
        <x:v>0</x:v>
      </x:c>
      <x:c r="O402" s="37" t="n">
        <x:f>'Family Register'!H39+168</x:f>
        <x:v>2328</x:v>
      </x:c>
      <x:c r="P402" s="37" t="n">
        <x:f>IF(AND(N402&gt;0,N402&lt;=O402),1,0)</x:f>
        <x:v>0</x:v>
      </x:c>
      <x:c r="Q402" s="22" t="n">
        <x:v>0</x:v>
      </x:c>
      <x:c r="R402" s="37" t="n">
        <x:f>IF(AND(P402=1,Q402=1),MIN(F402,M402,R401),0)</x:f>
        <x:v>0</x:v>
      </x:c>
      <x:c r="S402" s="23" t="str">
        <x:f>IF(R402&gt;=F402,"ADMITTED","NOT ADMITTED")</x:f>
        <x:v>NOT ADMITTED</x:v>
      </x:c>
    </x:row>
    <x:row r="403">
      <x:c r="B403" s="21" t="str">
        <x:v>SL-0397</x:v>
      </x:c>
      <x:c r="C403" s="21" t="str">
        <x:v>F34</x:v>
      </x:c>
      <x:c r="D403" s="21" t="n">
        <x:v>1</x:v>
      </x:c>
      <x:c r="E403" s="21" t="str">
        <x:v>Alert authentication</x:v>
      </x:c>
      <x:c r="F403" s="37" t="n">
        <x:f>'Family Register'!L40</x:f>
        <x:v>4</x:v>
      </x:c>
      <x:c r="G403" s="37" t="n">
        <x:f>INDEX(Scenarios!$K$7:$K$12,Assumptions!C7)</x:f>
        <x:v>0.75</x:v>
      </x:c>
      <x:c r="H403" s="37" t="n">
        <x:f>'Family Register'!G40*'Family Register'!I40*G403</x:f>
        <x:v>4.35</x:v>
      </x:c>
      <x:c r="I403" s="37" t="n">
        <x:f>F403</x:f>
        <x:v>4</x:v>
      </x:c>
      <x:c r="J403" s="37" t="n">
        <x:f>MIN(F403,H403,I403)</x:f>
        <x:v>4</x:v>
      </x:c>
      <x:c r="K403" s="22" t="n">
        <x:v>0</x:v>
      </x:c>
      <x:c r="L403" s="22" t="n">
        <x:v>0</x:v>
      </x:c>
      <x:c r="M403" s="37" t="n">
        <x:f>K403*L403</x:f>
        <x:v>0</x:v>
      </x:c>
      <x:c r="N403" s="22" t="n">
        <x:v>0</x:v>
      </x:c>
      <x:c r="O403" s="37" t="n">
        <x:f>2</x:f>
        <x:v>2</x:v>
      </x:c>
      <x:c r="P403" s="37" t="n">
        <x:f>IF(AND(N403&gt;0,N403&lt;=O403),1,0)</x:f>
        <x:v>0</x:v>
      </x:c>
      <x:c r="Q403" s="22" t="n">
        <x:v>0</x:v>
      </x:c>
      <x:c r="R403" s="37" t="n">
        <x:f>IF(AND(P403=1,Q403=1),MIN(F403,M403),0)</x:f>
        <x:v>0</x:v>
      </x:c>
      <x:c r="S403" s="23" t="str">
        <x:f>IF(R403&gt;=F403,"ADMITTED","NOT ADMITTED")</x:f>
        <x:v>NOT ADMITTED</x:v>
      </x:c>
    </x:row>
    <x:row r="404">
      <x:c r="B404" s="21" t="str">
        <x:v>SL-0398</x:v>
      </x:c>
      <x:c r="C404" s="21" t="str">
        <x:v>F34</x:v>
      </x:c>
      <x:c r="D404" s="21" t="n">
        <x:v>2</x:v>
      </x:c>
      <x:c r="E404" s="21" t="str">
        <x:v>Workforce muster</x:v>
      </x:c>
      <x:c r="F404" s="37" t="n">
        <x:f>'Family Register'!L40</x:f>
        <x:v>4</x:v>
      </x:c>
      <x:c r="G404" s="37" t="n">
        <x:f>INDEX(Scenarios!$J$7:$J$12,Assumptions!C7)</x:f>
        <x:v>0.8</x:v>
      </x:c>
      <x:c r="H404" s="37" t="n">
        <x:f>'Family Register'!G40*'Family Register'!I40*G404</x:f>
        <x:v>4.64</x:v>
      </x:c>
      <x:c r="I404" s="37" t="n">
        <x:f>J403</x:f>
        <x:v>4</x:v>
      </x:c>
      <x:c r="J404" s="37" t="n">
        <x:f>MIN(F404,H404,I404)</x:f>
        <x:v>4</x:v>
      </x:c>
      <x:c r="K404" s="22" t="n">
        <x:v>0</x:v>
      </x:c>
      <x:c r="L404" s="22" t="n">
        <x:v>0</x:v>
      </x:c>
      <x:c r="M404" s="37" t="n">
        <x:f>K404*L404</x:f>
        <x:v>0</x:v>
      </x:c>
      <x:c r="N404" s="22" t="n">
        <x:v>0</x:v>
      </x:c>
      <x:c r="O404" s="37" t="n">
        <x:f>12</x:f>
        <x:v>12</x:v>
      </x:c>
      <x:c r="P404" s="37" t="n">
        <x:f>IF(AND(N404&gt;0,N404&lt;=O404),1,0)</x:f>
        <x:v>0</x:v>
      </x:c>
      <x:c r="Q404" s="22" t="n">
        <x:v>0</x:v>
      </x:c>
      <x:c r="R404" s="37" t="n">
        <x:f>IF(AND(P404=1,Q404=1),MIN(F404,M404,R403),0)</x:f>
        <x:v>0</x:v>
      </x:c>
      <x:c r="S404" s="23" t="str">
        <x:f>IF(R404&gt;=F404,"ADMITTED","NOT ADMITTED")</x:f>
        <x:v>NOT ADMITTED</x:v>
      </x:c>
    </x:row>
    <x:row r="405">
      <x:c r="B405" s="21" t="str">
        <x:v>SL-0399</x:v>
      </x:c>
      <x:c r="C405" s="21" t="str">
        <x:v>F34</x:v>
      </x:c>
      <x:c r="D405" s="21" t="n">
        <x:v>3</x:v>
      </x:c>
      <x:c r="E405" s="21" t="str">
        <x:v>Facility utility and safe start</x:v>
      </x:c>
      <x:c r="F405" s="37" t="n">
        <x:f>'Family Register'!L40</x:f>
        <x:v>4</x:v>
      </x:c>
      <x:c r="G405" s="37" t="n">
        <x:f>INDEX(Scenarios!$G$7:$G$12,Assumptions!C7)</x:f>
        <x:v>0.7</x:v>
      </x:c>
      <x:c r="H405" s="37" t="n">
        <x:f>'Family Register'!G40*'Family Register'!I40*G405</x:f>
        <x:v>4.06</x:v>
      </x:c>
      <x:c r="I405" s="37" t="n">
        <x:f>J404</x:f>
        <x:v>4</x:v>
      </x:c>
      <x:c r="J405" s="37" t="n">
        <x:f>MIN(F405,H405,I405)</x:f>
        <x:v>4</x:v>
      </x:c>
      <x:c r="K405" s="22" t="n">
        <x:v>0</x:v>
      </x:c>
      <x:c r="L405" s="22" t="n">
        <x:v>0</x:v>
      </x:c>
      <x:c r="M405" s="37" t="n">
        <x:f>K405*L405</x:f>
        <x:v>0</x:v>
      </x:c>
      <x:c r="N405" s="22" t="n">
        <x:v>0</x:v>
      </x:c>
      <x:c r="O405" s="37" t="n">
        <x:f>24</x:f>
        <x:v>24</x:v>
      </x:c>
      <x:c r="P405" s="37" t="n">
        <x:f>IF(AND(N405&gt;0,N405&lt;=O405),1,0)</x:f>
        <x:v>0</x:v>
      </x:c>
      <x:c r="Q405" s="22" t="n">
        <x:v>0</x:v>
      </x:c>
      <x:c r="R405" s="37" t="n">
        <x:f>IF(AND(P405=1,Q405=1),MIN(F405,M405,R404),0)</x:f>
        <x:v>0</x:v>
      </x:c>
      <x:c r="S405" s="23" t="str">
        <x:f>IF(R405&gt;=F405,"ADMITTED","NOT ADMITTED")</x:f>
        <x:v>NOT ADMITTED</x:v>
      </x:c>
    </x:row>
    <x:row r="406">
      <x:c r="B406" s="21" t="str">
        <x:v>SL-0400</x:v>
      </x:c>
      <x:c r="C406" s="21" t="str">
        <x:v>F34</x:v>
      </x:c>
      <x:c r="D406" s="21" t="n">
        <x:v>4</x:v>
      </x:c>
      <x:c r="E406" s="21" t="str">
        <x:v>Material tooling and instrument release</x:v>
      </x:c>
      <x:c r="F406" s="37" t="n">
        <x:f>'Family Register'!L40</x:f>
        <x:v>4</x:v>
      </x:c>
      <x:c r="G406" s="37" t="n">
        <x:f>INDEX(Scenarios!$E$7:$E$12,Assumptions!C7)</x:f>
        <x:v>0.75</x:v>
      </x:c>
      <x:c r="H406" s="37" t="n">
        <x:f>'Family Register'!G40*'Family Register'!I40*G406</x:f>
        <x:v>4.35</x:v>
      </x:c>
      <x:c r="I406" s="37" t="n">
        <x:f>J405</x:f>
        <x:v>4</x:v>
      </x:c>
      <x:c r="J406" s="37" t="n">
        <x:f>MIN(F406,H406,I406)</x:f>
        <x:v>4</x:v>
      </x:c>
      <x:c r="K406" s="22" t="n">
        <x:v>0</x:v>
      </x:c>
      <x:c r="L406" s="22" t="n">
        <x:v>0</x:v>
      </x:c>
      <x:c r="M406" s="37" t="n">
        <x:f>K406*L406</x:f>
        <x:v>0</x:v>
      </x:c>
      <x:c r="N406" s="22" t="n">
        <x:v>0</x:v>
      </x:c>
      <x:c r="O406" s="37" t="n">
        <x:f>36</x:f>
        <x:v>36</x:v>
      </x:c>
      <x:c r="P406" s="37" t="n">
        <x:f>IF(AND(N406&gt;0,N406&lt;=O406),1,0)</x:f>
        <x:v>0</x:v>
      </x:c>
      <x:c r="Q406" s="22" t="n">
        <x:v>0</x:v>
      </x:c>
      <x:c r="R406" s="37" t="n">
        <x:f>IF(AND(P406=1,Q406=1),MIN(F406,M406,R405),0)</x:f>
        <x:v>0</x:v>
      </x:c>
      <x:c r="S406" s="23" t="str">
        <x:f>IF(R406&gt;=F406,"ADMITTED","NOT ADMITTED")</x:f>
        <x:v>NOT ADMITTED</x:v>
      </x:c>
    </x:row>
    <x:row r="407">
      <x:c r="B407" s="21" t="str">
        <x:v>SL-0401</x:v>
      </x:c>
      <x:c r="C407" s="21" t="str">
        <x:v>F34</x:v>
      </x:c>
      <x:c r="D407" s="21" t="n">
        <x:v>5</x:v>
      </x:c>
      <x:c r="E407" s="21" t="str">
        <x:v>Supplier and process activation</x:v>
      </x:c>
      <x:c r="F407" s="37" t="n">
        <x:f>'Family Register'!L40</x:f>
        <x:v>4</x:v>
      </x:c>
      <x:c r="G407" s="37" t="n">
        <x:f>MIN(INDEX(Scenarios!$E$7:$E$12,Assumptions!C7),INDEX(Scenarios!$F$7:$F$12,Assumptions!C7))</x:f>
        <x:v>0.7</x:v>
      </x:c>
      <x:c r="H407" s="37" t="n">
        <x:f>'Family Register'!G40*'Family Register'!I40*G407</x:f>
        <x:v>4.06</x:v>
      </x:c>
      <x:c r="I407" s="37" t="n">
        <x:f>J406</x:f>
        <x:v>4</x:v>
      </x:c>
      <x:c r="J407" s="37" t="n">
        <x:f>MIN(F407,H407,I407)</x:f>
        <x:v>4</x:v>
      </x:c>
      <x:c r="K407" s="22" t="n">
        <x:v>0</x:v>
      </x:c>
      <x:c r="L407" s="22" t="n">
        <x:v>0</x:v>
      </x:c>
      <x:c r="M407" s="37" t="n">
        <x:f>K407*L407</x:f>
        <x:v>0</x:v>
      </x:c>
      <x:c r="N407" s="22" t="n">
        <x:v>0</x:v>
      </x:c>
      <x:c r="O407" s="37" t="n">
        <x:f>48</x:f>
        <x:v>48</x:v>
      </x:c>
      <x:c r="P407" s="37" t="n">
        <x:f>IF(AND(N407&gt;0,N407&lt;=O407),1,0)</x:f>
        <x:v>0</x:v>
      </x:c>
      <x:c r="Q407" s="22" t="n">
        <x:v>0</x:v>
      </x:c>
      <x:c r="R407" s="37" t="n">
        <x:f>IF(AND(P407=1,Q407=1),MIN(F407,M407,R406),0)</x:f>
        <x:v>0</x:v>
      </x:c>
      <x:c r="S407" s="23" t="str">
        <x:f>IF(R407&gt;=F407,"ADMITTED","NOT ADMITTED")</x:f>
        <x:v>NOT ADMITTED</x:v>
      </x:c>
    </x:row>
    <x:row r="408">
      <x:c r="B408" s="21" t="str">
        <x:v>SL-0402</x:v>
      </x:c>
      <x:c r="C408" s="21" t="str">
        <x:v>F34</x:v>
      </x:c>
      <x:c r="D408" s="21" t="n">
        <x:v>6</x:v>
      </x:c>
      <x:c r="E408" s="21" t="str">
        <x:v>Conforming production</x:v>
      </x:c>
      <x:c r="F408" s="37" t="n">
        <x:f>'Family Register'!L40</x:f>
        <x:v>4</x:v>
      </x:c>
      <x:c r="G408" s="37" t="n">
        <x:f>INDEX(Scenarios!$F$7:$F$12,Assumptions!C7)</x:f>
        <x:v>0.7</x:v>
      </x:c>
      <x:c r="H408" s="37" t="n">
        <x:f>'Family Register'!G40*'Family Register'!I40*G408</x:f>
        <x:v>4.06</x:v>
      </x:c>
      <x:c r="I408" s="37" t="n">
        <x:f>J407</x:f>
        <x:v>4</x:v>
      </x:c>
      <x:c r="J408" s="37" t="n">
        <x:f>MIN(F408,H408,I408)</x:f>
        <x:v>4</x:v>
      </x:c>
      <x:c r="K408" s="22" t="n">
        <x:v>0</x:v>
      </x:c>
      <x:c r="L408" s="22" t="n">
        <x:v>0</x:v>
      </x:c>
      <x:c r="M408" s="37" t="n">
        <x:f>K408*L408</x:f>
        <x:v>0</x:v>
      </x:c>
      <x:c r="N408" s="22" t="n">
        <x:v>0</x:v>
      </x:c>
      <x:c r="O408" s="37" t="n">
        <x:f>'Family Register'!H40*0.55</x:f>
        <x:v>396.00000000000006</x:v>
      </x:c>
      <x:c r="P408" s="37" t="n">
        <x:f>IF(AND(N408&gt;0,N408&lt;=O408),1,0)</x:f>
        <x:v>0</x:v>
      </x:c>
      <x:c r="Q408" s="22" t="n">
        <x:v>0</x:v>
      </x:c>
      <x:c r="R408" s="37" t="n">
        <x:f>IF(AND(P408=1,Q408=1),MIN(F408,M408,R407),0)</x:f>
        <x:v>0</x:v>
      </x:c>
      <x:c r="S408" s="23" t="str">
        <x:f>IF(R408&gt;=F408,"ADMITTED","NOT ADMITTED")</x:f>
        <x:v>NOT ADMITTED</x:v>
      </x:c>
    </x:row>
    <x:row r="409">
      <x:c r="B409" s="21" t="str">
        <x:v>SL-0403</x:v>
      </x:c>
      <x:c r="C409" s="21" t="str">
        <x:v>F34</x:v>
      </x:c>
      <x:c r="D409" s="21" t="n">
        <x:v>7</x:v>
      </x:c>
      <x:c r="E409" s="21" t="str">
        <x:v>Independent acceptance</x:v>
      </x:c>
      <x:c r="F409" s="37" t="n">
        <x:f>'Family Register'!L40</x:f>
        <x:v>4</x:v>
      </x:c>
      <x:c r="G409" s="37" t="n">
        <x:f>INDEX(Scenarios!$L$7:$L$12,Assumptions!C7)</x:f>
        <x:v>0.8</x:v>
      </x:c>
      <x:c r="H409" s="37" t="n">
        <x:f>'Family Register'!G40*'Family Register'!I40*G409</x:f>
        <x:v>4.64</x:v>
      </x:c>
      <x:c r="I409" s="37" t="n">
        <x:f>J408</x:f>
        <x:v>4</x:v>
      </x:c>
      <x:c r="J409" s="37" t="n">
        <x:f>MIN(F409,H409,I409)</x:f>
        <x:v>4</x:v>
      </x:c>
      <x:c r="K409" s="22" t="n">
        <x:v>0</x:v>
      </x:c>
      <x:c r="L409" s="22" t="n">
        <x:v>0</x:v>
      </x:c>
      <x:c r="M409" s="37" t="n">
        <x:f>K409*L409</x:f>
        <x:v>0</x:v>
      </x:c>
      <x:c r="N409" s="22" t="n">
        <x:v>0</x:v>
      </x:c>
      <x:c r="O409" s="37" t="n">
        <x:f>'Family Register'!H40*0.65</x:f>
        <x:v>468</x:v>
      </x:c>
      <x:c r="P409" s="37" t="n">
        <x:f>IF(AND(N409&gt;0,N409&lt;=O409),1,0)</x:f>
        <x:v>0</x:v>
      </x:c>
      <x:c r="Q409" s="22" t="n">
        <x:v>0</x:v>
      </x:c>
      <x:c r="R409" s="37" t="n">
        <x:f>IF(AND(P409=1,Q409=1),MIN(F409,M409,R408),0)</x:f>
        <x:v>0</x:v>
      </x:c>
      <x:c r="S409" s="23" t="str">
        <x:f>IF(R409&gt;=F409,"ADMITTED","NOT ADMITTED")</x:f>
        <x:v>NOT ADMITTED</x:v>
      </x:c>
    </x:row>
    <x:row r="410">
      <x:c r="B410" s="21" t="str">
        <x:v>SL-0404</x:v>
      </x:c>
      <x:c r="C410" s="21" t="str">
        <x:v>F34</x:v>
      </x:c>
      <x:c r="D410" s="21" t="n">
        <x:v>8</x:v>
      </x:c>
      <x:c r="E410" s="21" t="str">
        <x:v>Loadout and custody transfer</x:v>
      </x:c>
      <x:c r="F410" s="37" t="n">
        <x:f>'Family Register'!L40</x:f>
        <x:v>4</x:v>
      </x:c>
      <x:c r="G410" s="37" t="n">
        <x:f>INDEX(Scenarios!$H$7:$H$12,Assumptions!C7)</x:f>
        <x:v>0.65</x:v>
      </x:c>
      <x:c r="H410" s="37" t="n">
        <x:f>'Family Register'!G40*'Family Register'!I40*G410</x:f>
        <x:v>3.77</x:v>
      </x:c>
      <x:c r="I410" s="37" t="n">
        <x:f>J409</x:f>
        <x:v>4</x:v>
      </x:c>
      <x:c r="J410" s="37" t="n">
        <x:f>MIN(F410,H410,I410)</x:f>
        <x:v>3.77</x:v>
      </x:c>
      <x:c r="K410" s="22" t="n">
        <x:v>0</x:v>
      </x:c>
      <x:c r="L410" s="22" t="n">
        <x:v>0</x:v>
      </x:c>
      <x:c r="M410" s="37" t="n">
        <x:f>K410*L410</x:f>
        <x:v>0</x:v>
      </x:c>
      <x:c r="N410" s="22" t="n">
        <x:v>0</x:v>
      </x:c>
      <x:c r="O410" s="37" t="n">
        <x:f>'Family Register'!H40*0.7</x:f>
        <x:v>503.99999999999994</x:v>
      </x:c>
      <x:c r="P410" s="37" t="n">
        <x:f>IF(AND(N410&gt;0,N410&lt;=O410),1,0)</x:f>
        <x:v>0</x:v>
      </x:c>
      <x:c r="Q410" s="22" t="n">
        <x:v>0</x:v>
      </x:c>
      <x:c r="R410" s="37" t="n">
        <x:f>IF(AND(P410=1,Q410=1),MIN(F410,M410,R409),0)</x:f>
        <x:v>0</x:v>
      </x:c>
      <x:c r="S410" s="23" t="str">
        <x:f>IF(R410&gt;=F410,"ADMITTED","NOT ADMITTED")</x:f>
        <x:v>NOT ADMITTED</x:v>
      </x:c>
    </x:row>
    <x:row r="411">
      <x:c r="B411" s="21" t="str">
        <x:v>SL-0405</x:v>
      </x:c>
      <x:c r="C411" s="21" t="str">
        <x:v>F34</x:v>
      </x:c>
      <x:c r="D411" s="21" t="n">
        <x:v>9</x:v>
      </x:c>
      <x:c r="E411" s="21" t="str">
        <x:v>Strategic transport</x:v>
      </x:c>
      <x:c r="F411" s="37" t="n">
        <x:f>'Family Register'!L40</x:f>
        <x:v>4</x:v>
      </x:c>
      <x:c r="G411" s="37" t="n">
        <x:f>INDEX(Scenarios!$H$7:$H$12,Assumptions!C7)</x:f>
        <x:v>0.65</x:v>
      </x:c>
      <x:c r="H411" s="37" t="n">
        <x:f>'Family Register'!G40*'Family Register'!I40*G411</x:f>
        <x:v>3.77</x:v>
      </x:c>
      <x:c r="I411" s="37" t="n">
        <x:f>J410</x:f>
        <x:v>3.77</x:v>
      </x:c>
      <x:c r="J411" s="37" t="n">
        <x:f>MIN(F411,H411,I411)</x:f>
        <x:v>3.77</x:v>
      </x:c>
      <x:c r="K411" s="22" t="n">
        <x:v>0</x:v>
      </x:c>
      <x:c r="L411" s="22" t="n">
        <x:v>0</x:v>
      </x:c>
      <x:c r="M411" s="37" t="n">
        <x:f>K411*L411</x:f>
        <x:v>0</x:v>
      </x:c>
      <x:c r="N411" s="22" t="n">
        <x:v>0</x:v>
      </x:c>
      <x:c r="O411" s="37" t="n">
        <x:f>'Family Register'!H40*0.9</x:f>
        <x:v>648</x:v>
      </x:c>
      <x:c r="P411" s="37" t="n">
        <x:f>IF(AND(N411&gt;0,N411&lt;=O411),1,0)</x:f>
        <x:v>0</x:v>
      </x:c>
      <x:c r="Q411" s="22" t="n">
        <x:v>0</x:v>
      </x:c>
      <x:c r="R411" s="37" t="n">
        <x:f>IF(AND(P411=1,Q411=1),MIN(F411,M411,R410),0)</x:f>
        <x:v>0</x:v>
      </x:c>
      <x:c r="S411" s="23" t="str">
        <x:f>IF(R411&gt;=F411,"ADMITTED","NOT ADMITTED")</x:f>
        <x:v>NOT ADMITTED</x:v>
      </x:c>
    </x:row>
    <x:row r="412">
      <x:c r="B412" s="21" t="str">
        <x:v>SL-0406</x:v>
      </x:c>
      <x:c r="C412" s="21" t="str">
        <x:v>F34</x:v>
      </x:c>
      <x:c r="D412" s="21" t="n">
        <x:v>10</x:v>
      </x:c>
      <x:c r="E412" s="21" t="str">
        <x:v>Receiving-node admission</x:v>
      </x:c>
      <x:c r="F412" s="37" t="n">
        <x:f>'Family Register'!L40</x:f>
        <x:v>4</x:v>
      </x:c>
      <x:c r="G412" s="37" t="n">
        <x:f>INDEX(Scenarios!$I$7:$I$12,Assumptions!C7)</x:f>
        <x:v>0.75</x:v>
      </x:c>
      <x:c r="H412" s="37" t="n">
        <x:f>'Family Register'!G40*'Family Register'!I40*G412</x:f>
        <x:v>4.35</x:v>
      </x:c>
      <x:c r="I412" s="37" t="n">
        <x:f>J411</x:f>
        <x:v>3.77</x:v>
      </x:c>
      <x:c r="J412" s="37" t="n">
        <x:f>MIN(F412,H412,I412)</x:f>
        <x:v>3.77</x:v>
      </x:c>
      <x:c r="K412" s="22" t="n">
        <x:v>0</x:v>
      </x:c>
      <x:c r="L412" s="22" t="n">
        <x:v>0</x:v>
      </x:c>
      <x:c r="M412" s="37" t="n">
        <x:f>K412*L412</x:f>
        <x:v>0</x:v>
      </x:c>
      <x:c r="N412" s="22" t="n">
        <x:v>0</x:v>
      </x:c>
      <x:c r="O412" s="37" t="n">
        <x:f>'Family Register'!H40*0.94</x:f>
        <x:v>676.8</x:v>
      </x:c>
      <x:c r="P412" s="37" t="n">
        <x:f>IF(AND(N412&gt;0,N412&lt;=O412),1,0)</x:f>
        <x:v>0</x:v>
      </x:c>
      <x:c r="Q412" s="22" t="n">
        <x:v>0</x:v>
      </x:c>
      <x:c r="R412" s="37" t="n">
        <x:f>IF(AND(P412=1,Q412=1),MIN(F412,M412,R411),0)</x:f>
        <x:v>0</x:v>
      </x:c>
      <x:c r="S412" s="23" t="str">
        <x:f>IF(R412&gt;=F412,"ADMITTED","NOT ADMITTED")</x:f>
        <x:v>NOT ADMITTED</x:v>
      </x:c>
    </x:row>
    <x:row r="413">
      <x:c r="B413" s="21" t="str">
        <x:v>SL-0407</x:v>
      </x:c>
      <x:c r="C413" s="21" t="str">
        <x:v>F34</x:v>
      </x:c>
      <x:c r="D413" s="21" t="n">
        <x:v>11</x:v>
      </x:c>
      <x:c r="E413" s="21" t="str">
        <x:v>Commissioned public service</x:v>
      </x:c>
      <x:c r="F413" s="37" t="n">
        <x:f>'Family Register'!L40</x:f>
        <x:v>4</x:v>
      </x:c>
      <x:c r="G413" s="37" t="n">
        <x:f>MIN(INDEX(Scenarios!$G$7:$G$12,Assumptions!C7),INDEX(Scenarios!$I$7:$I$12,Assumptions!C7))</x:f>
        <x:v>0.7</x:v>
      </x:c>
      <x:c r="H413" s="37" t="n">
        <x:f>'Family Register'!G40*'Family Register'!I40*G413</x:f>
        <x:v>4.06</x:v>
      </x:c>
      <x:c r="I413" s="37" t="n">
        <x:f>J412</x:f>
        <x:v>3.77</x:v>
      </x:c>
      <x:c r="J413" s="37" t="n">
        <x:f>MIN(F413,H413,I413)</x:f>
        <x:v>3.77</x:v>
      </x:c>
      <x:c r="K413" s="22" t="n">
        <x:v>0</x:v>
      </x:c>
      <x:c r="L413" s="22" t="n">
        <x:v>0</x:v>
      </x:c>
      <x:c r="M413" s="37" t="n">
        <x:f>K413*L413</x:f>
        <x:v>0</x:v>
      </x:c>
      <x:c r="N413" s="22" t="n">
        <x:v>0</x:v>
      </x:c>
      <x:c r="O413" s="37" t="n">
        <x:f>'Family Register'!H40*1</x:f>
        <x:v>720</x:v>
      </x:c>
      <x:c r="P413" s="37" t="n">
        <x:f>IF(AND(N413&gt;0,N413&lt;=O413),1,0)</x:f>
        <x:v>0</x:v>
      </x:c>
      <x:c r="Q413" s="22" t="n">
        <x:v>0</x:v>
      </x:c>
      <x:c r="R413" s="37" t="n">
        <x:f>IF(AND(P413=1,Q413=1),MIN(F413,M413,R412),0)</x:f>
        <x:v>0</x:v>
      </x:c>
      <x:c r="S413" s="23" t="str">
        <x:f>IF(R413&gt;=F413,"ADMITTED","NOT ADMITTED")</x:f>
        <x:v>NOT ADMITTED</x:v>
      </x:c>
    </x:row>
    <x:row r="414">
      <x:c r="B414" s="21" t="str">
        <x:v>SL-0408</x:v>
      </x:c>
      <x:c r="C414" s="21" t="str">
        <x:v>F34</x:v>
      </x:c>
      <x:c r="D414" s="21" t="n">
        <x:v>12</x:v>
      </x:c>
      <x:c r="E414" s="21" t="str">
        <x:v>Regeneration and replacement</x:v>
      </x:c>
      <x:c r="F414" s="37" t="n">
        <x:f>'Family Register'!L40</x:f>
        <x:v>4</x:v>
      </x:c>
      <x:c r="G414" s="37" t="n">
        <x:f>MIN(INDEX(Scenarios!$E$7:$E$12,Assumptions!C7),INDEX(Scenarios!$F$7:$F$12,Assumptions!C7))</x:f>
        <x:v>0.7</x:v>
      </x:c>
      <x:c r="H414" s="37" t="n">
        <x:f>'Family Register'!G40*'Family Register'!I40*G414</x:f>
        <x:v>4.06</x:v>
      </x:c>
      <x:c r="I414" s="37" t="n">
        <x:f>J413</x:f>
        <x:v>3.77</x:v>
      </x:c>
      <x:c r="J414" s="37" t="n">
        <x:f>MIN(F414,H414,I414)</x:f>
        <x:v>3.77</x:v>
      </x:c>
      <x:c r="K414" s="22" t="n">
        <x:v>0</x:v>
      </x:c>
      <x:c r="L414" s="22" t="n">
        <x:v>0</x:v>
      </x:c>
      <x:c r="M414" s="37" t="n">
        <x:f>K414*L414</x:f>
        <x:v>0</x:v>
      </x:c>
      <x:c r="N414" s="22" t="n">
        <x:v>0</x:v>
      </x:c>
      <x:c r="O414" s="37" t="n">
        <x:f>'Family Register'!H40+168</x:f>
        <x:v>888</x:v>
      </x:c>
      <x:c r="P414" s="37" t="n">
        <x:f>IF(AND(N414&gt;0,N414&lt;=O414),1,0)</x:f>
        <x:v>0</x:v>
      </x:c>
      <x:c r="Q414" s="22" t="n">
        <x:v>0</x:v>
      </x:c>
      <x:c r="R414" s="37" t="n">
        <x:f>IF(AND(P414=1,Q414=1),MIN(F414,M414,R413),0)</x:f>
        <x:v>0</x:v>
      </x:c>
      <x:c r="S414" s="23" t="str">
        <x:f>IF(R414&gt;=F414,"ADMITTED","NOT ADMITTED")</x:f>
        <x:v>NOT ADMITTED</x:v>
      </x:c>
    </x:row>
    <x:row r="415">
      <x:c r="B415" s="21" t="str">
        <x:v>SL-0409</x:v>
      </x:c>
      <x:c r="C415" s="21" t="str">
        <x:v>F35</x:v>
      </x:c>
      <x:c r="D415" s="21" t="n">
        <x:v>1</x:v>
      </x:c>
      <x:c r="E415" s="21" t="str">
        <x:v>Alert authentication</x:v>
      </x:c>
      <x:c r="F415" s="37" t="n">
        <x:f>'Family Register'!L41</x:f>
        <x:v>4</x:v>
      </x:c>
      <x:c r="G415" s="37" t="n">
        <x:f>INDEX(Scenarios!$K$7:$K$12,Assumptions!C7)</x:f>
        <x:v>0.75</x:v>
      </x:c>
      <x:c r="H415" s="37" t="n">
        <x:f>'Family Register'!G41*'Family Register'!I41*G415</x:f>
        <x:v>3.9000000000000004</x:v>
      </x:c>
      <x:c r="I415" s="37" t="n">
        <x:f>F415</x:f>
        <x:v>4</x:v>
      </x:c>
      <x:c r="J415" s="37" t="n">
        <x:f>MIN(F415,H415,I415)</x:f>
        <x:v>3.9000000000000004</x:v>
      </x:c>
      <x:c r="K415" s="22" t="n">
        <x:v>0</x:v>
      </x:c>
      <x:c r="L415" s="22" t="n">
        <x:v>0</x:v>
      </x:c>
      <x:c r="M415" s="37" t="n">
        <x:f>K415*L415</x:f>
        <x:v>0</x:v>
      </x:c>
      <x:c r="N415" s="22" t="n">
        <x:v>0</x:v>
      </x:c>
      <x:c r="O415" s="37" t="n">
        <x:f>2</x:f>
        <x:v>2</x:v>
      </x:c>
      <x:c r="P415" s="37" t="n">
        <x:f>IF(AND(N415&gt;0,N415&lt;=O415),1,0)</x:f>
        <x:v>0</x:v>
      </x:c>
      <x:c r="Q415" s="22" t="n">
        <x:v>0</x:v>
      </x:c>
      <x:c r="R415" s="37" t="n">
        <x:f>IF(AND(P415=1,Q415=1),MIN(F415,M415),0)</x:f>
        <x:v>0</x:v>
      </x:c>
      <x:c r="S415" s="23" t="str">
        <x:f>IF(R415&gt;=F415,"ADMITTED","NOT ADMITTED")</x:f>
        <x:v>NOT ADMITTED</x:v>
      </x:c>
    </x:row>
    <x:row r="416">
      <x:c r="B416" s="21" t="str">
        <x:v>SL-0410</x:v>
      </x:c>
      <x:c r="C416" s="21" t="str">
        <x:v>F35</x:v>
      </x:c>
      <x:c r="D416" s="21" t="n">
        <x:v>2</x:v>
      </x:c>
      <x:c r="E416" s="21" t="str">
        <x:v>Workforce muster</x:v>
      </x:c>
      <x:c r="F416" s="37" t="n">
        <x:f>'Family Register'!L41</x:f>
        <x:v>4</x:v>
      </x:c>
      <x:c r="G416" s="37" t="n">
        <x:f>INDEX(Scenarios!$J$7:$J$12,Assumptions!C7)</x:f>
        <x:v>0.8</x:v>
      </x:c>
      <x:c r="H416" s="37" t="n">
        <x:f>'Family Register'!G41*'Family Register'!I41*G416</x:f>
        <x:v>4.16</x:v>
      </x:c>
      <x:c r="I416" s="37" t="n">
        <x:f>J415</x:f>
        <x:v>3.9000000000000004</x:v>
      </x:c>
      <x:c r="J416" s="37" t="n">
        <x:f>MIN(F416,H416,I416)</x:f>
        <x:v>3.9000000000000004</x:v>
      </x:c>
      <x:c r="K416" s="22" t="n">
        <x:v>0</x:v>
      </x:c>
      <x:c r="L416" s="22" t="n">
        <x:v>0</x:v>
      </x:c>
      <x:c r="M416" s="37" t="n">
        <x:f>K416*L416</x:f>
        <x:v>0</x:v>
      </x:c>
      <x:c r="N416" s="22" t="n">
        <x:v>0</x:v>
      </x:c>
      <x:c r="O416" s="37" t="n">
        <x:f>12</x:f>
        <x:v>12</x:v>
      </x:c>
      <x:c r="P416" s="37" t="n">
        <x:f>IF(AND(N416&gt;0,N416&lt;=O416),1,0)</x:f>
        <x:v>0</x:v>
      </x:c>
      <x:c r="Q416" s="22" t="n">
        <x:v>0</x:v>
      </x:c>
      <x:c r="R416" s="37" t="n">
        <x:f>IF(AND(P416=1,Q416=1),MIN(F416,M416,R415),0)</x:f>
        <x:v>0</x:v>
      </x:c>
      <x:c r="S416" s="23" t="str">
        <x:f>IF(R416&gt;=F416,"ADMITTED","NOT ADMITTED")</x:f>
        <x:v>NOT ADMITTED</x:v>
      </x:c>
    </x:row>
    <x:row r="417">
      <x:c r="B417" s="21" t="str">
        <x:v>SL-0411</x:v>
      </x:c>
      <x:c r="C417" s="21" t="str">
        <x:v>F35</x:v>
      </x:c>
      <x:c r="D417" s="21" t="n">
        <x:v>3</x:v>
      </x:c>
      <x:c r="E417" s="21" t="str">
        <x:v>Facility utility and safe start</x:v>
      </x:c>
      <x:c r="F417" s="37" t="n">
        <x:f>'Family Register'!L41</x:f>
        <x:v>4</x:v>
      </x:c>
      <x:c r="G417" s="37" t="n">
        <x:f>INDEX(Scenarios!$G$7:$G$12,Assumptions!C7)</x:f>
        <x:v>0.7</x:v>
      </x:c>
      <x:c r="H417" s="37" t="n">
        <x:f>'Family Register'!G41*'Family Register'!I41*G417</x:f>
        <x:v>3.6399999999999997</x:v>
      </x:c>
      <x:c r="I417" s="37" t="n">
        <x:f>J416</x:f>
        <x:v>3.9000000000000004</x:v>
      </x:c>
      <x:c r="J417" s="37" t="n">
        <x:f>MIN(F417,H417,I417)</x:f>
        <x:v>3.6399999999999997</x:v>
      </x:c>
      <x:c r="K417" s="22" t="n">
        <x:v>0</x:v>
      </x:c>
      <x:c r="L417" s="22" t="n">
        <x:v>0</x:v>
      </x:c>
      <x:c r="M417" s="37" t="n">
        <x:f>K417*L417</x:f>
        <x:v>0</x:v>
      </x:c>
      <x:c r="N417" s="22" t="n">
        <x:v>0</x:v>
      </x:c>
      <x:c r="O417" s="37" t="n">
        <x:f>24</x:f>
        <x:v>24</x:v>
      </x:c>
      <x:c r="P417" s="37" t="n">
        <x:f>IF(AND(N417&gt;0,N417&lt;=O417),1,0)</x:f>
        <x:v>0</x:v>
      </x:c>
      <x:c r="Q417" s="22" t="n">
        <x:v>0</x:v>
      </x:c>
      <x:c r="R417" s="37" t="n">
        <x:f>IF(AND(P417=1,Q417=1),MIN(F417,M417,R416),0)</x:f>
        <x:v>0</x:v>
      </x:c>
      <x:c r="S417" s="23" t="str">
        <x:f>IF(R417&gt;=F417,"ADMITTED","NOT ADMITTED")</x:f>
        <x:v>NOT ADMITTED</x:v>
      </x:c>
    </x:row>
    <x:row r="418">
      <x:c r="B418" s="21" t="str">
        <x:v>SL-0412</x:v>
      </x:c>
      <x:c r="C418" s="21" t="str">
        <x:v>F35</x:v>
      </x:c>
      <x:c r="D418" s="21" t="n">
        <x:v>4</x:v>
      </x:c>
      <x:c r="E418" s="21" t="str">
        <x:v>Material tooling and instrument release</x:v>
      </x:c>
      <x:c r="F418" s="37" t="n">
        <x:f>'Family Register'!L41</x:f>
        <x:v>4</x:v>
      </x:c>
      <x:c r="G418" s="37" t="n">
        <x:f>INDEX(Scenarios!$E$7:$E$12,Assumptions!C7)</x:f>
        <x:v>0.75</x:v>
      </x:c>
      <x:c r="H418" s="37" t="n">
        <x:f>'Family Register'!G41*'Family Register'!I41*G418</x:f>
        <x:v>3.9000000000000004</x:v>
      </x:c>
      <x:c r="I418" s="37" t="n">
        <x:f>J417</x:f>
        <x:v>3.6399999999999997</x:v>
      </x:c>
      <x:c r="J418" s="37" t="n">
        <x:f>MIN(F418,H418,I418)</x:f>
        <x:v>3.6399999999999997</x:v>
      </x:c>
      <x:c r="K418" s="22" t="n">
        <x:v>0</x:v>
      </x:c>
      <x:c r="L418" s="22" t="n">
        <x:v>0</x:v>
      </x:c>
      <x:c r="M418" s="37" t="n">
        <x:f>K418*L418</x:f>
        <x:v>0</x:v>
      </x:c>
      <x:c r="N418" s="22" t="n">
        <x:v>0</x:v>
      </x:c>
      <x:c r="O418" s="37" t="n">
        <x:f>36</x:f>
        <x:v>36</x:v>
      </x:c>
      <x:c r="P418" s="37" t="n">
        <x:f>IF(AND(N418&gt;0,N418&lt;=O418),1,0)</x:f>
        <x:v>0</x:v>
      </x:c>
      <x:c r="Q418" s="22" t="n">
        <x:v>0</x:v>
      </x:c>
      <x:c r="R418" s="37" t="n">
        <x:f>IF(AND(P418=1,Q418=1),MIN(F418,M418,R417),0)</x:f>
        <x:v>0</x:v>
      </x:c>
      <x:c r="S418" s="23" t="str">
        <x:f>IF(R418&gt;=F418,"ADMITTED","NOT ADMITTED")</x:f>
        <x:v>NOT ADMITTED</x:v>
      </x:c>
    </x:row>
    <x:row r="419">
      <x:c r="B419" s="21" t="str">
        <x:v>SL-0413</x:v>
      </x:c>
      <x:c r="C419" s="21" t="str">
        <x:v>F35</x:v>
      </x:c>
      <x:c r="D419" s="21" t="n">
        <x:v>5</x:v>
      </x:c>
      <x:c r="E419" s="21" t="str">
        <x:v>Supplier and process activation</x:v>
      </x:c>
      <x:c r="F419" s="37" t="n">
        <x:f>'Family Register'!L41</x:f>
        <x:v>4</x:v>
      </x:c>
      <x:c r="G419" s="37" t="n">
        <x:f>MIN(INDEX(Scenarios!$E$7:$E$12,Assumptions!C7),INDEX(Scenarios!$F$7:$F$12,Assumptions!C7))</x:f>
        <x:v>0.7</x:v>
      </x:c>
      <x:c r="H419" s="37" t="n">
        <x:f>'Family Register'!G41*'Family Register'!I41*G419</x:f>
        <x:v>3.6399999999999997</x:v>
      </x:c>
      <x:c r="I419" s="37" t="n">
        <x:f>J418</x:f>
        <x:v>3.6399999999999997</x:v>
      </x:c>
      <x:c r="J419" s="37" t="n">
        <x:f>MIN(F419,H419,I419)</x:f>
        <x:v>3.6399999999999997</x:v>
      </x:c>
      <x:c r="K419" s="22" t="n">
        <x:v>0</x:v>
      </x:c>
      <x:c r="L419" s="22" t="n">
        <x:v>0</x:v>
      </x:c>
      <x:c r="M419" s="37" t="n">
        <x:f>K419*L419</x:f>
        <x:v>0</x:v>
      </x:c>
      <x:c r="N419" s="22" t="n">
        <x:v>0</x:v>
      </x:c>
      <x:c r="O419" s="37" t="n">
        <x:f>48</x:f>
        <x:v>48</x:v>
      </x:c>
      <x:c r="P419" s="37" t="n">
        <x:f>IF(AND(N419&gt;0,N419&lt;=O419),1,0)</x:f>
        <x:v>0</x:v>
      </x:c>
      <x:c r="Q419" s="22" t="n">
        <x:v>0</x:v>
      </x:c>
      <x:c r="R419" s="37" t="n">
        <x:f>IF(AND(P419=1,Q419=1),MIN(F419,M419,R418),0)</x:f>
        <x:v>0</x:v>
      </x:c>
      <x:c r="S419" s="23" t="str">
        <x:f>IF(R419&gt;=F419,"ADMITTED","NOT ADMITTED")</x:f>
        <x:v>NOT ADMITTED</x:v>
      </x:c>
    </x:row>
    <x:row r="420">
      <x:c r="B420" s="21" t="str">
        <x:v>SL-0414</x:v>
      </x:c>
      <x:c r="C420" s="21" t="str">
        <x:v>F35</x:v>
      </x:c>
      <x:c r="D420" s="21" t="n">
        <x:v>6</x:v>
      </x:c>
      <x:c r="E420" s="21" t="str">
        <x:v>Conforming production</x:v>
      </x:c>
      <x:c r="F420" s="37" t="n">
        <x:f>'Family Register'!L41</x:f>
        <x:v>4</x:v>
      </x:c>
      <x:c r="G420" s="37" t="n">
        <x:f>INDEX(Scenarios!$F$7:$F$12,Assumptions!C7)</x:f>
        <x:v>0.7</x:v>
      </x:c>
      <x:c r="H420" s="37" t="n">
        <x:f>'Family Register'!G41*'Family Register'!I41*G420</x:f>
        <x:v>3.6399999999999997</x:v>
      </x:c>
      <x:c r="I420" s="37" t="n">
        <x:f>J419</x:f>
        <x:v>3.6399999999999997</x:v>
      </x:c>
      <x:c r="J420" s="37" t="n">
        <x:f>MIN(F420,H420,I420)</x:f>
        <x:v>3.6399999999999997</x:v>
      </x:c>
      <x:c r="K420" s="22" t="n">
        <x:v>0</x:v>
      </x:c>
      <x:c r="L420" s="22" t="n">
        <x:v>0</x:v>
      </x:c>
      <x:c r="M420" s="37" t="n">
        <x:f>K420*L420</x:f>
        <x:v>0</x:v>
      </x:c>
      <x:c r="N420" s="22" t="n">
        <x:v>0</x:v>
      </x:c>
      <x:c r="O420" s="37" t="n">
        <x:f>'Family Register'!H41*0.55</x:f>
        <x:v>792.0000000000001</x:v>
      </x:c>
      <x:c r="P420" s="37" t="n">
        <x:f>IF(AND(N420&gt;0,N420&lt;=O420),1,0)</x:f>
        <x:v>0</x:v>
      </x:c>
      <x:c r="Q420" s="22" t="n">
        <x:v>0</x:v>
      </x:c>
      <x:c r="R420" s="37" t="n">
        <x:f>IF(AND(P420=1,Q420=1),MIN(F420,M420,R419),0)</x:f>
        <x:v>0</x:v>
      </x:c>
      <x:c r="S420" s="23" t="str">
        <x:f>IF(R420&gt;=F420,"ADMITTED","NOT ADMITTED")</x:f>
        <x:v>NOT ADMITTED</x:v>
      </x:c>
    </x:row>
    <x:row r="421">
      <x:c r="B421" s="21" t="str">
        <x:v>SL-0415</x:v>
      </x:c>
      <x:c r="C421" s="21" t="str">
        <x:v>F35</x:v>
      </x:c>
      <x:c r="D421" s="21" t="n">
        <x:v>7</x:v>
      </x:c>
      <x:c r="E421" s="21" t="str">
        <x:v>Independent acceptance</x:v>
      </x:c>
      <x:c r="F421" s="37" t="n">
        <x:f>'Family Register'!L41</x:f>
        <x:v>4</x:v>
      </x:c>
      <x:c r="G421" s="37" t="n">
        <x:f>INDEX(Scenarios!$L$7:$L$12,Assumptions!C7)</x:f>
        <x:v>0.8</x:v>
      </x:c>
      <x:c r="H421" s="37" t="n">
        <x:f>'Family Register'!G41*'Family Register'!I41*G421</x:f>
        <x:v>4.16</x:v>
      </x:c>
      <x:c r="I421" s="37" t="n">
        <x:f>J420</x:f>
        <x:v>3.6399999999999997</x:v>
      </x:c>
      <x:c r="J421" s="37" t="n">
        <x:f>MIN(F421,H421,I421)</x:f>
        <x:v>3.6399999999999997</x:v>
      </x:c>
      <x:c r="K421" s="22" t="n">
        <x:v>0</x:v>
      </x:c>
      <x:c r="L421" s="22" t="n">
        <x:v>0</x:v>
      </x:c>
      <x:c r="M421" s="37" t="n">
        <x:f>K421*L421</x:f>
        <x:v>0</x:v>
      </x:c>
      <x:c r="N421" s="22" t="n">
        <x:v>0</x:v>
      </x:c>
      <x:c r="O421" s="37" t="n">
        <x:f>'Family Register'!H41*0.65</x:f>
        <x:v>936</x:v>
      </x:c>
      <x:c r="P421" s="37" t="n">
        <x:f>IF(AND(N421&gt;0,N421&lt;=O421),1,0)</x:f>
        <x:v>0</x:v>
      </x:c>
      <x:c r="Q421" s="22" t="n">
        <x:v>0</x:v>
      </x:c>
      <x:c r="R421" s="37" t="n">
        <x:f>IF(AND(P421=1,Q421=1),MIN(F421,M421,R420),0)</x:f>
        <x:v>0</x:v>
      </x:c>
      <x:c r="S421" s="23" t="str">
        <x:f>IF(R421&gt;=F421,"ADMITTED","NOT ADMITTED")</x:f>
        <x:v>NOT ADMITTED</x:v>
      </x:c>
    </x:row>
    <x:row r="422">
      <x:c r="B422" s="21" t="str">
        <x:v>SL-0416</x:v>
      </x:c>
      <x:c r="C422" s="21" t="str">
        <x:v>F35</x:v>
      </x:c>
      <x:c r="D422" s="21" t="n">
        <x:v>8</x:v>
      </x:c>
      <x:c r="E422" s="21" t="str">
        <x:v>Loadout and custody transfer</x:v>
      </x:c>
      <x:c r="F422" s="37" t="n">
        <x:f>'Family Register'!L41</x:f>
        <x:v>4</x:v>
      </x:c>
      <x:c r="G422" s="37" t="n">
        <x:f>INDEX(Scenarios!$H$7:$H$12,Assumptions!C7)</x:f>
        <x:v>0.65</x:v>
      </x:c>
      <x:c r="H422" s="37" t="n">
        <x:f>'Family Register'!G41*'Family Register'!I41*G422</x:f>
        <x:v>3.3800000000000003</x:v>
      </x:c>
      <x:c r="I422" s="37" t="n">
        <x:f>J421</x:f>
        <x:v>3.6399999999999997</x:v>
      </x:c>
      <x:c r="J422" s="37" t="n">
        <x:f>MIN(F422,H422,I422)</x:f>
        <x:v>3.3800000000000003</x:v>
      </x:c>
      <x:c r="K422" s="22" t="n">
        <x:v>0</x:v>
      </x:c>
      <x:c r="L422" s="22" t="n">
        <x:v>0</x:v>
      </x:c>
      <x:c r="M422" s="37" t="n">
        <x:f>K422*L422</x:f>
        <x:v>0</x:v>
      </x:c>
      <x:c r="N422" s="22" t="n">
        <x:v>0</x:v>
      </x:c>
      <x:c r="O422" s="37" t="n">
        <x:f>'Family Register'!H41*0.7</x:f>
        <x:v>1007.9999999999999</x:v>
      </x:c>
      <x:c r="P422" s="37" t="n">
        <x:f>IF(AND(N422&gt;0,N422&lt;=O422),1,0)</x:f>
        <x:v>0</x:v>
      </x:c>
      <x:c r="Q422" s="22" t="n">
        <x:v>0</x:v>
      </x:c>
      <x:c r="R422" s="37" t="n">
        <x:f>IF(AND(P422=1,Q422=1),MIN(F422,M422,R421),0)</x:f>
        <x:v>0</x:v>
      </x:c>
      <x:c r="S422" s="23" t="str">
        <x:f>IF(R422&gt;=F422,"ADMITTED","NOT ADMITTED")</x:f>
        <x:v>NOT ADMITTED</x:v>
      </x:c>
    </x:row>
    <x:row r="423">
      <x:c r="B423" s="21" t="str">
        <x:v>SL-0417</x:v>
      </x:c>
      <x:c r="C423" s="21" t="str">
        <x:v>F35</x:v>
      </x:c>
      <x:c r="D423" s="21" t="n">
        <x:v>9</x:v>
      </x:c>
      <x:c r="E423" s="21" t="str">
        <x:v>Strategic transport</x:v>
      </x:c>
      <x:c r="F423" s="37" t="n">
        <x:f>'Family Register'!L41</x:f>
        <x:v>4</x:v>
      </x:c>
      <x:c r="G423" s="37" t="n">
        <x:f>INDEX(Scenarios!$H$7:$H$12,Assumptions!C7)</x:f>
        <x:v>0.65</x:v>
      </x:c>
      <x:c r="H423" s="37" t="n">
        <x:f>'Family Register'!G41*'Family Register'!I41*G423</x:f>
        <x:v>3.3800000000000003</x:v>
      </x:c>
      <x:c r="I423" s="37" t="n">
        <x:f>J422</x:f>
        <x:v>3.3800000000000003</x:v>
      </x:c>
      <x:c r="J423" s="37" t="n">
        <x:f>MIN(F423,H423,I423)</x:f>
        <x:v>3.3800000000000003</x:v>
      </x:c>
      <x:c r="K423" s="22" t="n">
        <x:v>0</x:v>
      </x:c>
      <x:c r="L423" s="22" t="n">
        <x:v>0</x:v>
      </x:c>
      <x:c r="M423" s="37" t="n">
        <x:f>K423*L423</x:f>
        <x:v>0</x:v>
      </x:c>
      <x:c r="N423" s="22" t="n">
        <x:v>0</x:v>
      </x:c>
      <x:c r="O423" s="37" t="n">
        <x:f>'Family Register'!H41*0.9</x:f>
        <x:v>1296</x:v>
      </x:c>
      <x:c r="P423" s="37" t="n">
        <x:f>IF(AND(N423&gt;0,N423&lt;=O423),1,0)</x:f>
        <x:v>0</x:v>
      </x:c>
      <x:c r="Q423" s="22" t="n">
        <x:v>0</x:v>
      </x:c>
      <x:c r="R423" s="37" t="n">
        <x:f>IF(AND(P423=1,Q423=1),MIN(F423,M423,R422),0)</x:f>
        <x:v>0</x:v>
      </x:c>
      <x:c r="S423" s="23" t="str">
        <x:f>IF(R423&gt;=F423,"ADMITTED","NOT ADMITTED")</x:f>
        <x:v>NOT ADMITTED</x:v>
      </x:c>
    </x:row>
    <x:row r="424">
      <x:c r="B424" s="21" t="str">
        <x:v>SL-0418</x:v>
      </x:c>
      <x:c r="C424" s="21" t="str">
        <x:v>F35</x:v>
      </x:c>
      <x:c r="D424" s="21" t="n">
        <x:v>10</x:v>
      </x:c>
      <x:c r="E424" s="21" t="str">
        <x:v>Receiving-node admission</x:v>
      </x:c>
      <x:c r="F424" s="37" t="n">
        <x:f>'Family Register'!L41</x:f>
        <x:v>4</x:v>
      </x:c>
      <x:c r="G424" s="37" t="n">
        <x:f>INDEX(Scenarios!$I$7:$I$12,Assumptions!C7)</x:f>
        <x:v>0.75</x:v>
      </x:c>
      <x:c r="H424" s="37" t="n">
        <x:f>'Family Register'!G41*'Family Register'!I41*G424</x:f>
        <x:v>3.9000000000000004</x:v>
      </x:c>
      <x:c r="I424" s="37" t="n">
        <x:f>J423</x:f>
        <x:v>3.3800000000000003</x:v>
      </x:c>
      <x:c r="J424" s="37" t="n">
        <x:f>MIN(F424,H424,I424)</x:f>
        <x:v>3.3800000000000003</x:v>
      </x:c>
      <x:c r="K424" s="22" t="n">
        <x:v>0</x:v>
      </x:c>
      <x:c r="L424" s="22" t="n">
        <x:v>0</x:v>
      </x:c>
      <x:c r="M424" s="37" t="n">
        <x:f>K424*L424</x:f>
        <x:v>0</x:v>
      </x:c>
      <x:c r="N424" s="22" t="n">
        <x:v>0</x:v>
      </x:c>
      <x:c r="O424" s="37" t="n">
        <x:f>'Family Register'!H41*0.94</x:f>
        <x:v>1353.6</x:v>
      </x:c>
      <x:c r="P424" s="37" t="n">
        <x:f>IF(AND(N424&gt;0,N424&lt;=O424),1,0)</x:f>
        <x:v>0</x:v>
      </x:c>
      <x:c r="Q424" s="22" t="n">
        <x:v>0</x:v>
      </x:c>
      <x:c r="R424" s="37" t="n">
        <x:f>IF(AND(P424=1,Q424=1),MIN(F424,M424,R423),0)</x:f>
        <x:v>0</x:v>
      </x:c>
      <x:c r="S424" s="23" t="str">
        <x:f>IF(R424&gt;=F424,"ADMITTED","NOT ADMITTED")</x:f>
        <x:v>NOT ADMITTED</x:v>
      </x:c>
    </x:row>
    <x:row r="425">
      <x:c r="B425" s="21" t="str">
        <x:v>SL-0419</x:v>
      </x:c>
      <x:c r="C425" s="21" t="str">
        <x:v>F35</x:v>
      </x:c>
      <x:c r="D425" s="21" t="n">
        <x:v>11</x:v>
      </x:c>
      <x:c r="E425" s="21" t="str">
        <x:v>Commissioned public service</x:v>
      </x:c>
      <x:c r="F425" s="37" t="n">
        <x:f>'Family Register'!L41</x:f>
        <x:v>4</x:v>
      </x:c>
      <x:c r="G425" s="37" t="n">
        <x:f>MIN(INDEX(Scenarios!$G$7:$G$12,Assumptions!C7),INDEX(Scenarios!$I$7:$I$12,Assumptions!C7))</x:f>
        <x:v>0.7</x:v>
      </x:c>
      <x:c r="H425" s="37" t="n">
        <x:f>'Family Register'!G41*'Family Register'!I41*G425</x:f>
        <x:v>3.6399999999999997</x:v>
      </x:c>
      <x:c r="I425" s="37" t="n">
        <x:f>J424</x:f>
        <x:v>3.3800000000000003</x:v>
      </x:c>
      <x:c r="J425" s="37" t="n">
        <x:f>MIN(F425,H425,I425)</x:f>
        <x:v>3.3800000000000003</x:v>
      </x:c>
      <x:c r="K425" s="22" t="n">
        <x:v>0</x:v>
      </x:c>
      <x:c r="L425" s="22" t="n">
        <x:v>0</x:v>
      </x:c>
      <x:c r="M425" s="37" t="n">
        <x:f>K425*L425</x:f>
        <x:v>0</x:v>
      </x:c>
      <x:c r="N425" s="22" t="n">
        <x:v>0</x:v>
      </x:c>
      <x:c r="O425" s="37" t="n">
        <x:f>'Family Register'!H41*1</x:f>
        <x:v>1440</x:v>
      </x:c>
      <x:c r="P425" s="37" t="n">
        <x:f>IF(AND(N425&gt;0,N425&lt;=O425),1,0)</x:f>
        <x:v>0</x:v>
      </x:c>
      <x:c r="Q425" s="22" t="n">
        <x:v>0</x:v>
      </x:c>
      <x:c r="R425" s="37" t="n">
        <x:f>IF(AND(P425=1,Q425=1),MIN(F425,M425,R424),0)</x:f>
        <x:v>0</x:v>
      </x:c>
      <x:c r="S425" s="23" t="str">
        <x:f>IF(R425&gt;=F425,"ADMITTED","NOT ADMITTED")</x:f>
        <x:v>NOT ADMITTED</x:v>
      </x:c>
    </x:row>
    <x:row r="426">
      <x:c r="B426" s="21" t="str">
        <x:v>SL-0420</x:v>
      </x:c>
      <x:c r="C426" s="21" t="str">
        <x:v>F35</x:v>
      </x:c>
      <x:c r="D426" s="21" t="n">
        <x:v>12</x:v>
      </x:c>
      <x:c r="E426" s="21" t="str">
        <x:v>Regeneration and replacement</x:v>
      </x:c>
      <x:c r="F426" s="37" t="n">
        <x:f>'Family Register'!L41</x:f>
        <x:v>4</x:v>
      </x:c>
      <x:c r="G426" s="37" t="n">
        <x:f>MIN(INDEX(Scenarios!$E$7:$E$12,Assumptions!C7),INDEX(Scenarios!$F$7:$F$12,Assumptions!C7))</x:f>
        <x:v>0.7</x:v>
      </x:c>
      <x:c r="H426" s="37" t="n">
        <x:f>'Family Register'!G41*'Family Register'!I41*G426</x:f>
        <x:v>3.6399999999999997</x:v>
      </x:c>
      <x:c r="I426" s="37" t="n">
        <x:f>J425</x:f>
        <x:v>3.3800000000000003</x:v>
      </x:c>
      <x:c r="J426" s="37" t="n">
        <x:f>MIN(F426,H426,I426)</x:f>
        <x:v>3.3800000000000003</x:v>
      </x:c>
      <x:c r="K426" s="22" t="n">
        <x:v>0</x:v>
      </x:c>
      <x:c r="L426" s="22" t="n">
        <x:v>0</x:v>
      </x:c>
      <x:c r="M426" s="37" t="n">
        <x:f>K426*L426</x:f>
        <x:v>0</x:v>
      </x:c>
      <x:c r="N426" s="22" t="n">
        <x:v>0</x:v>
      </x:c>
      <x:c r="O426" s="37" t="n">
        <x:f>'Family Register'!H41+168</x:f>
        <x:v>1608</x:v>
      </x:c>
      <x:c r="P426" s="37" t="n">
        <x:f>IF(AND(N426&gt;0,N426&lt;=O426),1,0)</x:f>
        <x:v>0</x:v>
      </x:c>
      <x:c r="Q426" s="22" t="n">
        <x:v>0</x:v>
      </x:c>
      <x:c r="R426" s="37" t="n">
        <x:f>IF(AND(P426=1,Q426=1),MIN(F426,M426,R425),0)</x:f>
        <x:v>0</x:v>
      </x:c>
      <x:c r="S426" s="23" t="str">
        <x:f>IF(R426&gt;=F426,"ADMITTED","NOT ADMITTED")</x:f>
        <x:v>NOT ADMITTED</x:v>
      </x:c>
    </x:row>
    <x:row r="427">
      <x:c r="B427" s="21" t="str">
        <x:v>SL-0421</x:v>
      </x:c>
      <x:c r="C427" s="21" t="str">
        <x:v>F36</x:v>
      </x:c>
      <x:c r="D427" s="21" t="n">
        <x:v>1</x:v>
      </x:c>
      <x:c r="E427" s="21" t="str">
        <x:v>Alert authentication</x:v>
      </x:c>
      <x:c r="F427" s="37" t="n">
        <x:f>'Family Register'!L42</x:f>
        <x:v>8</x:v>
      </x:c>
      <x:c r="G427" s="37" t="n">
        <x:f>INDEX(Scenarios!$K$7:$K$12,Assumptions!C7)</x:f>
        <x:v>0.75</x:v>
      </x:c>
      <x:c r="H427" s="37" t="n">
        <x:f>'Family Register'!G42*'Family Register'!I42*G427</x:f>
        <x:v>8.7</x:v>
      </x:c>
      <x:c r="I427" s="37" t="n">
        <x:f>F427</x:f>
        <x:v>8</x:v>
      </x:c>
      <x:c r="J427" s="37" t="n">
        <x:f>MIN(F427,H427,I427)</x:f>
        <x:v>8</x:v>
      </x:c>
      <x:c r="K427" s="22" t="n">
        <x:v>0</x:v>
      </x:c>
      <x:c r="L427" s="22" t="n">
        <x:v>0</x:v>
      </x:c>
      <x:c r="M427" s="37" t="n">
        <x:f>K427*L427</x:f>
        <x:v>0</x:v>
      </x:c>
      <x:c r="N427" s="22" t="n">
        <x:v>0</x:v>
      </x:c>
      <x:c r="O427" s="37" t="n">
        <x:f>2</x:f>
        <x:v>2</x:v>
      </x:c>
      <x:c r="P427" s="37" t="n">
        <x:f>IF(AND(N427&gt;0,N427&lt;=O427),1,0)</x:f>
        <x:v>0</x:v>
      </x:c>
      <x:c r="Q427" s="22" t="n">
        <x:v>0</x:v>
      </x:c>
      <x:c r="R427" s="37" t="n">
        <x:f>IF(AND(P427=1,Q427=1),MIN(F427,M427),0)</x:f>
        <x:v>0</x:v>
      </x:c>
      <x:c r="S427" s="23" t="str">
        <x:f>IF(R427&gt;=F427,"ADMITTED","NOT ADMITTED")</x:f>
        <x:v>NOT ADMITTED</x:v>
      </x:c>
    </x:row>
    <x:row r="428">
      <x:c r="B428" s="21" t="str">
        <x:v>SL-0422</x:v>
      </x:c>
      <x:c r="C428" s="21" t="str">
        <x:v>F36</x:v>
      </x:c>
      <x:c r="D428" s="21" t="n">
        <x:v>2</x:v>
      </x:c>
      <x:c r="E428" s="21" t="str">
        <x:v>Workforce muster</x:v>
      </x:c>
      <x:c r="F428" s="37" t="n">
        <x:f>'Family Register'!L42</x:f>
        <x:v>8</x:v>
      </x:c>
      <x:c r="G428" s="37" t="n">
        <x:f>INDEX(Scenarios!$J$7:$J$12,Assumptions!C7)</x:f>
        <x:v>0.8</x:v>
      </x:c>
      <x:c r="H428" s="37" t="n">
        <x:f>'Family Register'!G42*'Family Register'!I42*G428</x:f>
        <x:v>9.28</x:v>
      </x:c>
      <x:c r="I428" s="37" t="n">
        <x:f>J427</x:f>
        <x:v>8</x:v>
      </x:c>
      <x:c r="J428" s="37" t="n">
        <x:f>MIN(F428,H428,I428)</x:f>
        <x:v>8</x:v>
      </x:c>
      <x:c r="K428" s="22" t="n">
        <x:v>0</x:v>
      </x:c>
      <x:c r="L428" s="22" t="n">
        <x:v>0</x:v>
      </x:c>
      <x:c r="M428" s="37" t="n">
        <x:f>K428*L428</x:f>
        <x:v>0</x:v>
      </x:c>
      <x:c r="N428" s="22" t="n">
        <x:v>0</x:v>
      </x:c>
      <x:c r="O428" s="37" t="n">
        <x:f>12</x:f>
        <x:v>12</x:v>
      </x:c>
      <x:c r="P428" s="37" t="n">
        <x:f>IF(AND(N428&gt;0,N428&lt;=O428),1,0)</x:f>
        <x:v>0</x:v>
      </x:c>
      <x:c r="Q428" s="22" t="n">
        <x:v>0</x:v>
      </x:c>
      <x:c r="R428" s="37" t="n">
        <x:f>IF(AND(P428=1,Q428=1),MIN(F428,M428,R427),0)</x:f>
        <x:v>0</x:v>
      </x:c>
      <x:c r="S428" s="23" t="str">
        <x:f>IF(R428&gt;=F428,"ADMITTED","NOT ADMITTED")</x:f>
        <x:v>NOT ADMITTED</x:v>
      </x:c>
    </x:row>
    <x:row r="429">
      <x:c r="B429" s="21" t="str">
        <x:v>SL-0423</x:v>
      </x:c>
      <x:c r="C429" s="21" t="str">
        <x:v>F36</x:v>
      </x:c>
      <x:c r="D429" s="21" t="n">
        <x:v>3</x:v>
      </x:c>
      <x:c r="E429" s="21" t="str">
        <x:v>Facility utility and safe start</x:v>
      </x:c>
      <x:c r="F429" s="37" t="n">
        <x:f>'Family Register'!L42</x:f>
        <x:v>8</x:v>
      </x:c>
      <x:c r="G429" s="37" t="n">
        <x:f>INDEX(Scenarios!$G$7:$G$12,Assumptions!C7)</x:f>
        <x:v>0.7</x:v>
      </x:c>
      <x:c r="H429" s="37" t="n">
        <x:f>'Family Register'!G42*'Family Register'!I42*G429</x:f>
        <x:v>8.12</x:v>
      </x:c>
      <x:c r="I429" s="37" t="n">
        <x:f>J428</x:f>
        <x:v>8</x:v>
      </x:c>
      <x:c r="J429" s="37" t="n">
        <x:f>MIN(F429,H429,I429)</x:f>
        <x:v>8</x:v>
      </x:c>
      <x:c r="K429" s="22" t="n">
        <x:v>0</x:v>
      </x:c>
      <x:c r="L429" s="22" t="n">
        <x:v>0</x:v>
      </x:c>
      <x:c r="M429" s="37" t="n">
        <x:f>K429*L429</x:f>
        <x:v>0</x:v>
      </x:c>
      <x:c r="N429" s="22" t="n">
        <x:v>0</x:v>
      </x:c>
      <x:c r="O429" s="37" t="n">
        <x:f>24</x:f>
        <x:v>24</x:v>
      </x:c>
      <x:c r="P429" s="37" t="n">
        <x:f>IF(AND(N429&gt;0,N429&lt;=O429),1,0)</x:f>
        <x:v>0</x:v>
      </x:c>
      <x:c r="Q429" s="22" t="n">
        <x:v>0</x:v>
      </x:c>
      <x:c r="R429" s="37" t="n">
        <x:f>IF(AND(P429=1,Q429=1),MIN(F429,M429,R428),0)</x:f>
        <x:v>0</x:v>
      </x:c>
      <x:c r="S429" s="23" t="str">
        <x:f>IF(R429&gt;=F429,"ADMITTED","NOT ADMITTED")</x:f>
        <x:v>NOT ADMITTED</x:v>
      </x:c>
    </x:row>
    <x:row r="430">
      <x:c r="B430" s="21" t="str">
        <x:v>SL-0424</x:v>
      </x:c>
      <x:c r="C430" s="21" t="str">
        <x:v>F36</x:v>
      </x:c>
      <x:c r="D430" s="21" t="n">
        <x:v>4</x:v>
      </x:c>
      <x:c r="E430" s="21" t="str">
        <x:v>Material tooling and instrument release</x:v>
      </x:c>
      <x:c r="F430" s="37" t="n">
        <x:f>'Family Register'!L42</x:f>
        <x:v>8</x:v>
      </x:c>
      <x:c r="G430" s="37" t="n">
        <x:f>INDEX(Scenarios!$E$7:$E$12,Assumptions!C7)</x:f>
        <x:v>0.75</x:v>
      </x:c>
      <x:c r="H430" s="37" t="n">
        <x:f>'Family Register'!G42*'Family Register'!I42*G430</x:f>
        <x:v>8.7</x:v>
      </x:c>
      <x:c r="I430" s="37" t="n">
        <x:f>J429</x:f>
        <x:v>8</x:v>
      </x:c>
      <x:c r="J430" s="37" t="n">
        <x:f>MIN(F430,H430,I430)</x:f>
        <x:v>8</x:v>
      </x:c>
      <x:c r="K430" s="22" t="n">
        <x:v>0</x:v>
      </x:c>
      <x:c r="L430" s="22" t="n">
        <x:v>0</x:v>
      </x:c>
      <x:c r="M430" s="37" t="n">
        <x:f>K430*L430</x:f>
        <x:v>0</x:v>
      </x:c>
      <x:c r="N430" s="22" t="n">
        <x:v>0</x:v>
      </x:c>
      <x:c r="O430" s="37" t="n">
        <x:f>36</x:f>
        <x:v>36</x:v>
      </x:c>
      <x:c r="P430" s="37" t="n">
        <x:f>IF(AND(N430&gt;0,N430&lt;=O430),1,0)</x:f>
        <x:v>0</x:v>
      </x:c>
      <x:c r="Q430" s="22" t="n">
        <x:v>0</x:v>
      </x:c>
      <x:c r="R430" s="37" t="n">
        <x:f>IF(AND(P430=1,Q430=1),MIN(F430,M430,R429),0)</x:f>
        <x:v>0</x:v>
      </x:c>
      <x:c r="S430" s="23" t="str">
        <x:f>IF(R430&gt;=F430,"ADMITTED","NOT ADMITTED")</x:f>
        <x:v>NOT ADMITTED</x:v>
      </x:c>
    </x:row>
    <x:row r="431">
      <x:c r="B431" s="21" t="str">
        <x:v>SL-0425</x:v>
      </x:c>
      <x:c r="C431" s="21" t="str">
        <x:v>F36</x:v>
      </x:c>
      <x:c r="D431" s="21" t="n">
        <x:v>5</x:v>
      </x:c>
      <x:c r="E431" s="21" t="str">
        <x:v>Supplier and process activation</x:v>
      </x:c>
      <x:c r="F431" s="37" t="n">
        <x:f>'Family Register'!L42</x:f>
        <x:v>8</x:v>
      </x:c>
      <x:c r="G431" s="37" t="n">
        <x:f>MIN(INDEX(Scenarios!$E$7:$E$12,Assumptions!C7),INDEX(Scenarios!$F$7:$F$12,Assumptions!C7))</x:f>
        <x:v>0.7</x:v>
      </x:c>
      <x:c r="H431" s="37" t="n">
        <x:f>'Family Register'!G42*'Family Register'!I42*G431</x:f>
        <x:v>8.12</x:v>
      </x:c>
      <x:c r="I431" s="37" t="n">
        <x:f>J430</x:f>
        <x:v>8</x:v>
      </x:c>
      <x:c r="J431" s="37" t="n">
        <x:f>MIN(F431,H431,I431)</x:f>
        <x:v>8</x:v>
      </x:c>
      <x:c r="K431" s="22" t="n">
        <x:v>0</x:v>
      </x:c>
      <x:c r="L431" s="22" t="n">
        <x:v>0</x:v>
      </x:c>
      <x:c r="M431" s="37" t="n">
        <x:f>K431*L431</x:f>
        <x:v>0</x:v>
      </x:c>
      <x:c r="N431" s="22" t="n">
        <x:v>0</x:v>
      </x:c>
      <x:c r="O431" s="37" t="n">
        <x:f>48</x:f>
        <x:v>48</x:v>
      </x:c>
      <x:c r="P431" s="37" t="n">
        <x:f>IF(AND(N431&gt;0,N431&lt;=O431),1,0)</x:f>
        <x:v>0</x:v>
      </x:c>
      <x:c r="Q431" s="22" t="n">
        <x:v>0</x:v>
      </x:c>
      <x:c r="R431" s="37" t="n">
        <x:f>IF(AND(P431=1,Q431=1),MIN(F431,M431,R430),0)</x:f>
        <x:v>0</x:v>
      </x:c>
      <x:c r="S431" s="23" t="str">
        <x:f>IF(R431&gt;=F431,"ADMITTED","NOT ADMITTED")</x:f>
        <x:v>NOT ADMITTED</x:v>
      </x:c>
    </x:row>
    <x:row r="432">
      <x:c r="B432" s="21" t="str">
        <x:v>SL-0426</x:v>
      </x:c>
      <x:c r="C432" s="21" t="str">
        <x:v>F36</x:v>
      </x:c>
      <x:c r="D432" s="21" t="n">
        <x:v>6</x:v>
      </x:c>
      <x:c r="E432" s="21" t="str">
        <x:v>Conforming production</x:v>
      </x:c>
      <x:c r="F432" s="37" t="n">
        <x:f>'Family Register'!L42</x:f>
        <x:v>8</x:v>
      </x:c>
      <x:c r="G432" s="37" t="n">
        <x:f>INDEX(Scenarios!$F$7:$F$12,Assumptions!C7)</x:f>
        <x:v>0.7</x:v>
      </x:c>
      <x:c r="H432" s="37" t="n">
        <x:f>'Family Register'!G42*'Family Register'!I42*G432</x:f>
        <x:v>8.12</x:v>
      </x:c>
      <x:c r="I432" s="37" t="n">
        <x:f>J431</x:f>
        <x:v>8</x:v>
      </x:c>
      <x:c r="J432" s="37" t="n">
        <x:f>MIN(F432,H432,I432)</x:f>
        <x:v>8</x:v>
      </x:c>
      <x:c r="K432" s="22" t="n">
        <x:v>0</x:v>
      </x:c>
      <x:c r="L432" s="22" t="n">
        <x:v>0</x:v>
      </x:c>
      <x:c r="M432" s="37" t="n">
        <x:f>K432*L432</x:f>
        <x:v>0</x:v>
      </x:c>
      <x:c r="N432" s="22" t="n">
        <x:v>0</x:v>
      </x:c>
      <x:c r="O432" s="37" t="n">
        <x:f>'Family Register'!H42*0.55</x:f>
        <x:v>396.00000000000006</x:v>
      </x:c>
      <x:c r="P432" s="37" t="n">
        <x:f>IF(AND(N432&gt;0,N432&lt;=O432),1,0)</x:f>
        <x:v>0</x:v>
      </x:c>
      <x:c r="Q432" s="22" t="n">
        <x:v>0</x:v>
      </x:c>
      <x:c r="R432" s="37" t="n">
        <x:f>IF(AND(P432=1,Q432=1),MIN(F432,M432,R431),0)</x:f>
        <x:v>0</x:v>
      </x:c>
      <x:c r="S432" s="23" t="str">
        <x:f>IF(R432&gt;=F432,"ADMITTED","NOT ADMITTED")</x:f>
        <x:v>NOT ADMITTED</x:v>
      </x:c>
    </x:row>
    <x:row r="433">
      <x:c r="B433" s="21" t="str">
        <x:v>SL-0427</x:v>
      </x:c>
      <x:c r="C433" s="21" t="str">
        <x:v>F36</x:v>
      </x:c>
      <x:c r="D433" s="21" t="n">
        <x:v>7</x:v>
      </x:c>
      <x:c r="E433" s="21" t="str">
        <x:v>Independent acceptance</x:v>
      </x:c>
      <x:c r="F433" s="37" t="n">
        <x:f>'Family Register'!L42</x:f>
        <x:v>8</x:v>
      </x:c>
      <x:c r="G433" s="37" t="n">
        <x:f>INDEX(Scenarios!$L$7:$L$12,Assumptions!C7)</x:f>
        <x:v>0.8</x:v>
      </x:c>
      <x:c r="H433" s="37" t="n">
        <x:f>'Family Register'!G42*'Family Register'!I42*G433</x:f>
        <x:v>9.28</x:v>
      </x:c>
      <x:c r="I433" s="37" t="n">
        <x:f>J432</x:f>
        <x:v>8</x:v>
      </x:c>
      <x:c r="J433" s="37" t="n">
        <x:f>MIN(F433,H433,I433)</x:f>
        <x:v>8</x:v>
      </x:c>
      <x:c r="K433" s="22" t="n">
        <x:v>0</x:v>
      </x:c>
      <x:c r="L433" s="22" t="n">
        <x:v>0</x:v>
      </x:c>
      <x:c r="M433" s="37" t="n">
        <x:f>K433*L433</x:f>
        <x:v>0</x:v>
      </x:c>
      <x:c r="N433" s="22" t="n">
        <x:v>0</x:v>
      </x:c>
      <x:c r="O433" s="37" t="n">
        <x:f>'Family Register'!H42*0.65</x:f>
        <x:v>468</x:v>
      </x:c>
      <x:c r="P433" s="37" t="n">
        <x:f>IF(AND(N433&gt;0,N433&lt;=O433),1,0)</x:f>
        <x:v>0</x:v>
      </x:c>
      <x:c r="Q433" s="22" t="n">
        <x:v>0</x:v>
      </x:c>
      <x:c r="R433" s="37" t="n">
        <x:f>IF(AND(P433=1,Q433=1),MIN(F433,M433,R432),0)</x:f>
        <x:v>0</x:v>
      </x:c>
      <x:c r="S433" s="23" t="str">
        <x:f>IF(R433&gt;=F433,"ADMITTED","NOT ADMITTED")</x:f>
        <x:v>NOT ADMITTED</x:v>
      </x:c>
    </x:row>
    <x:row r="434">
      <x:c r="B434" s="21" t="str">
        <x:v>SL-0428</x:v>
      </x:c>
      <x:c r="C434" s="21" t="str">
        <x:v>F36</x:v>
      </x:c>
      <x:c r="D434" s="21" t="n">
        <x:v>8</x:v>
      </x:c>
      <x:c r="E434" s="21" t="str">
        <x:v>Loadout and custody transfer</x:v>
      </x:c>
      <x:c r="F434" s="37" t="n">
        <x:f>'Family Register'!L42</x:f>
        <x:v>8</x:v>
      </x:c>
      <x:c r="G434" s="37" t="n">
        <x:f>INDEX(Scenarios!$H$7:$H$12,Assumptions!C7)</x:f>
        <x:v>0.65</x:v>
      </x:c>
      <x:c r="H434" s="37" t="n">
        <x:f>'Family Register'!G42*'Family Register'!I42*G434</x:f>
        <x:v>7.54</x:v>
      </x:c>
      <x:c r="I434" s="37" t="n">
        <x:f>J433</x:f>
        <x:v>8</x:v>
      </x:c>
      <x:c r="J434" s="37" t="n">
        <x:f>MIN(F434,H434,I434)</x:f>
        <x:v>7.54</x:v>
      </x:c>
      <x:c r="K434" s="22" t="n">
        <x:v>0</x:v>
      </x:c>
      <x:c r="L434" s="22" t="n">
        <x:v>0</x:v>
      </x:c>
      <x:c r="M434" s="37" t="n">
        <x:f>K434*L434</x:f>
        <x:v>0</x:v>
      </x:c>
      <x:c r="N434" s="22" t="n">
        <x:v>0</x:v>
      </x:c>
      <x:c r="O434" s="37" t="n">
        <x:f>'Family Register'!H42*0.7</x:f>
        <x:v>503.99999999999994</x:v>
      </x:c>
      <x:c r="P434" s="37" t="n">
        <x:f>IF(AND(N434&gt;0,N434&lt;=O434),1,0)</x:f>
        <x:v>0</x:v>
      </x:c>
      <x:c r="Q434" s="22" t="n">
        <x:v>0</x:v>
      </x:c>
      <x:c r="R434" s="37" t="n">
        <x:f>IF(AND(P434=1,Q434=1),MIN(F434,M434,R433),0)</x:f>
        <x:v>0</x:v>
      </x:c>
      <x:c r="S434" s="23" t="str">
        <x:f>IF(R434&gt;=F434,"ADMITTED","NOT ADMITTED")</x:f>
        <x:v>NOT ADMITTED</x:v>
      </x:c>
    </x:row>
    <x:row r="435">
      <x:c r="B435" s="21" t="str">
        <x:v>SL-0429</x:v>
      </x:c>
      <x:c r="C435" s="21" t="str">
        <x:v>F36</x:v>
      </x:c>
      <x:c r="D435" s="21" t="n">
        <x:v>9</x:v>
      </x:c>
      <x:c r="E435" s="21" t="str">
        <x:v>Strategic transport</x:v>
      </x:c>
      <x:c r="F435" s="37" t="n">
        <x:f>'Family Register'!L42</x:f>
        <x:v>8</x:v>
      </x:c>
      <x:c r="G435" s="37" t="n">
        <x:f>INDEX(Scenarios!$H$7:$H$12,Assumptions!C7)</x:f>
        <x:v>0.65</x:v>
      </x:c>
      <x:c r="H435" s="37" t="n">
        <x:f>'Family Register'!G42*'Family Register'!I42*G435</x:f>
        <x:v>7.54</x:v>
      </x:c>
      <x:c r="I435" s="37" t="n">
        <x:f>J434</x:f>
        <x:v>7.54</x:v>
      </x:c>
      <x:c r="J435" s="37" t="n">
        <x:f>MIN(F435,H435,I435)</x:f>
        <x:v>7.54</x:v>
      </x:c>
      <x:c r="K435" s="22" t="n">
        <x:v>0</x:v>
      </x:c>
      <x:c r="L435" s="22" t="n">
        <x:v>0</x:v>
      </x:c>
      <x:c r="M435" s="37" t="n">
        <x:f>K435*L435</x:f>
        <x:v>0</x:v>
      </x:c>
      <x:c r="N435" s="22" t="n">
        <x:v>0</x:v>
      </x:c>
      <x:c r="O435" s="37" t="n">
        <x:f>'Family Register'!H42*0.9</x:f>
        <x:v>648</x:v>
      </x:c>
      <x:c r="P435" s="37" t="n">
        <x:f>IF(AND(N435&gt;0,N435&lt;=O435),1,0)</x:f>
        <x:v>0</x:v>
      </x:c>
      <x:c r="Q435" s="22" t="n">
        <x:v>0</x:v>
      </x:c>
      <x:c r="R435" s="37" t="n">
        <x:f>IF(AND(P435=1,Q435=1),MIN(F435,M435,R434),0)</x:f>
        <x:v>0</x:v>
      </x:c>
      <x:c r="S435" s="23" t="str">
        <x:f>IF(R435&gt;=F435,"ADMITTED","NOT ADMITTED")</x:f>
        <x:v>NOT ADMITTED</x:v>
      </x:c>
    </x:row>
    <x:row r="436">
      <x:c r="B436" s="21" t="str">
        <x:v>SL-0430</x:v>
      </x:c>
      <x:c r="C436" s="21" t="str">
        <x:v>F36</x:v>
      </x:c>
      <x:c r="D436" s="21" t="n">
        <x:v>10</x:v>
      </x:c>
      <x:c r="E436" s="21" t="str">
        <x:v>Receiving-node admission</x:v>
      </x:c>
      <x:c r="F436" s="37" t="n">
        <x:f>'Family Register'!L42</x:f>
        <x:v>8</x:v>
      </x:c>
      <x:c r="G436" s="37" t="n">
        <x:f>INDEX(Scenarios!$I$7:$I$12,Assumptions!C7)</x:f>
        <x:v>0.75</x:v>
      </x:c>
      <x:c r="H436" s="37" t="n">
        <x:f>'Family Register'!G42*'Family Register'!I42*G436</x:f>
        <x:v>8.7</x:v>
      </x:c>
      <x:c r="I436" s="37" t="n">
        <x:f>J435</x:f>
        <x:v>7.54</x:v>
      </x:c>
      <x:c r="J436" s="37" t="n">
        <x:f>MIN(F436,H436,I436)</x:f>
        <x:v>7.54</x:v>
      </x:c>
      <x:c r="K436" s="22" t="n">
        <x:v>0</x:v>
      </x:c>
      <x:c r="L436" s="22" t="n">
        <x:v>0</x:v>
      </x:c>
      <x:c r="M436" s="37" t="n">
        <x:f>K436*L436</x:f>
        <x:v>0</x:v>
      </x:c>
      <x:c r="N436" s="22" t="n">
        <x:v>0</x:v>
      </x:c>
      <x:c r="O436" s="37" t="n">
        <x:f>'Family Register'!H42*0.94</x:f>
        <x:v>676.8</x:v>
      </x:c>
      <x:c r="P436" s="37" t="n">
        <x:f>IF(AND(N436&gt;0,N436&lt;=O436),1,0)</x:f>
        <x:v>0</x:v>
      </x:c>
      <x:c r="Q436" s="22" t="n">
        <x:v>0</x:v>
      </x:c>
      <x:c r="R436" s="37" t="n">
        <x:f>IF(AND(P436=1,Q436=1),MIN(F436,M436,R435),0)</x:f>
        <x:v>0</x:v>
      </x:c>
      <x:c r="S436" s="23" t="str">
        <x:f>IF(R436&gt;=F436,"ADMITTED","NOT ADMITTED")</x:f>
        <x:v>NOT ADMITTED</x:v>
      </x:c>
    </x:row>
    <x:row r="437">
      <x:c r="B437" s="21" t="str">
        <x:v>SL-0431</x:v>
      </x:c>
      <x:c r="C437" s="21" t="str">
        <x:v>F36</x:v>
      </x:c>
      <x:c r="D437" s="21" t="n">
        <x:v>11</x:v>
      </x:c>
      <x:c r="E437" s="21" t="str">
        <x:v>Commissioned public service</x:v>
      </x:c>
      <x:c r="F437" s="37" t="n">
        <x:f>'Family Register'!L42</x:f>
        <x:v>8</x:v>
      </x:c>
      <x:c r="G437" s="37" t="n">
        <x:f>MIN(INDEX(Scenarios!$G$7:$G$12,Assumptions!C7),INDEX(Scenarios!$I$7:$I$12,Assumptions!C7))</x:f>
        <x:v>0.7</x:v>
      </x:c>
      <x:c r="H437" s="37" t="n">
        <x:f>'Family Register'!G42*'Family Register'!I42*G437</x:f>
        <x:v>8.12</x:v>
      </x:c>
      <x:c r="I437" s="37" t="n">
        <x:f>J436</x:f>
        <x:v>7.54</x:v>
      </x:c>
      <x:c r="J437" s="37" t="n">
        <x:f>MIN(F437,H437,I437)</x:f>
        <x:v>7.54</x:v>
      </x:c>
      <x:c r="K437" s="22" t="n">
        <x:v>0</x:v>
      </x:c>
      <x:c r="L437" s="22" t="n">
        <x:v>0</x:v>
      </x:c>
      <x:c r="M437" s="37" t="n">
        <x:f>K437*L437</x:f>
        <x:v>0</x:v>
      </x:c>
      <x:c r="N437" s="22" t="n">
        <x:v>0</x:v>
      </x:c>
      <x:c r="O437" s="37" t="n">
        <x:f>'Family Register'!H42*1</x:f>
        <x:v>720</x:v>
      </x:c>
      <x:c r="P437" s="37" t="n">
        <x:f>IF(AND(N437&gt;0,N437&lt;=O437),1,0)</x:f>
        <x:v>0</x:v>
      </x:c>
      <x:c r="Q437" s="22" t="n">
        <x:v>0</x:v>
      </x:c>
      <x:c r="R437" s="37" t="n">
        <x:f>IF(AND(P437=1,Q437=1),MIN(F437,M437,R436),0)</x:f>
        <x:v>0</x:v>
      </x:c>
      <x:c r="S437" s="23" t="str">
        <x:f>IF(R437&gt;=F437,"ADMITTED","NOT ADMITTED")</x:f>
        <x:v>NOT ADMITTED</x:v>
      </x:c>
    </x:row>
    <x:row r="438">
      <x:c r="B438" s="21" t="str">
        <x:v>SL-0432</x:v>
      </x:c>
      <x:c r="C438" s="21" t="str">
        <x:v>F36</x:v>
      </x:c>
      <x:c r="D438" s="21" t="n">
        <x:v>12</x:v>
      </x:c>
      <x:c r="E438" s="21" t="str">
        <x:v>Regeneration and replacement</x:v>
      </x:c>
      <x:c r="F438" s="37" t="n">
        <x:f>'Family Register'!L42</x:f>
        <x:v>8</x:v>
      </x:c>
      <x:c r="G438" s="37" t="n">
        <x:f>MIN(INDEX(Scenarios!$E$7:$E$12,Assumptions!C7),INDEX(Scenarios!$F$7:$F$12,Assumptions!C7))</x:f>
        <x:v>0.7</x:v>
      </x:c>
      <x:c r="H438" s="37" t="n">
        <x:f>'Family Register'!G42*'Family Register'!I42*G438</x:f>
        <x:v>8.12</x:v>
      </x:c>
      <x:c r="I438" s="37" t="n">
        <x:f>J437</x:f>
        <x:v>7.54</x:v>
      </x:c>
      <x:c r="J438" s="37" t="n">
        <x:f>MIN(F438,H438,I438)</x:f>
        <x:v>7.54</x:v>
      </x:c>
      <x:c r="K438" s="22" t="n">
        <x:v>0</x:v>
      </x:c>
      <x:c r="L438" s="22" t="n">
        <x:v>0</x:v>
      </x:c>
      <x:c r="M438" s="37" t="n">
        <x:f>K438*L438</x:f>
        <x:v>0</x:v>
      </x:c>
      <x:c r="N438" s="22" t="n">
        <x:v>0</x:v>
      </x:c>
      <x:c r="O438" s="37" t="n">
        <x:f>'Family Register'!H42+168</x:f>
        <x:v>888</x:v>
      </x:c>
      <x:c r="P438" s="37" t="n">
        <x:f>IF(AND(N438&gt;0,N438&lt;=O438),1,0)</x:f>
        <x:v>0</x:v>
      </x:c>
      <x:c r="Q438" s="22" t="n">
        <x:v>0</x:v>
      </x:c>
      <x:c r="R438" s="37" t="n">
        <x:f>IF(AND(P438=1,Q438=1),MIN(F438,M438,R437),0)</x:f>
        <x:v>0</x:v>
      </x:c>
      <x:c r="S438" s="23" t="str">
        <x:f>IF(R438&gt;=F438,"ADMITTED","NOT ADMITTED")</x:f>
        <x:v>NOT ADMITTED</x:v>
      </x:c>
    </x:row>
    <x:row r="439">
      <x:c r="B439" s="21" t="str">
        <x:v>SL-0433</x:v>
      </x:c>
      <x:c r="C439" s="21" t="str">
        <x:v>F37</x:v>
      </x:c>
      <x:c r="D439" s="21" t="n">
        <x:v>1</x:v>
      </x:c>
      <x:c r="E439" s="21" t="str">
        <x:v>Alert authentication</x:v>
      </x:c>
      <x:c r="F439" s="37" t="n">
        <x:f>'Family Register'!L43</x:f>
        <x:v>4</x:v>
      </x:c>
      <x:c r="G439" s="37" t="n">
        <x:f>INDEX(Scenarios!$K$7:$K$12,Assumptions!C7)</x:f>
        <x:v>0.75</x:v>
      </x:c>
      <x:c r="H439" s="37" t="n">
        <x:f>'Family Register'!G43*'Family Register'!I43*G439</x:f>
        <x:v>4.35</x:v>
      </x:c>
      <x:c r="I439" s="37" t="n">
        <x:f>F439</x:f>
        <x:v>4</x:v>
      </x:c>
      <x:c r="J439" s="37" t="n">
        <x:f>MIN(F439,H439,I439)</x:f>
        <x:v>4</x:v>
      </x:c>
      <x:c r="K439" s="22" t="n">
        <x:v>0</x:v>
      </x:c>
      <x:c r="L439" s="22" t="n">
        <x:v>0</x:v>
      </x:c>
      <x:c r="M439" s="37" t="n">
        <x:f>K439*L439</x:f>
        <x:v>0</x:v>
      </x:c>
      <x:c r="N439" s="22" t="n">
        <x:v>0</x:v>
      </x:c>
      <x:c r="O439" s="37" t="n">
        <x:f>2</x:f>
        <x:v>2</x:v>
      </x:c>
      <x:c r="P439" s="37" t="n">
        <x:f>IF(AND(N439&gt;0,N439&lt;=O439),1,0)</x:f>
        <x:v>0</x:v>
      </x:c>
      <x:c r="Q439" s="22" t="n">
        <x:v>0</x:v>
      </x:c>
      <x:c r="R439" s="37" t="n">
        <x:f>IF(AND(P439=1,Q439=1),MIN(F439,M439),0)</x:f>
        <x:v>0</x:v>
      </x:c>
      <x:c r="S439" s="23" t="str">
        <x:f>IF(R439&gt;=F439,"ADMITTED","NOT ADMITTED")</x:f>
        <x:v>NOT ADMITTED</x:v>
      </x:c>
    </x:row>
    <x:row r="440">
      <x:c r="B440" s="21" t="str">
        <x:v>SL-0434</x:v>
      </x:c>
      <x:c r="C440" s="21" t="str">
        <x:v>F37</x:v>
      </x:c>
      <x:c r="D440" s="21" t="n">
        <x:v>2</x:v>
      </x:c>
      <x:c r="E440" s="21" t="str">
        <x:v>Workforce muster</x:v>
      </x:c>
      <x:c r="F440" s="37" t="n">
        <x:f>'Family Register'!L43</x:f>
        <x:v>4</x:v>
      </x:c>
      <x:c r="G440" s="37" t="n">
        <x:f>INDEX(Scenarios!$J$7:$J$12,Assumptions!C7)</x:f>
        <x:v>0.8</x:v>
      </x:c>
      <x:c r="H440" s="37" t="n">
        <x:f>'Family Register'!G43*'Family Register'!I43*G440</x:f>
        <x:v>4.64</x:v>
      </x:c>
      <x:c r="I440" s="37" t="n">
        <x:f>J439</x:f>
        <x:v>4</x:v>
      </x:c>
      <x:c r="J440" s="37" t="n">
        <x:f>MIN(F440,H440,I440)</x:f>
        <x:v>4</x:v>
      </x:c>
      <x:c r="K440" s="22" t="n">
        <x:v>0</x:v>
      </x:c>
      <x:c r="L440" s="22" t="n">
        <x:v>0</x:v>
      </x:c>
      <x:c r="M440" s="37" t="n">
        <x:f>K440*L440</x:f>
        <x:v>0</x:v>
      </x:c>
      <x:c r="N440" s="22" t="n">
        <x:v>0</x:v>
      </x:c>
      <x:c r="O440" s="37" t="n">
        <x:f>12</x:f>
        <x:v>12</x:v>
      </x:c>
      <x:c r="P440" s="37" t="n">
        <x:f>IF(AND(N440&gt;0,N440&lt;=O440),1,0)</x:f>
        <x:v>0</x:v>
      </x:c>
      <x:c r="Q440" s="22" t="n">
        <x:v>0</x:v>
      </x:c>
      <x:c r="R440" s="37" t="n">
        <x:f>IF(AND(P440=1,Q440=1),MIN(F440,M440,R439),0)</x:f>
        <x:v>0</x:v>
      </x:c>
      <x:c r="S440" s="23" t="str">
        <x:f>IF(R440&gt;=F440,"ADMITTED","NOT ADMITTED")</x:f>
        <x:v>NOT ADMITTED</x:v>
      </x:c>
    </x:row>
    <x:row r="441">
      <x:c r="B441" s="21" t="str">
        <x:v>SL-0435</x:v>
      </x:c>
      <x:c r="C441" s="21" t="str">
        <x:v>F37</x:v>
      </x:c>
      <x:c r="D441" s="21" t="n">
        <x:v>3</x:v>
      </x:c>
      <x:c r="E441" s="21" t="str">
        <x:v>Facility utility and safe start</x:v>
      </x:c>
      <x:c r="F441" s="37" t="n">
        <x:f>'Family Register'!L43</x:f>
        <x:v>4</x:v>
      </x:c>
      <x:c r="G441" s="37" t="n">
        <x:f>INDEX(Scenarios!$G$7:$G$12,Assumptions!C7)</x:f>
        <x:v>0.7</x:v>
      </x:c>
      <x:c r="H441" s="37" t="n">
        <x:f>'Family Register'!G43*'Family Register'!I43*G441</x:f>
        <x:v>4.06</x:v>
      </x:c>
      <x:c r="I441" s="37" t="n">
        <x:f>J440</x:f>
        <x:v>4</x:v>
      </x:c>
      <x:c r="J441" s="37" t="n">
        <x:f>MIN(F441,H441,I441)</x:f>
        <x:v>4</x:v>
      </x:c>
      <x:c r="K441" s="22" t="n">
        <x:v>0</x:v>
      </x:c>
      <x:c r="L441" s="22" t="n">
        <x:v>0</x:v>
      </x:c>
      <x:c r="M441" s="37" t="n">
        <x:f>K441*L441</x:f>
        <x:v>0</x:v>
      </x:c>
      <x:c r="N441" s="22" t="n">
        <x:v>0</x:v>
      </x:c>
      <x:c r="O441" s="37" t="n">
        <x:f>24</x:f>
        <x:v>24</x:v>
      </x:c>
      <x:c r="P441" s="37" t="n">
        <x:f>IF(AND(N441&gt;0,N441&lt;=O441),1,0)</x:f>
        <x:v>0</x:v>
      </x:c>
      <x:c r="Q441" s="22" t="n">
        <x:v>0</x:v>
      </x:c>
      <x:c r="R441" s="37" t="n">
        <x:f>IF(AND(P441=1,Q441=1),MIN(F441,M441,R440),0)</x:f>
        <x:v>0</x:v>
      </x:c>
      <x:c r="S441" s="23" t="str">
        <x:f>IF(R441&gt;=F441,"ADMITTED","NOT ADMITTED")</x:f>
        <x:v>NOT ADMITTED</x:v>
      </x:c>
    </x:row>
    <x:row r="442">
      <x:c r="B442" s="21" t="str">
        <x:v>SL-0436</x:v>
      </x:c>
      <x:c r="C442" s="21" t="str">
        <x:v>F37</x:v>
      </x:c>
      <x:c r="D442" s="21" t="n">
        <x:v>4</x:v>
      </x:c>
      <x:c r="E442" s="21" t="str">
        <x:v>Material tooling and instrument release</x:v>
      </x:c>
      <x:c r="F442" s="37" t="n">
        <x:f>'Family Register'!L43</x:f>
        <x:v>4</x:v>
      </x:c>
      <x:c r="G442" s="37" t="n">
        <x:f>INDEX(Scenarios!$E$7:$E$12,Assumptions!C7)</x:f>
        <x:v>0.75</x:v>
      </x:c>
      <x:c r="H442" s="37" t="n">
        <x:f>'Family Register'!G43*'Family Register'!I43*G442</x:f>
        <x:v>4.35</x:v>
      </x:c>
      <x:c r="I442" s="37" t="n">
        <x:f>J441</x:f>
        <x:v>4</x:v>
      </x:c>
      <x:c r="J442" s="37" t="n">
        <x:f>MIN(F442,H442,I442)</x:f>
        <x:v>4</x:v>
      </x:c>
      <x:c r="K442" s="22" t="n">
        <x:v>0</x:v>
      </x:c>
      <x:c r="L442" s="22" t="n">
        <x:v>0</x:v>
      </x:c>
      <x:c r="M442" s="37" t="n">
        <x:f>K442*L442</x:f>
        <x:v>0</x:v>
      </x:c>
      <x:c r="N442" s="22" t="n">
        <x:v>0</x:v>
      </x:c>
      <x:c r="O442" s="37" t="n">
        <x:f>36</x:f>
        <x:v>36</x:v>
      </x:c>
      <x:c r="P442" s="37" t="n">
        <x:f>IF(AND(N442&gt;0,N442&lt;=O442),1,0)</x:f>
        <x:v>0</x:v>
      </x:c>
      <x:c r="Q442" s="22" t="n">
        <x:v>0</x:v>
      </x:c>
      <x:c r="R442" s="37" t="n">
        <x:f>IF(AND(P442=1,Q442=1),MIN(F442,M442,R441),0)</x:f>
        <x:v>0</x:v>
      </x:c>
      <x:c r="S442" s="23" t="str">
        <x:f>IF(R442&gt;=F442,"ADMITTED","NOT ADMITTED")</x:f>
        <x:v>NOT ADMITTED</x:v>
      </x:c>
    </x:row>
    <x:row r="443">
      <x:c r="B443" s="21" t="str">
        <x:v>SL-0437</x:v>
      </x:c>
      <x:c r="C443" s="21" t="str">
        <x:v>F37</x:v>
      </x:c>
      <x:c r="D443" s="21" t="n">
        <x:v>5</x:v>
      </x:c>
      <x:c r="E443" s="21" t="str">
        <x:v>Supplier and process activation</x:v>
      </x:c>
      <x:c r="F443" s="37" t="n">
        <x:f>'Family Register'!L43</x:f>
        <x:v>4</x:v>
      </x:c>
      <x:c r="G443" s="37" t="n">
        <x:f>MIN(INDEX(Scenarios!$E$7:$E$12,Assumptions!C7),INDEX(Scenarios!$F$7:$F$12,Assumptions!C7))</x:f>
        <x:v>0.7</x:v>
      </x:c>
      <x:c r="H443" s="37" t="n">
        <x:f>'Family Register'!G43*'Family Register'!I43*G443</x:f>
        <x:v>4.06</x:v>
      </x:c>
      <x:c r="I443" s="37" t="n">
        <x:f>J442</x:f>
        <x:v>4</x:v>
      </x:c>
      <x:c r="J443" s="37" t="n">
        <x:f>MIN(F443,H443,I443)</x:f>
        <x:v>4</x:v>
      </x:c>
      <x:c r="K443" s="22" t="n">
        <x:v>0</x:v>
      </x:c>
      <x:c r="L443" s="22" t="n">
        <x:v>0</x:v>
      </x:c>
      <x:c r="M443" s="37" t="n">
        <x:f>K443*L443</x:f>
        <x:v>0</x:v>
      </x:c>
      <x:c r="N443" s="22" t="n">
        <x:v>0</x:v>
      </x:c>
      <x:c r="O443" s="37" t="n">
        <x:f>48</x:f>
        <x:v>48</x:v>
      </x:c>
      <x:c r="P443" s="37" t="n">
        <x:f>IF(AND(N443&gt;0,N443&lt;=O443),1,0)</x:f>
        <x:v>0</x:v>
      </x:c>
      <x:c r="Q443" s="22" t="n">
        <x:v>0</x:v>
      </x:c>
      <x:c r="R443" s="37" t="n">
        <x:f>IF(AND(P443=1,Q443=1),MIN(F443,M443,R442),0)</x:f>
        <x:v>0</x:v>
      </x:c>
      <x:c r="S443" s="23" t="str">
        <x:f>IF(R443&gt;=F443,"ADMITTED","NOT ADMITTED")</x:f>
        <x:v>NOT ADMITTED</x:v>
      </x:c>
    </x:row>
    <x:row r="444">
      <x:c r="B444" s="21" t="str">
        <x:v>SL-0438</x:v>
      </x:c>
      <x:c r="C444" s="21" t="str">
        <x:v>F37</x:v>
      </x:c>
      <x:c r="D444" s="21" t="n">
        <x:v>6</x:v>
      </x:c>
      <x:c r="E444" s="21" t="str">
        <x:v>Conforming production</x:v>
      </x:c>
      <x:c r="F444" s="37" t="n">
        <x:f>'Family Register'!L43</x:f>
        <x:v>4</x:v>
      </x:c>
      <x:c r="G444" s="37" t="n">
        <x:f>INDEX(Scenarios!$F$7:$F$12,Assumptions!C7)</x:f>
        <x:v>0.7</x:v>
      </x:c>
      <x:c r="H444" s="37" t="n">
        <x:f>'Family Register'!G43*'Family Register'!I43*G444</x:f>
        <x:v>4.06</x:v>
      </x:c>
      <x:c r="I444" s="37" t="n">
        <x:f>J443</x:f>
        <x:v>4</x:v>
      </x:c>
      <x:c r="J444" s="37" t="n">
        <x:f>MIN(F444,H444,I444)</x:f>
        <x:v>4</x:v>
      </x:c>
      <x:c r="K444" s="22" t="n">
        <x:v>0</x:v>
      </x:c>
      <x:c r="L444" s="22" t="n">
        <x:v>0</x:v>
      </x:c>
      <x:c r="M444" s="37" t="n">
        <x:f>K444*L444</x:f>
        <x:v>0</x:v>
      </x:c>
      <x:c r="N444" s="22" t="n">
        <x:v>0</x:v>
      </x:c>
      <x:c r="O444" s="37" t="n">
        <x:f>'Family Register'!H43*0.55</x:f>
        <x:v>396.00000000000006</x:v>
      </x:c>
      <x:c r="P444" s="37" t="n">
        <x:f>IF(AND(N444&gt;0,N444&lt;=O444),1,0)</x:f>
        <x:v>0</x:v>
      </x:c>
      <x:c r="Q444" s="22" t="n">
        <x:v>0</x:v>
      </x:c>
      <x:c r="R444" s="37" t="n">
        <x:f>IF(AND(P444=1,Q444=1),MIN(F444,M444,R443),0)</x:f>
        <x:v>0</x:v>
      </x:c>
      <x:c r="S444" s="23" t="str">
        <x:f>IF(R444&gt;=F444,"ADMITTED","NOT ADMITTED")</x:f>
        <x:v>NOT ADMITTED</x:v>
      </x:c>
    </x:row>
    <x:row r="445">
      <x:c r="B445" s="21" t="str">
        <x:v>SL-0439</x:v>
      </x:c>
      <x:c r="C445" s="21" t="str">
        <x:v>F37</x:v>
      </x:c>
      <x:c r="D445" s="21" t="n">
        <x:v>7</x:v>
      </x:c>
      <x:c r="E445" s="21" t="str">
        <x:v>Independent acceptance</x:v>
      </x:c>
      <x:c r="F445" s="37" t="n">
        <x:f>'Family Register'!L43</x:f>
        <x:v>4</x:v>
      </x:c>
      <x:c r="G445" s="37" t="n">
        <x:f>INDEX(Scenarios!$L$7:$L$12,Assumptions!C7)</x:f>
        <x:v>0.8</x:v>
      </x:c>
      <x:c r="H445" s="37" t="n">
        <x:f>'Family Register'!G43*'Family Register'!I43*G445</x:f>
        <x:v>4.64</x:v>
      </x:c>
      <x:c r="I445" s="37" t="n">
        <x:f>J444</x:f>
        <x:v>4</x:v>
      </x:c>
      <x:c r="J445" s="37" t="n">
        <x:f>MIN(F445,H445,I445)</x:f>
        <x:v>4</x:v>
      </x:c>
      <x:c r="K445" s="22" t="n">
        <x:v>0</x:v>
      </x:c>
      <x:c r="L445" s="22" t="n">
        <x:v>0</x:v>
      </x:c>
      <x:c r="M445" s="37" t="n">
        <x:f>K445*L445</x:f>
        <x:v>0</x:v>
      </x:c>
      <x:c r="N445" s="22" t="n">
        <x:v>0</x:v>
      </x:c>
      <x:c r="O445" s="37" t="n">
        <x:f>'Family Register'!H43*0.65</x:f>
        <x:v>468</x:v>
      </x:c>
      <x:c r="P445" s="37" t="n">
        <x:f>IF(AND(N445&gt;0,N445&lt;=O445),1,0)</x:f>
        <x:v>0</x:v>
      </x:c>
      <x:c r="Q445" s="22" t="n">
        <x:v>0</x:v>
      </x:c>
      <x:c r="R445" s="37" t="n">
        <x:f>IF(AND(P445=1,Q445=1),MIN(F445,M445,R444),0)</x:f>
        <x:v>0</x:v>
      </x:c>
      <x:c r="S445" s="23" t="str">
        <x:f>IF(R445&gt;=F445,"ADMITTED","NOT ADMITTED")</x:f>
        <x:v>NOT ADMITTED</x:v>
      </x:c>
    </x:row>
    <x:row r="446">
      <x:c r="B446" s="21" t="str">
        <x:v>SL-0440</x:v>
      </x:c>
      <x:c r="C446" s="21" t="str">
        <x:v>F37</x:v>
      </x:c>
      <x:c r="D446" s="21" t="n">
        <x:v>8</x:v>
      </x:c>
      <x:c r="E446" s="21" t="str">
        <x:v>Loadout and custody transfer</x:v>
      </x:c>
      <x:c r="F446" s="37" t="n">
        <x:f>'Family Register'!L43</x:f>
        <x:v>4</x:v>
      </x:c>
      <x:c r="G446" s="37" t="n">
        <x:f>INDEX(Scenarios!$H$7:$H$12,Assumptions!C7)</x:f>
        <x:v>0.65</x:v>
      </x:c>
      <x:c r="H446" s="37" t="n">
        <x:f>'Family Register'!G43*'Family Register'!I43*G446</x:f>
        <x:v>3.77</x:v>
      </x:c>
      <x:c r="I446" s="37" t="n">
        <x:f>J445</x:f>
        <x:v>4</x:v>
      </x:c>
      <x:c r="J446" s="37" t="n">
        <x:f>MIN(F446,H446,I446)</x:f>
        <x:v>3.77</x:v>
      </x:c>
      <x:c r="K446" s="22" t="n">
        <x:v>0</x:v>
      </x:c>
      <x:c r="L446" s="22" t="n">
        <x:v>0</x:v>
      </x:c>
      <x:c r="M446" s="37" t="n">
        <x:f>K446*L446</x:f>
        <x:v>0</x:v>
      </x:c>
      <x:c r="N446" s="22" t="n">
        <x:v>0</x:v>
      </x:c>
      <x:c r="O446" s="37" t="n">
        <x:f>'Family Register'!H43*0.7</x:f>
        <x:v>503.99999999999994</x:v>
      </x:c>
      <x:c r="P446" s="37" t="n">
        <x:f>IF(AND(N446&gt;0,N446&lt;=O446),1,0)</x:f>
        <x:v>0</x:v>
      </x:c>
      <x:c r="Q446" s="22" t="n">
        <x:v>0</x:v>
      </x:c>
      <x:c r="R446" s="37" t="n">
        <x:f>IF(AND(P446=1,Q446=1),MIN(F446,M446,R445),0)</x:f>
        <x:v>0</x:v>
      </x:c>
      <x:c r="S446" s="23" t="str">
        <x:f>IF(R446&gt;=F446,"ADMITTED","NOT ADMITTED")</x:f>
        <x:v>NOT ADMITTED</x:v>
      </x:c>
    </x:row>
    <x:row r="447">
      <x:c r="B447" s="21" t="str">
        <x:v>SL-0441</x:v>
      </x:c>
      <x:c r="C447" s="21" t="str">
        <x:v>F37</x:v>
      </x:c>
      <x:c r="D447" s="21" t="n">
        <x:v>9</x:v>
      </x:c>
      <x:c r="E447" s="21" t="str">
        <x:v>Strategic transport</x:v>
      </x:c>
      <x:c r="F447" s="37" t="n">
        <x:f>'Family Register'!L43</x:f>
        <x:v>4</x:v>
      </x:c>
      <x:c r="G447" s="37" t="n">
        <x:f>INDEX(Scenarios!$H$7:$H$12,Assumptions!C7)</x:f>
        <x:v>0.65</x:v>
      </x:c>
      <x:c r="H447" s="37" t="n">
        <x:f>'Family Register'!G43*'Family Register'!I43*G447</x:f>
        <x:v>3.77</x:v>
      </x:c>
      <x:c r="I447" s="37" t="n">
        <x:f>J446</x:f>
        <x:v>3.77</x:v>
      </x:c>
      <x:c r="J447" s="37" t="n">
        <x:f>MIN(F447,H447,I447)</x:f>
        <x:v>3.77</x:v>
      </x:c>
      <x:c r="K447" s="22" t="n">
        <x:v>0</x:v>
      </x:c>
      <x:c r="L447" s="22" t="n">
        <x:v>0</x:v>
      </x:c>
      <x:c r="M447" s="37" t="n">
        <x:f>K447*L447</x:f>
        <x:v>0</x:v>
      </x:c>
      <x:c r="N447" s="22" t="n">
        <x:v>0</x:v>
      </x:c>
      <x:c r="O447" s="37" t="n">
        <x:f>'Family Register'!H43*0.9</x:f>
        <x:v>648</x:v>
      </x:c>
      <x:c r="P447" s="37" t="n">
        <x:f>IF(AND(N447&gt;0,N447&lt;=O447),1,0)</x:f>
        <x:v>0</x:v>
      </x:c>
      <x:c r="Q447" s="22" t="n">
        <x:v>0</x:v>
      </x:c>
      <x:c r="R447" s="37" t="n">
        <x:f>IF(AND(P447=1,Q447=1),MIN(F447,M447,R446),0)</x:f>
        <x:v>0</x:v>
      </x:c>
      <x:c r="S447" s="23" t="str">
        <x:f>IF(R447&gt;=F447,"ADMITTED","NOT ADMITTED")</x:f>
        <x:v>NOT ADMITTED</x:v>
      </x:c>
    </x:row>
    <x:row r="448">
      <x:c r="B448" s="21" t="str">
        <x:v>SL-0442</x:v>
      </x:c>
      <x:c r="C448" s="21" t="str">
        <x:v>F37</x:v>
      </x:c>
      <x:c r="D448" s="21" t="n">
        <x:v>10</x:v>
      </x:c>
      <x:c r="E448" s="21" t="str">
        <x:v>Receiving-node admission</x:v>
      </x:c>
      <x:c r="F448" s="37" t="n">
        <x:f>'Family Register'!L43</x:f>
        <x:v>4</x:v>
      </x:c>
      <x:c r="G448" s="37" t="n">
        <x:f>INDEX(Scenarios!$I$7:$I$12,Assumptions!C7)</x:f>
        <x:v>0.75</x:v>
      </x:c>
      <x:c r="H448" s="37" t="n">
        <x:f>'Family Register'!G43*'Family Register'!I43*G448</x:f>
        <x:v>4.35</x:v>
      </x:c>
      <x:c r="I448" s="37" t="n">
        <x:f>J447</x:f>
        <x:v>3.77</x:v>
      </x:c>
      <x:c r="J448" s="37" t="n">
        <x:f>MIN(F448,H448,I448)</x:f>
        <x:v>3.77</x:v>
      </x:c>
      <x:c r="K448" s="22" t="n">
        <x:v>0</x:v>
      </x:c>
      <x:c r="L448" s="22" t="n">
        <x:v>0</x:v>
      </x:c>
      <x:c r="M448" s="37" t="n">
        <x:f>K448*L448</x:f>
        <x:v>0</x:v>
      </x:c>
      <x:c r="N448" s="22" t="n">
        <x:v>0</x:v>
      </x:c>
      <x:c r="O448" s="37" t="n">
        <x:f>'Family Register'!H43*0.94</x:f>
        <x:v>676.8</x:v>
      </x:c>
      <x:c r="P448" s="37" t="n">
        <x:f>IF(AND(N448&gt;0,N448&lt;=O448),1,0)</x:f>
        <x:v>0</x:v>
      </x:c>
      <x:c r="Q448" s="22" t="n">
        <x:v>0</x:v>
      </x:c>
      <x:c r="R448" s="37" t="n">
        <x:f>IF(AND(P448=1,Q448=1),MIN(F448,M448,R447),0)</x:f>
        <x:v>0</x:v>
      </x:c>
      <x:c r="S448" s="23" t="str">
        <x:f>IF(R448&gt;=F448,"ADMITTED","NOT ADMITTED")</x:f>
        <x:v>NOT ADMITTED</x:v>
      </x:c>
    </x:row>
    <x:row r="449">
      <x:c r="B449" s="21" t="str">
        <x:v>SL-0443</x:v>
      </x:c>
      <x:c r="C449" s="21" t="str">
        <x:v>F37</x:v>
      </x:c>
      <x:c r="D449" s="21" t="n">
        <x:v>11</x:v>
      </x:c>
      <x:c r="E449" s="21" t="str">
        <x:v>Commissioned public service</x:v>
      </x:c>
      <x:c r="F449" s="37" t="n">
        <x:f>'Family Register'!L43</x:f>
        <x:v>4</x:v>
      </x:c>
      <x:c r="G449" s="37" t="n">
        <x:f>MIN(INDEX(Scenarios!$G$7:$G$12,Assumptions!C7),INDEX(Scenarios!$I$7:$I$12,Assumptions!C7))</x:f>
        <x:v>0.7</x:v>
      </x:c>
      <x:c r="H449" s="37" t="n">
        <x:f>'Family Register'!G43*'Family Register'!I43*G449</x:f>
        <x:v>4.06</x:v>
      </x:c>
      <x:c r="I449" s="37" t="n">
        <x:f>J448</x:f>
        <x:v>3.77</x:v>
      </x:c>
      <x:c r="J449" s="37" t="n">
        <x:f>MIN(F449,H449,I449)</x:f>
        <x:v>3.77</x:v>
      </x:c>
      <x:c r="K449" s="22" t="n">
        <x:v>0</x:v>
      </x:c>
      <x:c r="L449" s="22" t="n">
        <x:v>0</x:v>
      </x:c>
      <x:c r="M449" s="37" t="n">
        <x:f>K449*L449</x:f>
        <x:v>0</x:v>
      </x:c>
      <x:c r="N449" s="22" t="n">
        <x:v>0</x:v>
      </x:c>
      <x:c r="O449" s="37" t="n">
        <x:f>'Family Register'!H43*1</x:f>
        <x:v>720</x:v>
      </x:c>
      <x:c r="P449" s="37" t="n">
        <x:f>IF(AND(N449&gt;0,N449&lt;=O449),1,0)</x:f>
        <x:v>0</x:v>
      </x:c>
      <x:c r="Q449" s="22" t="n">
        <x:v>0</x:v>
      </x:c>
      <x:c r="R449" s="37" t="n">
        <x:f>IF(AND(P449=1,Q449=1),MIN(F449,M449,R448),0)</x:f>
        <x:v>0</x:v>
      </x:c>
      <x:c r="S449" s="23" t="str">
        <x:f>IF(R449&gt;=F449,"ADMITTED","NOT ADMITTED")</x:f>
        <x:v>NOT ADMITTED</x:v>
      </x:c>
    </x:row>
    <x:row r="450">
      <x:c r="B450" s="21" t="str">
        <x:v>SL-0444</x:v>
      </x:c>
      <x:c r="C450" s="21" t="str">
        <x:v>F37</x:v>
      </x:c>
      <x:c r="D450" s="21" t="n">
        <x:v>12</x:v>
      </x:c>
      <x:c r="E450" s="21" t="str">
        <x:v>Regeneration and replacement</x:v>
      </x:c>
      <x:c r="F450" s="37" t="n">
        <x:f>'Family Register'!L43</x:f>
        <x:v>4</x:v>
      </x:c>
      <x:c r="G450" s="37" t="n">
        <x:f>MIN(INDEX(Scenarios!$E$7:$E$12,Assumptions!C7),INDEX(Scenarios!$F$7:$F$12,Assumptions!C7))</x:f>
        <x:v>0.7</x:v>
      </x:c>
      <x:c r="H450" s="37" t="n">
        <x:f>'Family Register'!G43*'Family Register'!I43*G450</x:f>
        <x:v>4.06</x:v>
      </x:c>
      <x:c r="I450" s="37" t="n">
        <x:f>J449</x:f>
        <x:v>3.77</x:v>
      </x:c>
      <x:c r="J450" s="37" t="n">
        <x:f>MIN(F450,H450,I450)</x:f>
        <x:v>3.77</x:v>
      </x:c>
      <x:c r="K450" s="22" t="n">
        <x:v>0</x:v>
      </x:c>
      <x:c r="L450" s="22" t="n">
        <x:v>0</x:v>
      </x:c>
      <x:c r="M450" s="37" t="n">
        <x:f>K450*L450</x:f>
        <x:v>0</x:v>
      </x:c>
      <x:c r="N450" s="22" t="n">
        <x:v>0</x:v>
      </x:c>
      <x:c r="O450" s="37" t="n">
        <x:f>'Family Register'!H43+168</x:f>
        <x:v>888</x:v>
      </x:c>
      <x:c r="P450" s="37" t="n">
        <x:f>IF(AND(N450&gt;0,N450&lt;=O450),1,0)</x:f>
        <x:v>0</x:v>
      </x:c>
      <x:c r="Q450" s="22" t="n">
        <x:v>0</x:v>
      </x:c>
      <x:c r="R450" s="37" t="n">
        <x:f>IF(AND(P450=1,Q450=1),MIN(F450,M450,R449),0)</x:f>
        <x:v>0</x:v>
      </x:c>
      <x:c r="S450" s="23" t="str">
        <x:f>IF(R450&gt;=F450,"ADMITTED","NOT ADMITTED")</x:f>
        <x:v>NOT ADMITTED</x:v>
      </x:c>
    </x:row>
    <x:row r="451">
      <x:c r="B451" s="21" t="str">
        <x:v>SL-0445</x:v>
      </x:c>
      <x:c r="C451" s="21" t="str">
        <x:v>F38</x:v>
      </x:c>
      <x:c r="D451" s="21" t="n">
        <x:v>1</x:v>
      </x:c>
      <x:c r="E451" s="21" t="str">
        <x:v>Alert authentication</x:v>
      </x:c>
      <x:c r="F451" s="37" t="n">
        <x:f>'Family Register'!L44</x:f>
        <x:v>12</x:v>
      </x:c>
      <x:c r="G451" s="37" t="n">
        <x:f>INDEX(Scenarios!$K$7:$K$12,Assumptions!C7)</x:f>
        <x:v>0.75</x:v>
      </x:c>
      <x:c r="H451" s="37" t="n">
        <x:f>'Family Register'!G44*'Family Register'!I44*G451</x:f>
        <x:v>14.400000000000002</x:v>
      </x:c>
      <x:c r="I451" s="37" t="n">
        <x:f>F451</x:f>
        <x:v>12</x:v>
      </x:c>
      <x:c r="J451" s="37" t="n">
        <x:f>MIN(F451,H451,I451)</x:f>
        <x:v>12</x:v>
      </x:c>
      <x:c r="K451" s="22" t="n">
        <x:v>0</x:v>
      </x:c>
      <x:c r="L451" s="22" t="n">
        <x:v>0</x:v>
      </x:c>
      <x:c r="M451" s="37" t="n">
        <x:f>K451*L451</x:f>
        <x:v>0</x:v>
      </x:c>
      <x:c r="N451" s="22" t="n">
        <x:v>0</x:v>
      </x:c>
      <x:c r="O451" s="37" t="n">
        <x:f>2</x:f>
        <x:v>2</x:v>
      </x:c>
      <x:c r="P451" s="37" t="n">
        <x:f>IF(AND(N451&gt;0,N451&lt;=O451),1,0)</x:f>
        <x:v>0</x:v>
      </x:c>
      <x:c r="Q451" s="22" t="n">
        <x:v>0</x:v>
      </x:c>
      <x:c r="R451" s="37" t="n">
        <x:f>IF(AND(P451=1,Q451=1),MIN(F451,M451),0)</x:f>
        <x:v>0</x:v>
      </x:c>
      <x:c r="S451" s="23" t="str">
        <x:f>IF(R451&gt;=F451,"ADMITTED","NOT ADMITTED")</x:f>
        <x:v>NOT ADMITTED</x:v>
      </x:c>
    </x:row>
    <x:row r="452">
      <x:c r="B452" s="21" t="str">
        <x:v>SL-0446</x:v>
      </x:c>
      <x:c r="C452" s="21" t="str">
        <x:v>F38</x:v>
      </x:c>
      <x:c r="D452" s="21" t="n">
        <x:v>2</x:v>
      </x:c>
      <x:c r="E452" s="21" t="str">
        <x:v>Workforce muster</x:v>
      </x:c>
      <x:c r="F452" s="37" t="n">
        <x:f>'Family Register'!L44</x:f>
        <x:v>12</x:v>
      </x:c>
      <x:c r="G452" s="37" t="n">
        <x:f>INDEX(Scenarios!$J$7:$J$12,Assumptions!C7)</x:f>
        <x:v>0.8</x:v>
      </x:c>
      <x:c r="H452" s="37" t="n">
        <x:f>'Family Register'!G44*'Family Register'!I44*G452</x:f>
        <x:v>15.360000000000003</x:v>
      </x:c>
      <x:c r="I452" s="37" t="n">
        <x:f>J451</x:f>
        <x:v>12</x:v>
      </x:c>
      <x:c r="J452" s="37" t="n">
        <x:f>MIN(F452,H452,I452)</x:f>
        <x:v>12</x:v>
      </x:c>
      <x:c r="K452" s="22" t="n">
        <x:v>0</x:v>
      </x:c>
      <x:c r="L452" s="22" t="n">
        <x:v>0</x:v>
      </x:c>
      <x:c r="M452" s="37" t="n">
        <x:f>K452*L452</x:f>
        <x:v>0</x:v>
      </x:c>
      <x:c r="N452" s="22" t="n">
        <x:v>0</x:v>
      </x:c>
      <x:c r="O452" s="37" t="n">
        <x:f>12</x:f>
        <x:v>12</x:v>
      </x:c>
      <x:c r="P452" s="37" t="n">
        <x:f>IF(AND(N452&gt;0,N452&lt;=O452),1,0)</x:f>
        <x:v>0</x:v>
      </x:c>
      <x:c r="Q452" s="22" t="n">
        <x:v>0</x:v>
      </x:c>
      <x:c r="R452" s="37" t="n">
        <x:f>IF(AND(P452=1,Q452=1),MIN(F452,M452,R451),0)</x:f>
        <x:v>0</x:v>
      </x:c>
      <x:c r="S452" s="23" t="str">
        <x:f>IF(R452&gt;=F452,"ADMITTED","NOT ADMITTED")</x:f>
        <x:v>NOT ADMITTED</x:v>
      </x:c>
    </x:row>
    <x:row r="453">
      <x:c r="B453" s="21" t="str">
        <x:v>SL-0447</x:v>
      </x:c>
      <x:c r="C453" s="21" t="str">
        <x:v>F38</x:v>
      </x:c>
      <x:c r="D453" s="21" t="n">
        <x:v>3</x:v>
      </x:c>
      <x:c r="E453" s="21" t="str">
        <x:v>Facility utility and safe start</x:v>
      </x:c>
      <x:c r="F453" s="37" t="n">
        <x:f>'Family Register'!L44</x:f>
        <x:v>12</x:v>
      </x:c>
      <x:c r="G453" s="37" t="n">
        <x:f>INDEX(Scenarios!$G$7:$G$12,Assumptions!C7)</x:f>
        <x:v>0.7</x:v>
      </x:c>
      <x:c r="H453" s="37" t="n">
        <x:f>'Family Register'!G44*'Family Register'!I44*G453</x:f>
        <x:v>13.440000000000001</x:v>
      </x:c>
      <x:c r="I453" s="37" t="n">
        <x:f>J452</x:f>
        <x:v>12</x:v>
      </x:c>
      <x:c r="J453" s="37" t="n">
        <x:f>MIN(F453,H453,I453)</x:f>
        <x:v>12</x:v>
      </x:c>
      <x:c r="K453" s="22" t="n">
        <x:v>0</x:v>
      </x:c>
      <x:c r="L453" s="22" t="n">
        <x:v>0</x:v>
      </x:c>
      <x:c r="M453" s="37" t="n">
        <x:f>K453*L453</x:f>
        <x:v>0</x:v>
      </x:c>
      <x:c r="N453" s="22" t="n">
        <x:v>0</x:v>
      </x:c>
      <x:c r="O453" s="37" t="n">
        <x:f>24</x:f>
        <x:v>24</x:v>
      </x:c>
      <x:c r="P453" s="37" t="n">
        <x:f>IF(AND(N453&gt;0,N453&lt;=O453),1,0)</x:f>
        <x:v>0</x:v>
      </x:c>
      <x:c r="Q453" s="22" t="n">
        <x:v>0</x:v>
      </x:c>
      <x:c r="R453" s="37" t="n">
        <x:f>IF(AND(P453=1,Q453=1),MIN(F453,M453,R452),0)</x:f>
        <x:v>0</x:v>
      </x:c>
      <x:c r="S453" s="23" t="str">
        <x:f>IF(R453&gt;=F453,"ADMITTED","NOT ADMITTED")</x:f>
        <x:v>NOT ADMITTED</x:v>
      </x:c>
    </x:row>
    <x:row r="454">
      <x:c r="B454" s="21" t="str">
        <x:v>SL-0448</x:v>
      </x:c>
      <x:c r="C454" s="21" t="str">
        <x:v>F38</x:v>
      </x:c>
      <x:c r="D454" s="21" t="n">
        <x:v>4</x:v>
      </x:c>
      <x:c r="E454" s="21" t="str">
        <x:v>Material tooling and instrument release</x:v>
      </x:c>
      <x:c r="F454" s="37" t="n">
        <x:f>'Family Register'!L44</x:f>
        <x:v>12</x:v>
      </x:c>
      <x:c r="G454" s="37" t="n">
        <x:f>INDEX(Scenarios!$E$7:$E$12,Assumptions!C7)</x:f>
        <x:v>0.75</x:v>
      </x:c>
      <x:c r="H454" s="37" t="n">
        <x:f>'Family Register'!G44*'Family Register'!I44*G454</x:f>
        <x:v>14.400000000000002</x:v>
      </x:c>
      <x:c r="I454" s="37" t="n">
        <x:f>J453</x:f>
        <x:v>12</x:v>
      </x:c>
      <x:c r="J454" s="37" t="n">
        <x:f>MIN(F454,H454,I454)</x:f>
        <x:v>12</x:v>
      </x:c>
      <x:c r="K454" s="22" t="n">
        <x:v>0</x:v>
      </x:c>
      <x:c r="L454" s="22" t="n">
        <x:v>0</x:v>
      </x:c>
      <x:c r="M454" s="37" t="n">
        <x:f>K454*L454</x:f>
        <x:v>0</x:v>
      </x:c>
      <x:c r="N454" s="22" t="n">
        <x:v>0</x:v>
      </x:c>
      <x:c r="O454" s="37" t="n">
        <x:f>36</x:f>
        <x:v>36</x:v>
      </x:c>
      <x:c r="P454" s="37" t="n">
        <x:f>IF(AND(N454&gt;0,N454&lt;=O454),1,0)</x:f>
        <x:v>0</x:v>
      </x:c>
      <x:c r="Q454" s="22" t="n">
        <x:v>0</x:v>
      </x:c>
      <x:c r="R454" s="37" t="n">
        <x:f>IF(AND(P454=1,Q454=1),MIN(F454,M454,R453),0)</x:f>
        <x:v>0</x:v>
      </x:c>
      <x:c r="S454" s="23" t="str">
        <x:f>IF(R454&gt;=F454,"ADMITTED","NOT ADMITTED")</x:f>
        <x:v>NOT ADMITTED</x:v>
      </x:c>
    </x:row>
    <x:row r="455">
      <x:c r="B455" s="21" t="str">
        <x:v>SL-0449</x:v>
      </x:c>
      <x:c r="C455" s="21" t="str">
        <x:v>F38</x:v>
      </x:c>
      <x:c r="D455" s="21" t="n">
        <x:v>5</x:v>
      </x:c>
      <x:c r="E455" s="21" t="str">
        <x:v>Supplier and process activation</x:v>
      </x:c>
      <x:c r="F455" s="37" t="n">
        <x:f>'Family Register'!L44</x:f>
        <x:v>12</x:v>
      </x:c>
      <x:c r="G455" s="37" t="n">
        <x:f>MIN(INDEX(Scenarios!$E$7:$E$12,Assumptions!C7),INDEX(Scenarios!$F$7:$F$12,Assumptions!C7))</x:f>
        <x:v>0.7</x:v>
      </x:c>
      <x:c r="H455" s="37" t="n">
        <x:f>'Family Register'!G44*'Family Register'!I44*G455</x:f>
        <x:v>13.440000000000001</x:v>
      </x:c>
      <x:c r="I455" s="37" t="n">
        <x:f>J454</x:f>
        <x:v>12</x:v>
      </x:c>
      <x:c r="J455" s="37" t="n">
        <x:f>MIN(F455,H455,I455)</x:f>
        <x:v>12</x:v>
      </x:c>
      <x:c r="K455" s="22" t="n">
        <x:v>0</x:v>
      </x:c>
      <x:c r="L455" s="22" t="n">
        <x:v>0</x:v>
      </x:c>
      <x:c r="M455" s="37" t="n">
        <x:f>K455*L455</x:f>
        <x:v>0</x:v>
      </x:c>
      <x:c r="N455" s="22" t="n">
        <x:v>0</x:v>
      </x:c>
      <x:c r="O455" s="37" t="n">
        <x:f>48</x:f>
        <x:v>48</x:v>
      </x:c>
      <x:c r="P455" s="37" t="n">
        <x:f>IF(AND(N455&gt;0,N455&lt;=O455),1,0)</x:f>
        <x:v>0</x:v>
      </x:c>
      <x:c r="Q455" s="22" t="n">
        <x:v>0</x:v>
      </x:c>
      <x:c r="R455" s="37" t="n">
        <x:f>IF(AND(P455=1,Q455=1),MIN(F455,M455,R454),0)</x:f>
        <x:v>0</x:v>
      </x:c>
      <x:c r="S455" s="23" t="str">
        <x:f>IF(R455&gt;=F455,"ADMITTED","NOT ADMITTED")</x:f>
        <x:v>NOT ADMITTED</x:v>
      </x:c>
    </x:row>
    <x:row r="456">
      <x:c r="B456" s="21" t="str">
        <x:v>SL-0450</x:v>
      </x:c>
      <x:c r="C456" s="21" t="str">
        <x:v>F38</x:v>
      </x:c>
      <x:c r="D456" s="21" t="n">
        <x:v>6</x:v>
      </x:c>
      <x:c r="E456" s="21" t="str">
        <x:v>Conforming production</x:v>
      </x:c>
      <x:c r="F456" s="37" t="n">
        <x:f>'Family Register'!L44</x:f>
        <x:v>12</x:v>
      </x:c>
      <x:c r="G456" s="37" t="n">
        <x:f>INDEX(Scenarios!$F$7:$F$12,Assumptions!C7)</x:f>
        <x:v>0.7</x:v>
      </x:c>
      <x:c r="H456" s="37" t="n">
        <x:f>'Family Register'!G44*'Family Register'!I44*G456</x:f>
        <x:v>13.440000000000001</x:v>
      </x:c>
      <x:c r="I456" s="37" t="n">
        <x:f>J455</x:f>
        <x:v>12</x:v>
      </x:c>
      <x:c r="J456" s="37" t="n">
        <x:f>MIN(F456,H456,I456)</x:f>
        <x:v>12</x:v>
      </x:c>
      <x:c r="K456" s="22" t="n">
        <x:v>0</x:v>
      </x:c>
      <x:c r="L456" s="22" t="n">
        <x:v>0</x:v>
      </x:c>
      <x:c r="M456" s="37" t="n">
        <x:f>K456*L456</x:f>
        <x:v>0</x:v>
      </x:c>
      <x:c r="N456" s="22" t="n">
        <x:v>0</x:v>
      </x:c>
      <x:c r="O456" s="37" t="n">
        <x:f>'Family Register'!H44*0.55</x:f>
        <x:v>184.8</x:v>
      </x:c>
      <x:c r="P456" s="37" t="n">
        <x:f>IF(AND(N456&gt;0,N456&lt;=O456),1,0)</x:f>
        <x:v>0</x:v>
      </x:c>
      <x:c r="Q456" s="22" t="n">
        <x:v>0</x:v>
      </x:c>
      <x:c r="R456" s="37" t="n">
        <x:f>IF(AND(P456=1,Q456=1),MIN(F456,M456,R455),0)</x:f>
        <x:v>0</x:v>
      </x:c>
      <x:c r="S456" s="23" t="str">
        <x:f>IF(R456&gt;=F456,"ADMITTED","NOT ADMITTED")</x:f>
        <x:v>NOT ADMITTED</x:v>
      </x:c>
    </x:row>
    <x:row r="457">
      <x:c r="B457" s="21" t="str">
        <x:v>SL-0451</x:v>
      </x:c>
      <x:c r="C457" s="21" t="str">
        <x:v>F38</x:v>
      </x:c>
      <x:c r="D457" s="21" t="n">
        <x:v>7</x:v>
      </x:c>
      <x:c r="E457" s="21" t="str">
        <x:v>Independent acceptance</x:v>
      </x:c>
      <x:c r="F457" s="37" t="n">
        <x:f>'Family Register'!L44</x:f>
        <x:v>12</x:v>
      </x:c>
      <x:c r="G457" s="37" t="n">
        <x:f>INDEX(Scenarios!$L$7:$L$12,Assumptions!C7)</x:f>
        <x:v>0.8</x:v>
      </x:c>
      <x:c r="H457" s="37" t="n">
        <x:f>'Family Register'!G44*'Family Register'!I44*G457</x:f>
        <x:v>15.360000000000003</x:v>
      </x:c>
      <x:c r="I457" s="37" t="n">
        <x:f>J456</x:f>
        <x:v>12</x:v>
      </x:c>
      <x:c r="J457" s="37" t="n">
        <x:f>MIN(F457,H457,I457)</x:f>
        <x:v>12</x:v>
      </x:c>
      <x:c r="K457" s="22" t="n">
        <x:v>0</x:v>
      </x:c>
      <x:c r="L457" s="22" t="n">
        <x:v>0</x:v>
      </x:c>
      <x:c r="M457" s="37" t="n">
        <x:f>K457*L457</x:f>
        <x:v>0</x:v>
      </x:c>
      <x:c r="N457" s="22" t="n">
        <x:v>0</x:v>
      </x:c>
      <x:c r="O457" s="37" t="n">
        <x:f>'Family Register'!H44*0.65</x:f>
        <x:v>218.4</x:v>
      </x:c>
      <x:c r="P457" s="37" t="n">
        <x:f>IF(AND(N457&gt;0,N457&lt;=O457),1,0)</x:f>
        <x:v>0</x:v>
      </x:c>
      <x:c r="Q457" s="22" t="n">
        <x:v>0</x:v>
      </x:c>
      <x:c r="R457" s="37" t="n">
        <x:f>IF(AND(P457=1,Q457=1),MIN(F457,M457,R456),0)</x:f>
        <x:v>0</x:v>
      </x:c>
      <x:c r="S457" s="23" t="str">
        <x:f>IF(R457&gt;=F457,"ADMITTED","NOT ADMITTED")</x:f>
        <x:v>NOT ADMITTED</x:v>
      </x:c>
    </x:row>
    <x:row r="458">
      <x:c r="B458" s="21" t="str">
        <x:v>SL-0452</x:v>
      </x:c>
      <x:c r="C458" s="21" t="str">
        <x:v>F38</x:v>
      </x:c>
      <x:c r="D458" s="21" t="n">
        <x:v>8</x:v>
      </x:c>
      <x:c r="E458" s="21" t="str">
        <x:v>Loadout and custody transfer</x:v>
      </x:c>
      <x:c r="F458" s="37" t="n">
        <x:f>'Family Register'!L44</x:f>
        <x:v>12</x:v>
      </x:c>
      <x:c r="G458" s="37" t="n">
        <x:f>INDEX(Scenarios!$H$7:$H$12,Assumptions!C7)</x:f>
        <x:v>0.65</x:v>
      </x:c>
      <x:c r="H458" s="37" t="n">
        <x:f>'Family Register'!G44*'Family Register'!I44*G458</x:f>
        <x:v>12.480000000000002</x:v>
      </x:c>
      <x:c r="I458" s="37" t="n">
        <x:f>J457</x:f>
        <x:v>12</x:v>
      </x:c>
      <x:c r="J458" s="37" t="n">
        <x:f>MIN(F458,H458,I458)</x:f>
        <x:v>12</x:v>
      </x:c>
      <x:c r="K458" s="22" t="n">
        <x:v>0</x:v>
      </x:c>
      <x:c r="L458" s="22" t="n">
        <x:v>0</x:v>
      </x:c>
      <x:c r="M458" s="37" t="n">
        <x:f>K458*L458</x:f>
        <x:v>0</x:v>
      </x:c>
      <x:c r="N458" s="22" t="n">
        <x:v>0</x:v>
      </x:c>
      <x:c r="O458" s="37" t="n">
        <x:f>'Family Register'!H44*0.7</x:f>
        <x:v>235.2</x:v>
      </x:c>
      <x:c r="P458" s="37" t="n">
        <x:f>IF(AND(N458&gt;0,N458&lt;=O458),1,0)</x:f>
        <x:v>0</x:v>
      </x:c>
      <x:c r="Q458" s="22" t="n">
        <x:v>0</x:v>
      </x:c>
      <x:c r="R458" s="37" t="n">
        <x:f>IF(AND(P458=1,Q458=1),MIN(F458,M458,R457),0)</x:f>
        <x:v>0</x:v>
      </x:c>
      <x:c r="S458" s="23" t="str">
        <x:f>IF(R458&gt;=F458,"ADMITTED","NOT ADMITTED")</x:f>
        <x:v>NOT ADMITTED</x:v>
      </x:c>
    </x:row>
    <x:row r="459">
      <x:c r="B459" s="21" t="str">
        <x:v>SL-0453</x:v>
      </x:c>
      <x:c r="C459" s="21" t="str">
        <x:v>F38</x:v>
      </x:c>
      <x:c r="D459" s="21" t="n">
        <x:v>9</x:v>
      </x:c>
      <x:c r="E459" s="21" t="str">
        <x:v>Strategic transport</x:v>
      </x:c>
      <x:c r="F459" s="37" t="n">
        <x:f>'Family Register'!L44</x:f>
        <x:v>12</x:v>
      </x:c>
      <x:c r="G459" s="37" t="n">
        <x:f>INDEX(Scenarios!$H$7:$H$12,Assumptions!C7)</x:f>
        <x:v>0.65</x:v>
      </x:c>
      <x:c r="H459" s="37" t="n">
        <x:f>'Family Register'!G44*'Family Register'!I44*G459</x:f>
        <x:v>12.480000000000002</x:v>
      </x:c>
      <x:c r="I459" s="37" t="n">
        <x:f>J458</x:f>
        <x:v>12</x:v>
      </x:c>
      <x:c r="J459" s="37" t="n">
        <x:f>MIN(F459,H459,I459)</x:f>
        <x:v>12</x:v>
      </x:c>
      <x:c r="K459" s="22" t="n">
        <x:v>0</x:v>
      </x:c>
      <x:c r="L459" s="22" t="n">
        <x:v>0</x:v>
      </x:c>
      <x:c r="M459" s="37" t="n">
        <x:f>K459*L459</x:f>
        <x:v>0</x:v>
      </x:c>
      <x:c r="N459" s="22" t="n">
        <x:v>0</x:v>
      </x:c>
      <x:c r="O459" s="37" t="n">
        <x:f>'Family Register'!H44*0.9</x:f>
        <x:v>302.40000000000003</x:v>
      </x:c>
      <x:c r="P459" s="37" t="n">
        <x:f>IF(AND(N459&gt;0,N459&lt;=O459),1,0)</x:f>
        <x:v>0</x:v>
      </x:c>
      <x:c r="Q459" s="22" t="n">
        <x:v>0</x:v>
      </x:c>
      <x:c r="R459" s="37" t="n">
        <x:f>IF(AND(P459=1,Q459=1),MIN(F459,M459,R458),0)</x:f>
        <x:v>0</x:v>
      </x:c>
      <x:c r="S459" s="23" t="str">
        <x:f>IF(R459&gt;=F459,"ADMITTED","NOT ADMITTED")</x:f>
        <x:v>NOT ADMITTED</x:v>
      </x:c>
    </x:row>
    <x:row r="460">
      <x:c r="B460" s="21" t="str">
        <x:v>SL-0454</x:v>
      </x:c>
      <x:c r="C460" s="21" t="str">
        <x:v>F38</x:v>
      </x:c>
      <x:c r="D460" s="21" t="n">
        <x:v>10</x:v>
      </x:c>
      <x:c r="E460" s="21" t="str">
        <x:v>Receiving-node admission</x:v>
      </x:c>
      <x:c r="F460" s="37" t="n">
        <x:f>'Family Register'!L44</x:f>
        <x:v>12</x:v>
      </x:c>
      <x:c r="G460" s="37" t="n">
        <x:f>INDEX(Scenarios!$I$7:$I$12,Assumptions!C7)</x:f>
        <x:v>0.75</x:v>
      </x:c>
      <x:c r="H460" s="37" t="n">
        <x:f>'Family Register'!G44*'Family Register'!I44*G460</x:f>
        <x:v>14.400000000000002</x:v>
      </x:c>
      <x:c r="I460" s="37" t="n">
        <x:f>J459</x:f>
        <x:v>12</x:v>
      </x:c>
      <x:c r="J460" s="37" t="n">
        <x:f>MIN(F460,H460,I460)</x:f>
        <x:v>12</x:v>
      </x:c>
      <x:c r="K460" s="22" t="n">
        <x:v>0</x:v>
      </x:c>
      <x:c r="L460" s="22" t="n">
        <x:v>0</x:v>
      </x:c>
      <x:c r="M460" s="37" t="n">
        <x:f>K460*L460</x:f>
        <x:v>0</x:v>
      </x:c>
      <x:c r="N460" s="22" t="n">
        <x:v>0</x:v>
      </x:c>
      <x:c r="O460" s="37" t="n">
        <x:f>'Family Register'!H44*0.94</x:f>
        <x:v>315.84</x:v>
      </x:c>
      <x:c r="P460" s="37" t="n">
        <x:f>IF(AND(N460&gt;0,N460&lt;=O460),1,0)</x:f>
        <x:v>0</x:v>
      </x:c>
      <x:c r="Q460" s="22" t="n">
        <x:v>0</x:v>
      </x:c>
      <x:c r="R460" s="37" t="n">
        <x:f>IF(AND(P460=1,Q460=1),MIN(F460,M460,R459),0)</x:f>
        <x:v>0</x:v>
      </x:c>
      <x:c r="S460" s="23" t="str">
        <x:f>IF(R460&gt;=F460,"ADMITTED","NOT ADMITTED")</x:f>
        <x:v>NOT ADMITTED</x:v>
      </x:c>
    </x:row>
    <x:row r="461">
      <x:c r="B461" s="21" t="str">
        <x:v>SL-0455</x:v>
      </x:c>
      <x:c r="C461" s="21" t="str">
        <x:v>F38</x:v>
      </x:c>
      <x:c r="D461" s="21" t="n">
        <x:v>11</x:v>
      </x:c>
      <x:c r="E461" s="21" t="str">
        <x:v>Commissioned public service</x:v>
      </x:c>
      <x:c r="F461" s="37" t="n">
        <x:f>'Family Register'!L44</x:f>
        <x:v>12</x:v>
      </x:c>
      <x:c r="G461" s="37" t="n">
        <x:f>MIN(INDEX(Scenarios!$G$7:$G$12,Assumptions!C7),INDEX(Scenarios!$I$7:$I$12,Assumptions!C7))</x:f>
        <x:v>0.7</x:v>
      </x:c>
      <x:c r="H461" s="37" t="n">
        <x:f>'Family Register'!G44*'Family Register'!I44*G461</x:f>
        <x:v>13.440000000000001</x:v>
      </x:c>
      <x:c r="I461" s="37" t="n">
        <x:f>J460</x:f>
        <x:v>12</x:v>
      </x:c>
      <x:c r="J461" s="37" t="n">
        <x:f>MIN(F461,H461,I461)</x:f>
        <x:v>12</x:v>
      </x:c>
      <x:c r="K461" s="22" t="n">
        <x:v>0</x:v>
      </x:c>
      <x:c r="L461" s="22" t="n">
        <x:v>0</x:v>
      </x:c>
      <x:c r="M461" s="37" t="n">
        <x:f>K461*L461</x:f>
        <x:v>0</x:v>
      </x:c>
      <x:c r="N461" s="22" t="n">
        <x:v>0</x:v>
      </x:c>
      <x:c r="O461" s="37" t="n">
        <x:f>'Family Register'!H44*1</x:f>
        <x:v>336</x:v>
      </x:c>
      <x:c r="P461" s="37" t="n">
        <x:f>IF(AND(N461&gt;0,N461&lt;=O461),1,0)</x:f>
        <x:v>0</x:v>
      </x:c>
      <x:c r="Q461" s="22" t="n">
        <x:v>0</x:v>
      </x:c>
      <x:c r="R461" s="37" t="n">
        <x:f>IF(AND(P461=1,Q461=1),MIN(F461,M461,R460),0)</x:f>
        <x:v>0</x:v>
      </x:c>
      <x:c r="S461" s="23" t="str">
        <x:f>IF(R461&gt;=F461,"ADMITTED","NOT ADMITTED")</x:f>
        <x:v>NOT ADMITTED</x:v>
      </x:c>
    </x:row>
    <x:row r="462">
      <x:c r="B462" s="21" t="str">
        <x:v>SL-0456</x:v>
      </x:c>
      <x:c r="C462" s="21" t="str">
        <x:v>F38</x:v>
      </x:c>
      <x:c r="D462" s="21" t="n">
        <x:v>12</x:v>
      </x:c>
      <x:c r="E462" s="21" t="str">
        <x:v>Regeneration and replacement</x:v>
      </x:c>
      <x:c r="F462" s="37" t="n">
        <x:f>'Family Register'!L44</x:f>
        <x:v>12</x:v>
      </x:c>
      <x:c r="G462" s="37" t="n">
        <x:f>MIN(INDEX(Scenarios!$E$7:$E$12,Assumptions!C7),INDEX(Scenarios!$F$7:$F$12,Assumptions!C7))</x:f>
        <x:v>0.7</x:v>
      </x:c>
      <x:c r="H462" s="37" t="n">
        <x:f>'Family Register'!G44*'Family Register'!I44*G462</x:f>
        <x:v>13.440000000000001</x:v>
      </x:c>
      <x:c r="I462" s="37" t="n">
        <x:f>J461</x:f>
        <x:v>12</x:v>
      </x:c>
      <x:c r="J462" s="37" t="n">
        <x:f>MIN(F462,H462,I462)</x:f>
        <x:v>12</x:v>
      </x:c>
      <x:c r="K462" s="22" t="n">
        <x:v>0</x:v>
      </x:c>
      <x:c r="L462" s="22" t="n">
        <x:v>0</x:v>
      </x:c>
      <x:c r="M462" s="37" t="n">
        <x:f>K462*L462</x:f>
        <x:v>0</x:v>
      </x:c>
      <x:c r="N462" s="22" t="n">
        <x:v>0</x:v>
      </x:c>
      <x:c r="O462" s="37" t="n">
        <x:f>'Family Register'!H44+168</x:f>
        <x:v>504</x:v>
      </x:c>
      <x:c r="P462" s="37" t="n">
        <x:f>IF(AND(N462&gt;0,N462&lt;=O462),1,0)</x:f>
        <x:v>0</x:v>
      </x:c>
      <x:c r="Q462" s="22" t="n">
        <x:v>0</x:v>
      </x:c>
      <x:c r="R462" s="37" t="n">
        <x:f>IF(AND(P462=1,Q462=1),MIN(F462,M462,R461),0)</x:f>
        <x:v>0</x:v>
      </x:c>
      <x:c r="S462" s="23" t="str">
        <x:f>IF(R462&gt;=F462,"ADMITTED","NOT ADMITTED")</x:f>
        <x:v>NOT ADMITTED</x:v>
      </x:c>
    </x:row>
    <x:row r="463">
      <x:c r="B463" s="21" t="str">
        <x:v>SL-0457</x:v>
      </x:c>
      <x:c r="C463" s="21" t="str">
        <x:v>F39</x:v>
      </x:c>
      <x:c r="D463" s="21" t="n">
        <x:v>1</x:v>
      </x:c>
      <x:c r="E463" s="21" t="str">
        <x:v>Alert authentication</x:v>
      </x:c>
      <x:c r="F463" s="37" t="n">
        <x:f>'Family Register'!L45</x:f>
        <x:v>4</x:v>
      </x:c>
      <x:c r="G463" s="37" t="n">
        <x:f>INDEX(Scenarios!$K$7:$K$12,Assumptions!C7)</x:f>
        <x:v>0.75</x:v>
      </x:c>
      <x:c r="H463" s="37" t="n">
        <x:f>'Family Register'!G45*'Family Register'!I45*G463</x:f>
        <x:v>4.800000000000001</x:v>
      </x:c>
      <x:c r="I463" s="37" t="n">
        <x:f>F463</x:f>
        <x:v>4</x:v>
      </x:c>
      <x:c r="J463" s="37" t="n">
        <x:f>MIN(F463,H463,I463)</x:f>
        <x:v>4</x:v>
      </x:c>
      <x:c r="K463" s="22" t="n">
        <x:v>0</x:v>
      </x:c>
      <x:c r="L463" s="22" t="n">
        <x:v>0</x:v>
      </x:c>
      <x:c r="M463" s="37" t="n">
        <x:f>K463*L463</x:f>
        <x:v>0</x:v>
      </x:c>
      <x:c r="N463" s="22" t="n">
        <x:v>0</x:v>
      </x:c>
      <x:c r="O463" s="37" t="n">
        <x:f>2</x:f>
        <x:v>2</x:v>
      </x:c>
      <x:c r="P463" s="37" t="n">
        <x:f>IF(AND(N463&gt;0,N463&lt;=O463),1,0)</x:f>
        <x:v>0</x:v>
      </x:c>
      <x:c r="Q463" s="22" t="n">
        <x:v>0</x:v>
      </x:c>
      <x:c r="R463" s="37" t="n">
        <x:f>IF(AND(P463=1,Q463=1),MIN(F463,M463),0)</x:f>
        <x:v>0</x:v>
      </x:c>
      <x:c r="S463" s="23" t="str">
        <x:f>IF(R463&gt;=F463,"ADMITTED","NOT ADMITTED")</x:f>
        <x:v>NOT ADMITTED</x:v>
      </x:c>
    </x:row>
    <x:row r="464">
      <x:c r="B464" s="21" t="str">
        <x:v>SL-0458</x:v>
      </x:c>
      <x:c r="C464" s="21" t="str">
        <x:v>F39</x:v>
      </x:c>
      <x:c r="D464" s="21" t="n">
        <x:v>2</x:v>
      </x:c>
      <x:c r="E464" s="21" t="str">
        <x:v>Workforce muster</x:v>
      </x:c>
      <x:c r="F464" s="37" t="n">
        <x:f>'Family Register'!L45</x:f>
        <x:v>4</x:v>
      </x:c>
      <x:c r="G464" s="37" t="n">
        <x:f>INDEX(Scenarios!$J$7:$J$12,Assumptions!C7)</x:f>
        <x:v>0.8</x:v>
      </x:c>
      <x:c r="H464" s="37" t="n">
        <x:f>'Family Register'!G45*'Family Register'!I45*G464</x:f>
        <x:v>5.120000000000001</x:v>
      </x:c>
      <x:c r="I464" s="37" t="n">
        <x:f>J463</x:f>
        <x:v>4</x:v>
      </x:c>
      <x:c r="J464" s="37" t="n">
        <x:f>MIN(F464,H464,I464)</x:f>
        <x:v>4</x:v>
      </x:c>
      <x:c r="K464" s="22" t="n">
        <x:v>0</x:v>
      </x:c>
      <x:c r="L464" s="22" t="n">
        <x:v>0</x:v>
      </x:c>
      <x:c r="M464" s="37" t="n">
        <x:f>K464*L464</x:f>
        <x:v>0</x:v>
      </x:c>
      <x:c r="N464" s="22" t="n">
        <x:v>0</x:v>
      </x:c>
      <x:c r="O464" s="37" t="n">
        <x:f>12</x:f>
        <x:v>12</x:v>
      </x:c>
      <x:c r="P464" s="37" t="n">
        <x:f>IF(AND(N464&gt;0,N464&lt;=O464),1,0)</x:f>
        <x:v>0</x:v>
      </x:c>
      <x:c r="Q464" s="22" t="n">
        <x:v>0</x:v>
      </x:c>
      <x:c r="R464" s="37" t="n">
        <x:f>IF(AND(P464=1,Q464=1),MIN(F464,M464,R463),0)</x:f>
        <x:v>0</x:v>
      </x:c>
      <x:c r="S464" s="23" t="str">
        <x:f>IF(R464&gt;=F464,"ADMITTED","NOT ADMITTED")</x:f>
        <x:v>NOT ADMITTED</x:v>
      </x:c>
    </x:row>
    <x:row r="465">
      <x:c r="B465" s="21" t="str">
        <x:v>SL-0459</x:v>
      </x:c>
      <x:c r="C465" s="21" t="str">
        <x:v>F39</x:v>
      </x:c>
      <x:c r="D465" s="21" t="n">
        <x:v>3</x:v>
      </x:c>
      <x:c r="E465" s="21" t="str">
        <x:v>Facility utility and safe start</x:v>
      </x:c>
      <x:c r="F465" s="37" t="n">
        <x:f>'Family Register'!L45</x:f>
        <x:v>4</x:v>
      </x:c>
      <x:c r="G465" s="37" t="n">
        <x:f>INDEX(Scenarios!$G$7:$G$12,Assumptions!C7)</x:f>
        <x:v>0.7</x:v>
      </x:c>
      <x:c r="H465" s="37" t="n">
        <x:f>'Family Register'!G45*'Family Register'!I45*G465</x:f>
        <x:v>4.4799999999999995</x:v>
      </x:c>
      <x:c r="I465" s="37" t="n">
        <x:f>J464</x:f>
        <x:v>4</x:v>
      </x:c>
      <x:c r="J465" s="37" t="n">
        <x:f>MIN(F465,H465,I465)</x:f>
        <x:v>4</x:v>
      </x:c>
      <x:c r="K465" s="22" t="n">
        <x:v>0</x:v>
      </x:c>
      <x:c r="L465" s="22" t="n">
        <x:v>0</x:v>
      </x:c>
      <x:c r="M465" s="37" t="n">
        <x:f>K465*L465</x:f>
        <x:v>0</x:v>
      </x:c>
      <x:c r="N465" s="22" t="n">
        <x:v>0</x:v>
      </x:c>
      <x:c r="O465" s="37" t="n">
        <x:f>24</x:f>
        <x:v>24</x:v>
      </x:c>
      <x:c r="P465" s="37" t="n">
        <x:f>IF(AND(N465&gt;0,N465&lt;=O465),1,0)</x:f>
        <x:v>0</x:v>
      </x:c>
      <x:c r="Q465" s="22" t="n">
        <x:v>0</x:v>
      </x:c>
      <x:c r="R465" s="37" t="n">
        <x:f>IF(AND(P465=1,Q465=1),MIN(F465,M465,R464),0)</x:f>
        <x:v>0</x:v>
      </x:c>
      <x:c r="S465" s="23" t="str">
        <x:f>IF(R465&gt;=F465,"ADMITTED","NOT ADMITTED")</x:f>
        <x:v>NOT ADMITTED</x:v>
      </x:c>
    </x:row>
    <x:row r="466">
      <x:c r="B466" s="21" t="str">
        <x:v>SL-0460</x:v>
      </x:c>
      <x:c r="C466" s="21" t="str">
        <x:v>F39</x:v>
      </x:c>
      <x:c r="D466" s="21" t="n">
        <x:v>4</x:v>
      </x:c>
      <x:c r="E466" s="21" t="str">
        <x:v>Material tooling and instrument release</x:v>
      </x:c>
      <x:c r="F466" s="37" t="n">
        <x:f>'Family Register'!L45</x:f>
        <x:v>4</x:v>
      </x:c>
      <x:c r="G466" s="37" t="n">
        <x:f>INDEX(Scenarios!$E$7:$E$12,Assumptions!C7)</x:f>
        <x:v>0.75</x:v>
      </x:c>
      <x:c r="H466" s="37" t="n">
        <x:f>'Family Register'!G45*'Family Register'!I45*G466</x:f>
        <x:v>4.800000000000001</x:v>
      </x:c>
      <x:c r="I466" s="37" t="n">
        <x:f>J465</x:f>
        <x:v>4</x:v>
      </x:c>
      <x:c r="J466" s="37" t="n">
        <x:f>MIN(F466,H466,I466)</x:f>
        <x:v>4</x:v>
      </x:c>
      <x:c r="K466" s="22" t="n">
        <x:v>0</x:v>
      </x:c>
      <x:c r="L466" s="22" t="n">
        <x:v>0</x:v>
      </x:c>
      <x:c r="M466" s="37" t="n">
        <x:f>K466*L466</x:f>
        <x:v>0</x:v>
      </x:c>
      <x:c r="N466" s="22" t="n">
        <x:v>0</x:v>
      </x:c>
      <x:c r="O466" s="37" t="n">
        <x:f>36</x:f>
        <x:v>36</x:v>
      </x:c>
      <x:c r="P466" s="37" t="n">
        <x:f>IF(AND(N466&gt;0,N466&lt;=O466),1,0)</x:f>
        <x:v>0</x:v>
      </x:c>
      <x:c r="Q466" s="22" t="n">
        <x:v>0</x:v>
      </x:c>
      <x:c r="R466" s="37" t="n">
        <x:f>IF(AND(P466=1,Q466=1),MIN(F466,M466,R465),0)</x:f>
        <x:v>0</x:v>
      </x:c>
      <x:c r="S466" s="23" t="str">
        <x:f>IF(R466&gt;=F466,"ADMITTED","NOT ADMITTED")</x:f>
        <x:v>NOT ADMITTED</x:v>
      </x:c>
    </x:row>
    <x:row r="467">
      <x:c r="B467" s="21" t="str">
        <x:v>SL-0461</x:v>
      </x:c>
      <x:c r="C467" s="21" t="str">
        <x:v>F39</x:v>
      </x:c>
      <x:c r="D467" s="21" t="n">
        <x:v>5</x:v>
      </x:c>
      <x:c r="E467" s="21" t="str">
        <x:v>Supplier and process activation</x:v>
      </x:c>
      <x:c r="F467" s="37" t="n">
        <x:f>'Family Register'!L45</x:f>
        <x:v>4</x:v>
      </x:c>
      <x:c r="G467" s="37" t="n">
        <x:f>MIN(INDEX(Scenarios!$E$7:$E$12,Assumptions!C7),INDEX(Scenarios!$F$7:$F$12,Assumptions!C7))</x:f>
        <x:v>0.7</x:v>
      </x:c>
      <x:c r="H467" s="37" t="n">
        <x:f>'Family Register'!G45*'Family Register'!I45*G467</x:f>
        <x:v>4.4799999999999995</x:v>
      </x:c>
      <x:c r="I467" s="37" t="n">
        <x:f>J466</x:f>
        <x:v>4</x:v>
      </x:c>
      <x:c r="J467" s="37" t="n">
        <x:f>MIN(F467,H467,I467)</x:f>
        <x:v>4</x:v>
      </x:c>
      <x:c r="K467" s="22" t="n">
        <x:v>0</x:v>
      </x:c>
      <x:c r="L467" s="22" t="n">
        <x:v>0</x:v>
      </x:c>
      <x:c r="M467" s="37" t="n">
        <x:f>K467*L467</x:f>
        <x:v>0</x:v>
      </x:c>
      <x:c r="N467" s="22" t="n">
        <x:v>0</x:v>
      </x:c>
      <x:c r="O467" s="37" t="n">
        <x:f>48</x:f>
        <x:v>48</x:v>
      </x:c>
      <x:c r="P467" s="37" t="n">
        <x:f>IF(AND(N467&gt;0,N467&lt;=O467),1,0)</x:f>
        <x:v>0</x:v>
      </x:c>
      <x:c r="Q467" s="22" t="n">
        <x:v>0</x:v>
      </x:c>
      <x:c r="R467" s="37" t="n">
        <x:f>IF(AND(P467=1,Q467=1),MIN(F467,M467,R466),0)</x:f>
        <x:v>0</x:v>
      </x:c>
      <x:c r="S467" s="23" t="str">
        <x:f>IF(R467&gt;=F467,"ADMITTED","NOT ADMITTED")</x:f>
        <x:v>NOT ADMITTED</x:v>
      </x:c>
    </x:row>
    <x:row r="468">
      <x:c r="B468" s="21" t="str">
        <x:v>SL-0462</x:v>
      </x:c>
      <x:c r="C468" s="21" t="str">
        <x:v>F39</x:v>
      </x:c>
      <x:c r="D468" s="21" t="n">
        <x:v>6</x:v>
      </x:c>
      <x:c r="E468" s="21" t="str">
        <x:v>Conforming production</x:v>
      </x:c>
      <x:c r="F468" s="37" t="n">
        <x:f>'Family Register'!L45</x:f>
        <x:v>4</x:v>
      </x:c>
      <x:c r="G468" s="37" t="n">
        <x:f>INDEX(Scenarios!$F$7:$F$12,Assumptions!C7)</x:f>
        <x:v>0.7</x:v>
      </x:c>
      <x:c r="H468" s="37" t="n">
        <x:f>'Family Register'!G45*'Family Register'!I45*G468</x:f>
        <x:v>4.4799999999999995</x:v>
      </x:c>
      <x:c r="I468" s="37" t="n">
        <x:f>J467</x:f>
        <x:v>4</x:v>
      </x:c>
      <x:c r="J468" s="37" t="n">
        <x:f>MIN(F468,H468,I468)</x:f>
        <x:v>4</x:v>
      </x:c>
      <x:c r="K468" s="22" t="n">
        <x:v>0</x:v>
      </x:c>
      <x:c r="L468" s="22" t="n">
        <x:v>0</x:v>
      </x:c>
      <x:c r="M468" s="37" t="n">
        <x:f>K468*L468</x:f>
        <x:v>0</x:v>
      </x:c>
      <x:c r="N468" s="22" t="n">
        <x:v>0</x:v>
      </x:c>
      <x:c r="O468" s="37" t="n">
        <x:f>'Family Register'!H45*0.55</x:f>
        <x:v>184.8</x:v>
      </x:c>
      <x:c r="P468" s="37" t="n">
        <x:f>IF(AND(N468&gt;0,N468&lt;=O468),1,0)</x:f>
        <x:v>0</x:v>
      </x:c>
      <x:c r="Q468" s="22" t="n">
        <x:v>0</x:v>
      </x:c>
      <x:c r="R468" s="37" t="n">
        <x:f>IF(AND(P468=1,Q468=1),MIN(F468,M468,R467),0)</x:f>
        <x:v>0</x:v>
      </x:c>
      <x:c r="S468" s="23" t="str">
        <x:f>IF(R468&gt;=F468,"ADMITTED","NOT ADMITTED")</x:f>
        <x:v>NOT ADMITTED</x:v>
      </x:c>
    </x:row>
    <x:row r="469">
      <x:c r="B469" s="21" t="str">
        <x:v>SL-0463</x:v>
      </x:c>
      <x:c r="C469" s="21" t="str">
        <x:v>F39</x:v>
      </x:c>
      <x:c r="D469" s="21" t="n">
        <x:v>7</x:v>
      </x:c>
      <x:c r="E469" s="21" t="str">
        <x:v>Independent acceptance</x:v>
      </x:c>
      <x:c r="F469" s="37" t="n">
        <x:f>'Family Register'!L45</x:f>
        <x:v>4</x:v>
      </x:c>
      <x:c r="G469" s="37" t="n">
        <x:f>INDEX(Scenarios!$L$7:$L$12,Assumptions!C7)</x:f>
        <x:v>0.8</x:v>
      </x:c>
      <x:c r="H469" s="37" t="n">
        <x:f>'Family Register'!G45*'Family Register'!I45*G469</x:f>
        <x:v>5.120000000000001</x:v>
      </x:c>
      <x:c r="I469" s="37" t="n">
        <x:f>J468</x:f>
        <x:v>4</x:v>
      </x:c>
      <x:c r="J469" s="37" t="n">
        <x:f>MIN(F469,H469,I469)</x:f>
        <x:v>4</x:v>
      </x:c>
      <x:c r="K469" s="22" t="n">
        <x:v>0</x:v>
      </x:c>
      <x:c r="L469" s="22" t="n">
        <x:v>0</x:v>
      </x:c>
      <x:c r="M469" s="37" t="n">
        <x:f>K469*L469</x:f>
        <x:v>0</x:v>
      </x:c>
      <x:c r="N469" s="22" t="n">
        <x:v>0</x:v>
      </x:c>
      <x:c r="O469" s="37" t="n">
        <x:f>'Family Register'!H45*0.65</x:f>
        <x:v>218.4</x:v>
      </x:c>
      <x:c r="P469" s="37" t="n">
        <x:f>IF(AND(N469&gt;0,N469&lt;=O469),1,0)</x:f>
        <x:v>0</x:v>
      </x:c>
      <x:c r="Q469" s="22" t="n">
        <x:v>0</x:v>
      </x:c>
      <x:c r="R469" s="37" t="n">
        <x:f>IF(AND(P469=1,Q469=1),MIN(F469,M469,R468),0)</x:f>
        <x:v>0</x:v>
      </x:c>
      <x:c r="S469" s="23" t="str">
        <x:f>IF(R469&gt;=F469,"ADMITTED","NOT ADMITTED")</x:f>
        <x:v>NOT ADMITTED</x:v>
      </x:c>
    </x:row>
    <x:row r="470">
      <x:c r="B470" s="21" t="str">
        <x:v>SL-0464</x:v>
      </x:c>
      <x:c r="C470" s="21" t="str">
        <x:v>F39</x:v>
      </x:c>
      <x:c r="D470" s="21" t="n">
        <x:v>8</x:v>
      </x:c>
      <x:c r="E470" s="21" t="str">
        <x:v>Loadout and custody transfer</x:v>
      </x:c>
      <x:c r="F470" s="37" t="n">
        <x:f>'Family Register'!L45</x:f>
        <x:v>4</x:v>
      </x:c>
      <x:c r="G470" s="37" t="n">
        <x:f>INDEX(Scenarios!$H$7:$H$12,Assumptions!C7)</x:f>
        <x:v>0.65</x:v>
      </x:c>
      <x:c r="H470" s="37" t="n">
        <x:f>'Family Register'!G45*'Family Register'!I45*G470</x:f>
        <x:v>4.16</x:v>
      </x:c>
      <x:c r="I470" s="37" t="n">
        <x:f>J469</x:f>
        <x:v>4</x:v>
      </x:c>
      <x:c r="J470" s="37" t="n">
        <x:f>MIN(F470,H470,I470)</x:f>
        <x:v>4</x:v>
      </x:c>
      <x:c r="K470" s="22" t="n">
        <x:v>0</x:v>
      </x:c>
      <x:c r="L470" s="22" t="n">
        <x:v>0</x:v>
      </x:c>
      <x:c r="M470" s="37" t="n">
        <x:f>K470*L470</x:f>
        <x:v>0</x:v>
      </x:c>
      <x:c r="N470" s="22" t="n">
        <x:v>0</x:v>
      </x:c>
      <x:c r="O470" s="37" t="n">
        <x:f>'Family Register'!H45*0.7</x:f>
        <x:v>235.2</x:v>
      </x:c>
      <x:c r="P470" s="37" t="n">
        <x:f>IF(AND(N470&gt;0,N470&lt;=O470),1,0)</x:f>
        <x:v>0</x:v>
      </x:c>
      <x:c r="Q470" s="22" t="n">
        <x:v>0</x:v>
      </x:c>
      <x:c r="R470" s="37" t="n">
        <x:f>IF(AND(P470=1,Q470=1),MIN(F470,M470,R469),0)</x:f>
        <x:v>0</x:v>
      </x:c>
      <x:c r="S470" s="23" t="str">
        <x:f>IF(R470&gt;=F470,"ADMITTED","NOT ADMITTED")</x:f>
        <x:v>NOT ADMITTED</x:v>
      </x:c>
    </x:row>
    <x:row r="471">
      <x:c r="B471" s="21" t="str">
        <x:v>SL-0465</x:v>
      </x:c>
      <x:c r="C471" s="21" t="str">
        <x:v>F39</x:v>
      </x:c>
      <x:c r="D471" s="21" t="n">
        <x:v>9</x:v>
      </x:c>
      <x:c r="E471" s="21" t="str">
        <x:v>Strategic transport</x:v>
      </x:c>
      <x:c r="F471" s="37" t="n">
        <x:f>'Family Register'!L45</x:f>
        <x:v>4</x:v>
      </x:c>
      <x:c r="G471" s="37" t="n">
        <x:f>INDEX(Scenarios!$H$7:$H$12,Assumptions!C7)</x:f>
        <x:v>0.65</x:v>
      </x:c>
      <x:c r="H471" s="37" t="n">
        <x:f>'Family Register'!G45*'Family Register'!I45*G471</x:f>
        <x:v>4.16</x:v>
      </x:c>
      <x:c r="I471" s="37" t="n">
        <x:f>J470</x:f>
        <x:v>4</x:v>
      </x:c>
      <x:c r="J471" s="37" t="n">
        <x:f>MIN(F471,H471,I471)</x:f>
        <x:v>4</x:v>
      </x:c>
      <x:c r="K471" s="22" t="n">
        <x:v>0</x:v>
      </x:c>
      <x:c r="L471" s="22" t="n">
        <x:v>0</x:v>
      </x:c>
      <x:c r="M471" s="37" t="n">
        <x:f>K471*L471</x:f>
        <x:v>0</x:v>
      </x:c>
      <x:c r="N471" s="22" t="n">
        <x:v>0</x:v>
      </x:c>
      <x:c r="O471" s="37" t="n">
        <x:f>'Family Register'!H45*0.9</x:f>
        <x:v>302.40000000000003</x:v>
      </x:c>
      <x:c r="P471" s="37" t="n">
        <x:f>IF(AND(N471&gt;0,N471&lt;=O471),1,0)</x:f>
        <x:v>0</x:v>
      </x:c>
      <x:c r="Q471" s="22" t="n">
        <x:v>0</x:v>
      </x:c>
      <x:c r="R471" s="37" t="n">
        <x:f>IF(AND(P471=1,Q471=1),MIN(F471,M471,R470),0)</x:f>
        <x:v>0</x:v>
      </x:c>
      <x:c r="S471" s="23" t="str">
        <x:f>IF(R471&gt;=F471,"ADMITTED","NOT ADMITTED")</x:f>
        <x:v>NOT ADMITTED</x:v>
      </x:c>
    </x:row>
    <x:row r="472">
      <x:c r="B472" s="21" t="str">
        <x:v>SL-0466</x:v>
      </x:c>
      <x:c r="C472" s="21" t="str">
        <x:v>F39</x:v>
      </x:c>
      <x:c r="D472" s="21" t="n">
        <x:v>10</x:v>
      </x:c>
      <x:c r="E472" s="21" t="str">
        <x:v>Receiving-node admission</x:v>
      </x:c>
      <x:c r="F472" s="37" t="n">
        <x:f>'Family Register'!L45</x:f>
        <x:v>4</x:v>
      </x:c>
      <x:c r="G472" s="37" t="n">
        <x:f>INDEX(Scenarios!$I$7:$I$12,Assumptions!C7)</x:f>
        <x:v>0.75</x:v>
      </x:c>
      <x:c r="H472" s="37" t="n">
        <x:f>'Family Register'!G45*'Family Register'!I45*G472</x:f>
        <x:v>4.800000000000001</x:v>
      </x:c>
      <x:c r="I472" s="37" t="n">
        <x:f>J471</x:f>
        <x:v>4</x:v>
      </x:c>
      <x:c r="J472" s="37" t="n">
        <x:f>MIN(F472,H472,I472)</x:f>
        <x:v>4</x:v>
      </x:c>
      <x:c r="K472" s="22" t="n">
        <x:v>0</x:v>
      </x:c>
      <x:c r="L472" s="22" t="n">
        <x:v>0</x:v>
      </x:c>
      <x:c r="M472" s="37" t="n">
        <x:f>K472*L472</x:f>
        <x:v>0</x:v>
      </x:c>
      <x:c r="N472" s="22" t="n">
        <x:v>0</x:v>
      </x:c>
      <x:c r="O472" s="37" t="n">
        <x:f>'Family Register'!H45*0.94</x:f>
        <x:v>315.84</x:v>
      </x:c>
      <x:c r="P472" s="37" t="n">
        <x:f>IF(AND(N472&gt;0,N472&lt;=O472),1,0)</x:f>
        <x:v>0</x:v>
      </x:c>
      <x:c r="Q472" s="22" t="n">
        <x:v>0</x:v>
      </x:c>
      <x:c r="R472" s="37" t="n">
        <x:f>IF(AND(P472=1,Q472=1),MIN(F472,M472,R471),0)</x:f>
        <x:v>0</x:v>
      </x:c>
      <x:c r="S472" s="23" t="str">
        <x:f>IF(R472&gt;=F472,"ADMITTED","NOT ADMITTED")</x:f>
        <x:v>NOT ADMITTED</x:v>
      </x:c>
    </x:row>
    <x:row r="473">
      <x:c r="B473" s="21" t="str">
        <x:v>SL-0467</x:v>
      </x:c>
      <x:c r="C473" s="21" t="str">
        <x:v>F39</x:v>
      </x:c>
      <x:c r="D473" s="21" t="n">
        <x:v>11</x:v>
      </x:c>
      <x:c r="E473" s="21" t="str">
        <x:v>Commissioned public service</x:v>
      </x:c>
      <x:c r="F473" s="37" t="n">
        <x:f>'Family Register'!L45</x:f>
        <x:v>4</x:v>
      </x:c>
      <x:c r="G473" s="37" t="n">
        <x:f>MIN(INDEX(Scenarios!$G$7:$G$12,Assumptions!C7),INDEX(Scenarios!$I$7:$I$12,Assumptions!C7))</x:f>
        <x:v>0.7</x:v>
      </x:c>
      <x:c r="H473" s="37" t="n">
        <x:f>'Family Register'!G45*'Family Register'!I45*G473</x:f>
        <x:v>4.4799999999999995</x:v>
      </x:c>
      <x:c r="I473" s="37" t="n">
        <x:f>J472</x:f>
        <x:v>4</x:v>
      </x:c>
      <x:c r="J473" s="37" t="n">
        <x:f>MIN(F473,H473,I473)</x:f>
        <x:v>4</x:v>
      </x:c>
      <x:c r="K473" s="22" t="n">
        <x:v>0</x:v>
      </x:c>
      <x:c r="L473" s="22" t="n">
        <x:v>0</x:v>
      </x:c>
      <x:c r="M473" s="37" t="n">
        <x:f>K473*L473</x:f>
        <x:v>0</x:v>
      </x:c>
      <x:c r="N473" s="22" t="n">
        <x:v>0</x:v>
      </x:c>
      <x:c r="O473" s="37" t="n">
        <x:f>'Family Register'!H45*1</x:f>
        <x:v>336</x:v>
      </x:c>
      <x:c r="P473" s="37" t="n">
        <x:f>IF(AND(N473&gt;0,N473&lt;=O473),1,0)</x:f>
        <x:v>0</x:v>
      </x:c>
      <x:c r="Q473" s="22" t="n">
        <x:v>0</x:v>
      </x:c>
      <x:c r="R473" s="37" t="n">
        <x:f>IF(AND(P473=1,Q473=1),MIN(F473,M473,R472),0)</x:f>
        <x:v>0</x:v>
      </x:c>
      <x:c r="S473" s="23" t="str">
        <x:f>IF(R473&gt;=F473,"ADMITTED","NOT ADMITTED")</x:f>
        <x:v>NOT ADMITTED</x:v>
      </x:c>
    </x:row>
    <x:row r="474">
      <x:c r="B474" s="21" t="str">
        <x:v>SL-0468</x:v>
      </x:c>
      <x:c r="C474" s="21" t="str">
        <x:v>F39</x:v>
      </x:c>
      <x:c r="D474" s="21" t="n">
        <x:v>12</x:v>
      </x:c>
      <x:c r="E474" s="21" t="str">
        <x:v>Regeneration and replacement</x:v>
      </x:c>
      <x:c r="F474" s="37" t="n">
        <x:f>'Family Register'!L45</x:f>
        <x:v>4</x:v>
      </x:c>
      <x:c r="G474" s="37" t="n">
        <x:f>MIN(INDEX(Scenarios!$E$7:$E$12,Assumptions!C7),INDEX(Scenarios!$F$7:$F$12,Assumptions!C7))</x:f>
        <x:v>0.7</x:v>
      </x:c>
      <x:c r="H474" s="37" t="n">
        <x:f>'Family Register'!G45*'Family Register'!I45*G474</x:f>
        <x:v>4.4799999999999995</x:v>
      </x:c>
      <x:c r="I474" s="37" t="n">
        <x:f>J473</x:f>
        <x:v>4</x:v>
      </x:c>
      <x:c r="J474" s="37" t="n">
        <x:f>MIN(F474,H474,I474)</x:f>
        <x:v>4</x:v>
      </x:c>
      <x:c r="K474" s="22" t="n">
        <x:v>0</x:v>
      </x:c>
      <x:c r="L474" s="22" t="n">
        <x:v>0</x:v>
      </x:c>
      <x:c r="M474" s="37" t="n">
        <x:f>K474*L474</x:f>
        <x:v>0</x:v>
      </x:c>
      <x:c r="N474" s="22" t="n">
        <x:v>0</x:v>
      </x:c>
      <x:c r="O474" s="37" t="n">
        <x:f>'Family Register'!H45+168</x:f>
        <x:v>504</x:v>
      </x:c>
      <x:c r="P474" s="37" t="n">
        <x:f>IF(AND(N474&gt;0,N474&lt;=O474),1,0)</x:f>
        <x:v>0</x:v>
      </x:c>
      <x:c r="Q474" s="22" t="n">
        <x:v>0</x:v>
      </x:c>
      <x:c r="R474" s="37" t="n">
        <x:f>IF(AND(P474=1,Q474=1),MIN(F474,M474,R473),0)</x:f>
        <x:v>0</x:v>
      </x:c>
      <x:c r="S474" s="23" t="str">
        <x:f>IF(R474&gt;=F474,"ADMITTED","NOT ADMITTED")</x:f>
        <x:v>NOT ADMITTED</x:v>
      </x:c>
    </x:row>
    <x:row r="475">
      <x:c r="B475" s="21" t="str">
        <x:v>SL-0469</x:v>
      </x:c>
      <x:c r="C475" s="21" t="str">
        <x:v>F40</x:v>
      </x:c>
      <x:c r="D475" s="21" t="n">
        <x:v>1</x:v>
      </x:c>
      <x:c r="E475" s="21" t="str">
        <x:v>Alert authentication</x:v>
      </x:c>
      <x:c r="F475" s="37" t="n">
        <x:f>'Family Register'!L46</x:f>
        <x:v>4</x:v>
      </x:c>
      <x:c r="G475" s="37" t="n">
        <x:f>INDEX(Scenarios!$K$7:$K$12,Assumptions!C7)</x:f>
        <x:v>0.75</x:v>
      </x:c>
      <x:c r="H475" s="37" t="n">
        <x:f>'Family Register'!G46*'Family Register'!I46*G475</x:f>
        <x:v>4.800000000000001</x:v>
      </x:c>
      <x:c r="I475" s="37" t="n">
        <x:f>F475</x:f>
        <x:v>4</x:v>
      </x:c>
      <x:c r="J475" s="37" t="n">
        <x:f>MIN(F475,H475,I475)</x:f>
        <x:v>4</x:v>
      </x:c>
      <x:c r="K475" s="22" t="n">
        <x:v>0</x:v>
      </x:c>
      <x:c r="L475" s="22" t="n">
        <x:v>0</x:v>
      </x:c>
      <x:c r="M475" s="37" t="n">
        <x:f>K475*L475</x:f>
        <x:v>0</x:v>
      </x:c>
      <x:c r="N475" s="22" t="n">
        <x:v>0</x:v>
      </x:c>
      <x:c r="O475" s="37" t="n">
        <x:f>2</x:f>
        <x:v>2</x:v>
      </x:c>
      <x:c r="P475" s="37" t="n">
        <x:f>IF(AND(N475&gt;0,N475&lt;=O475),1,0)</x:f>
        <x:v>0</x:v>
      </x:c>
      <x:c r="Q475" s="22" t="n">
        <x:v>0</x:v>
      </x:c>
      <x:c r="R475" s="37" t="n">
        <x:f>IF(AND(P475=1,Q475=1),MIN(F475,M475),0)</x:f>
        <x:v>0</x:v>
      </x:c>
      <x:c r="S475" s="23" t="str">
        <x:f>IF(R475&gt;=F475,"ADMITTED","NOT ADMITTED")</x:f>
        <x:v>NOT ADMITTED</x:v>
      </x:c>
    </x:row>
    <x:row r="476">
      <x:c r="B476" s="21" t="str">
        <x:v>SL-0470</x:v>
      </x:c>
      <x:c r="C476" s="21" t="str">
        <x:v>F40</x:v>
      </x:c>
      <x:c r="D476" s="21" t="n">
        <x:v>2</x:v>
      </x:c>
      <x:c r="E476" s="21" t="str">
        <x:v>Workforce muster</x:v>
      </x:c>
      <x:c r="F476" s="37" t="n">
        <x:f>'Family Register'!L46</x:f>
        <x:v>4</x:v>
      </x:c>
      <x:c r="G476" s="37" t="n">
        <x:f>INDEX(Scenarios!$J$7:$J$12,Assumptions!C7)</x:f>
        <x:v>0.8</x:v>
      </x:c>
      <x:c r="H476" s="37" t="n">
        <x:f>'Family Register'!G46*'Family Register'!I46*G476</x:f>
        <x:v>5.120000000000001</x:v>
      </x:c>
      <x:c r="I476" s="37" t="n">
        <x:f>J475</x:f>
        <x:v>4</x:v>
      </x:c>
      <x:c r="J476" s="37" t="n">
        <x:f>MIN(F476,H476,I476)</x:f>
        <x:v>4</x:v>
      </x:c>
      <x:c r="K476" s="22" t="n">
        <x:v>0</x:v>
      </x:c>
      <x:c r="L476" s="22" t="n">
        <x:v>0</x:v>
      </x:c>
      <x:c r="M476" s="37" t="n">
        <x:f>K476*L476</x:f>
        <x:v>0</x:v>
      </x:c>
      <x:c r="N476" s="22" t="n">
        <x:v>0</x:v>
      </x:c>
      <x:c r="O476" s="37" t="n">
        <x:f>12</x:f>
        <x:v>12</x:v>
      </x:c>
      <x:c r="P476" s="37" t="n">
        <x:f>IF(AND(N476&gt;0,N476&lt;=O476),1,0)</x:f>
        <x:v>0</x:v>
      </x:c>
      <x:c r="Q476" s="22" t="n">
        <x:v>0</x:v>
      </x:c>
      <x:c r="R476" s="37" t="n">
        <x:f>IF(AND(P476=1,Q476=1),MIN(F476,M476,R475),0)</x:f>
        <x:v>0</x:v>
      </x:c>
      <x:c r="S476" s="23" t="str">
        <x:f>IF(R476&gt;=F476,"ADMITTED","NOT ADMITTED")</x:f>
        <x:v>NOT ADMITTED</x:v>
      </x:c>
    </x:row>
    <x:row r="477">
      <x:c r="B477" s="21" t="str">
        <x:v>SL-0471</x:v>
      </x:c>
      <x:c r="C477" s="21" t="str">
        <x:v>F40</x:v>
      </x:c>
      <x:c r="D477" s="21" t="n">
        <x:v>3</x:v>
      </x:c>
      <x:c r="E477" s="21" t="str">
        <x:v>Facility utility and safe start</x:v>
      </x:c>
      <x:c r="F477" s="37" t="n">
        <x:f>'Family Register'!L46</x:f>
        <x:v>4</x:v>
      </x:c>
      <x:c r="G477" s="37" t="n">
        <x:f>INDEX(Scenarios!$G$7:$G$12,Assumptions!C7)</x:f>
        <x:v>0.7</x:v>
      </x:c>
      <x:c r="H477" s="37" t="n">
        <x:f>'Family Register'!G46*'Family Register'!I46*G477</x:f>
        <x:v>4.4799999999999995</x:v>
      </x:c>
      <x:c r="I477" s="37" t="n">
        <x:f>J476</x:f>
        <x:v>4</x:v>
      </x:c>
      <x:c r="J477" s="37" t="n">
        <x:f>MIN(F477,H477,I477)</x:f>
        <x:v>4</x:v>
      </x:c>
      <x:c r="K477" s="22" t="n">
        <x:v>0</x:v>
      </x:c>
      <x:c r="L477" s="22" t="n">
        <x:v>0</x:v>
      </x:c>
      <x:c r="M477" s="37" t="n">
        <x:f>K477*L477</x:f>
        <x:v>0</x:v>
      </x:c>
      <x:c r="N477" s="22" t="n">
        <x:v>0</x:v>
      </x:c>
      <x:c r="O477" s="37" t="n">
        <x:f>24</x:f>
        <x:v>24</x:v>
      </x:c>
      <x:c r="P477" s="37" t="n">
        <x:f>IF(AND(N477&gt;0,N477&lt;=O477),1,0)</x:f>
        <x:v>0</x:v>
      </x:c>
      <x:c r="Q477" s="22" t="n">
        <x:v>0</x:v>
      </x:c>
      <x:c r="R477" s="37" t="n">
        <x:f>IF(AND(P477=1,Q477=1),MIN(F477,M477,R476),0)</x:f>
        <x:v>0</x:v>
      </x:c>
      <x:c r="S477" s="23" t="str">
        <x:f>IF(R477&gt;=F477,"ADMITTED","NOT ADMITTED")</x:f>
        <x:v>NOT ADMITTED</x:v>
      </x:c>
    </x:row>
    <x:row r="478">
      <x:c r="B478" s="21" t="str">
        <x:v>SL-0472</x:v>
      </x:c>
      <x:c r="C478" s="21" t="str">
        <x:v>F40</x:v>
      </x:c>
      <x:c r="D478" s="21" t="n">
        <x:v>4</x:v>
      </x:c>
      <x:c r="E478" s="21" t="str">
        <x:v>Material tooling and instrument release</x:v>
      </x:c>
      <x:c r="F478" s="37" t="n">
        <x:f>'Family Register'!L46</x:f>
        <x:v>4</x:v>
      </x:c>
      <x:c r="G478" s="37" t="n">
        <x:f>INDEX(Scenarios!$E$7:$E$12,Assumptions!C7)</x:f>
        <x:v>0.75</x:v>
      </x:c>
      <x:c r="H478" s="37" t="n">
        <x:f>'Family Register'!G46*'Family Register'!I46*G478</x:f>
        <x:v>4.800000000000001</x:v>
      </x:c>
      <x:c r="I478" s="37" t="n">
        <x:f>J477</x:f>
        <x:v>4</x:v>
      </x:c>
      <x:c r="J478" s="37" t="n">
        <x:f>MIN(F478,H478,I478)</x:f>
        <x:v>4</x:v>
      </x:c>
      <x:c r="K478" s="22" t="n">
        <x:v>0</x:v>
      </x:c>
      <x:c r="L478" s="22" t="n">
        <x:v>0</x:v>
      </x:c>
      <x:c r="M478" s="37" t="n">
        <x:f>K478*L478</x:f>
        <x:v>0</x:v>
      </x:c>
      <x:c r="N478" s="22" t="n">
        <x:v>0</x:v>
      </x:c>
      <x:c r="O478" s="37" t="n">
        <x:f>36</x:f>
        <x:v>36</x:v>
      </x:c>
      <x:c r="P478" s="37" t="n">
        <x:f>IF(AND(N478&gt;0,N478&lt;=O478),1,0)</x:f>
        <x:v>0</x:v>
      </x:c>
      <x:c r="Q478" s="22" t="n">
        <x:v>0</x:v>
      </x:c>
      <x:c r="R478" s="37" t="n">
        <x:f>IF(AND(P478=1,Q478=1),MIN(F478,M478,R477),0)</x:f>
        <x:v>0</x:v>
      </x:c>
      <x:c r="S478" s="23" t="str">
        <x:f>IF(R478&gt;=F478,"ADMITTED","NOT ADMITTED")</x:f>
        <x:v>NOT ADMITTED</x:v>
      </x:c>
    </x:row>
    <x:row r="479">
      <x:c r="B479" s="21" t="str">
        <x:v>SL-0473</x:v>
      </x:c>
      <x:c r="C479" s="21" t="str">
        <x:v>F40</x:v>
      </x:c>
      <x:c r="D479" s="21" t="n">
        <x:v>5</x:v>
      </x:c>
      <x:c r="E479" s="21" t="str">
        <x:v>Supplier and process activation</x:v>
      </x:c>
      <x:c r="F479" s="37" t="n">
        <x:f>'Family Register'!L46</x:f>
        <x:v>4</x:v>
      </x:c>
      <x:c r="G479" s="37" t="n">
        <x:f>MIN(INDEX(Scenarios!$E$7:$E$12,Assumptions!C7),INDEX(Scenarios!$F$7:$F$12,Assumptions!C7))</x:f>
        <x:v>0.7</x:v>
      </x:c>
      <x:c r="H479" s="37" t="n">
        <x:f>'Family Register'!G46*'Family Register'!I46*G479</x:f>
        <x:v>4.4799999999999995</x:v>
      </x:c>
      <x:c r="I479" s="37" t="n">
        <x:f>J478</x:f>
        <x:v>4</x:v>
      </x:c>
      <x:c r="J479" s="37" t="n">
        <x:f>MIN(F479,H479,I479)</x:f>
        <x:v>4</x:v>
      </x:c>
      <x:c r="K479" s="22" t="n">
        <x:v>0</x:v>
      </x:c>
      <x:c r="L479" s="22" t="n">
        <x:v>0</x:v>
      </x:c>
      <x:c r="M479" s="37" t="n">
        <x:f>K479*L479</x:f>
        <x:v>0</x:v>
      </x:c>
      <x:c r="N479" s="22" t="n">
        <x:v>0</x:v>
      </x:c>
      <x:c r="O479" s="37" t="n">
        <x:f>48</x:f>
        <x:v>48</x:v>
      </x:c>
      <x:c r="P479" s="37" t="n">
        <x:f>IF(AND(N479&gt;0,N479&lt;=O479),1,0)</x:f>
        <x:v>0</x:v>
      </x:c>
      <x:c r="Q479" s="22" t="n">
        <x:v>0</x:v>
      </x:c>
      <x:c r="R479" s="37" t="n">
        <x:f>IF(AND(P479=1,Q479=1),MIN(F479,M479,R478),0)</x:f>
        <x:v>0</x:v>
      </x:c>
      <x:c r="S479" s="23" t="str">
        <x:f>IF(R479&gt;=F479,"ADMITTED","NOT ADMITTED")</x:f>
        <x:v>NOT ADMITTED</x:v>
      </x:c>
    </x:row>
    <x:row r="480">
      <x:c r="B480" s="21" t="str">
        <x:v>SL-0474</x:v>
      </x:c>
      <x:c r="C480" s="21" t="str">
        <x:v>F40</x:v>
      </x:c>
      <x:c r="D480" s="21" t="n">
        <x:v>6</x:v>
      </x:c>
      <x:c r="E480" s="21" t="str">
        <x:v>Conforming production</x:v>
      </x:c>
      <x:c r="F480" s="37" t="n">
        <x:f>'Family Register'!L46</x:f>
        <x:v>4</x:v>
      </x:c>
      <x:c r="G480" s="37" t="n">
        <x:f>INDEX(Scenarios!$F$7:$F$12,Assumptions!C7)</x:f>
        <x:v>0.7</x:v>
      </x:c>
      <x:c r="H480" s="37" t="n">
        <x:f>'Family Register'!G46*'Family Register'!I46*G480</x:f>
        <x:v>4.4799999999999995</x:v>
      </x:c>
      <x:c r="I480" s="37" t="n">
        <x:f>J479</x:f>
        <x:v>4</x:v>
      </x:c>
      <x:c r="J480" s="37" t="n">
        <x:f>MIN(F480,H480,I480)</x:f>
        <x:v>4</x:v>
      </x:c>
      <x:c r="K480" s="22" t="n">
        <x:v>0</x:v>
      </x:c>
      <x:c r="L480" s="22" t="n">
        <x:v>0</x:v>
      </x:c>
      <x:c r="M480" s="37" t="n">
        <x:f>K480*L480</x:f>
        <x:v>0</x:v>
      </x:c>
      <x:c r="N480" s="22" t="n">
        <x:v>0</x:v>
      </x:c>
      <x:c r="O480" s="37" t="n">
        <x:f>'Family Register'!H46*0.55</x:f>
        <x:v>184.8</x:v>
      </x:c>
      <x:c r="P480" s="37" t="n">
        <x:f>IF(AND(N480&gt;0,N480&lt;=O480),1,0)</x:f>
        <x:v>0</x:v>
      </x:c>
      <x:c r="Q480" s="22" t="n">
        <x:v>0</x:v>
      </x:c>
      <x:c r="R480" s="37" t="n">
        <x:f>IF(AND(P480=1,Q480=1),MIN(F480,M480,R479),0)</x:f>
        <x:v>0</x:v>
      </x:c>
      <x:c r="S480" s="23" t="str">
        <x:f>IF(R480&gt;=F480,"ADMITTED","NOT ADMITTED")</x:f>
        <x:v>NOT ADMITTED</x:v>
      </x:c>
    </x:row>
    <x:row r="481">
      <x:c r="B481" s="21" t="str">
        <x:v>SL-0475</x:v>
      </x:c>
      <x:c r="C481" s="21" t="str">
        <x:v>F40</x:v>
      </x:c>
      <x:c r="D481" s="21" t="n">
        <x:v>7</x:v>
      </x:c>
      <x:c r="E481" s="21" t="str">
        <x:v>Independent acceptance</x:v>
      </x:c>
      <x:c r="F481" s="37" t="n">
        <x:f>'Family Register'!L46</x:f>
        <x:v>4</x:v>
      </x:c>
      <x:c r="G481" s="37" t="n">
        <x:f>INDEX(Scenarios!$L$7:$L$12,Assumptions!C7)</x:f>
        <x:v>0.8</x:v>
      </x:c>
      <x:c r="H481" s="37" t="n">
        <x:f>'Family Register'!G46*'Family Register'!I46*G481</x:f>
        <x:v>5.120000000000001</x:v>
      </x:c>
      <x:c r="I481" s="37" t="n">
        <x:f>J480</x:f>
        <x:v>4</x:v>
      </x:c>
      <x:c r="J481" s="37" t="n">
        <x:f>MIN(F481,H481,I481)</x:f>
        <x:v>4</x:v>
      </x:c>
      <x:c r="K481" s="22" t="n">
        <x:v>0</x:v>
      </x:c>
      <x:c r="L481" s="22" t="n">
        <x:v>0</x:v>
      </x:c>
      <x:c r="M481" s="37" t="n">
        <x:f>K481*L481</x:f>
        <x:v>0</x:v>
      </x:c>
      <x:c r="N481" s="22" t="n">
        <x:v>0</x:v>
      </x:c>
      <x:c r="O481" s="37" t="n">
        <x:f>'Family Register'!H46*0.65</x:f>
        <x:v>218.4</x:v>
      </x:c>
      <x:c r="P481" s="37" t="n">
        <x:f>IF(AND(N481&gt;0,N481&lt;=O481),1,0)</x:f>
        <x:v>0</x:v>
      </x:c>
      <x:c r="Q481" s="22" t="n">
        <x:v>0</x:v>
      </x:c>
      <x:c r="R481" s="37" t="n">
        <x:f>IF(AND(P481=1,Q481=1),MIN(F481,M481,R480),0)</x:f>
        <x:v>0</x:v>
      </x:c>
      <x:c r="S481" s="23" t="str">
        <x:f>IF(R481&gt;=F481,"ADMITTED","NOT ADMITTED")</x:f>
        <x:v>NOT ADMITTED</x:v>
      </x:c>
    </x:row>
    <x:row r="482">
      <x:c r="B482" s="21" t="str">
        <x:v>SL-0476</x:v>
      </x:c>
      <x:c r="C482" s="21" t="str">
        <x:v>F40</x:v>
      </x:c>
      <x:c r="D482" s="21" t="n">
        <x:v>8</x:v>
      </x:c>
      <x:c r="E482" s="21" t="str">
        <x:v>Loadout and custody transfer</x:v>
      </x:c>
      <x:c r="F482" s="37" t="n">
        <x:f>'Family Register'!L46</x:f>
        <x:v>4</x:v>
      </x:c>
      <x:c r="G482" s="37" t="n">
        <x:f>INDEX(Scenarios!$H$7:$H$12,Assumptions!C7)</x:f>
        <x:v>0.65</x:v>
      </x:c>
      <x:c r="H482" s="37" t="n">
        <x:f>'Family Register'!G46*'Family Register'!I46*G482</x:f>
        <x:v>4.16</x:v>
      </x:c>
      <x:c r="I482" s="37" t="n">
        <x:f>J481</x:f>
        <x:v>4</x:v>
      </x:c>
      <x:c r="J482" s="37" t="n">
        <x:f>MIN(F482,H482,I482)</x:f>
        <x:v>4</x:v>
      </x:c>
      <x:c r="K482" s="22" t="n">
        <x:v>0</x:v>
      </x:c>
      <x:c r="L482" s="22" t="n">
        <x:v>0</x:v>
      </x:c>
      <x:c r="M482" s="37" t="n">
        <x:f>K482*L482</x:f>
        <x:v>0</x:v>
      </x:c>
      <x:c r="N482" s="22" t="n">
        <x:v>0</x:v>
      </x:c>
      <x:c r="O482" s="37" t="n">
        <x:f>'Family Register'!H46*0.7</x:f>
        <x:v>235.2</x:v>
      </x:c>
      <x:c r="P482" s="37" t="n">
        <x:f>IF(AND(N482&gt;0,N482&lt;=O482),1,0)</x:f>
        <x:v>0</x:v>
      </x:c>
      <x:c r="Q482" s="22" t="n">
        <x:v>0</x:v>
      </x:c>
      <x:c r="R482" s="37" t="n">
        <x:f>IF(AND(P482=1,Q482=1),MIN(F482,M482,R481),0)</x:f>
        <x:v>0</x:v>
      </x:c>
      <x:c r="S482" s="23" t="str">
        <x:f>IF(R482&gt;=F482,"ADMITTED","NOT ADMITTED")</x:f>
        <x:v>NOT ADMITTED</x:v>
      </x:c>
    </x:row>
    <x:row r="483">
      <x:c r="B483" s="21" t="str">
        <x:v>SL-0477</x:v>
      </x:c>
      <x:c r="C483" s="21" t="str">
        <x:v>F40</x:v>
      </x:c>
      <x:c r="D483" s="21" t="n">
        <x:v>9</x:v>
      </x:c>
      <x:c r="E483" s="21" t="str">
        <x:v>Strategic transport</x:v>
      </x:c>
      <x:c r="F483" s="37" t="n">
        <x:f>'Family Register'!L46</x:f>
        <x:v>4</x:v>
      </x:c>
      <x:c r="G483" s="37" t="n">
        <x:f>INDEX(Scenarios!$H$7:$H$12,Assumptions!C7)</x:f>
        <x:v>0.65</x:v>
      </x:c>
      <x:c r="H483" s="37" t="n">
        <x:f>'Family Register'!G46*'Family Register'!I46*G483</x:f>
        <x:v>4.16</x:v>
      </x:c>
      <x:c r="I483" s="37" t="n">
        <x:f>J482</x:f>
        <x:v>4</x:v>
      </x:c>
      <x:c r="J483" s="37" t="n">
        <x:f>MIN(F483,H483,I483)</x:f>
        <x:v>4</x:v>
      </x:c>
      <x:c r="K483" s="22" t="n">
        <x:v>0</x:v>
      </x:c>
      <x:c r="L483" s="22" t="n">
        <x:v>0</x:v>
      </x:c>
      <x:c r="M483" s="37" t="n">
        <x:f>K483*L483</x:f>
        <x:v>0</x:v>
      </x:c>
      <x:c r="N483" s="22" t="n">
        <x:v>0</x:v>
      </x:c>
      <x:c r="O483" s="37" t="n">
        <x:f>'Family Register'!H46*0.9</x:f>
        <x:v>302.40000000000003</x:v>
      </x:c>
      <x:c r="P483" s="37" t="n">
        <x:f>IF(AND(N483&gt;0,N483&lt;=O483),1,0)</x:f>
        <x:v>0</x:v>
      </x:c>
      <x:c r="Q483" s="22" t="n">
        <x:v>0</x:v>
      </x:c>
      <x:c r="R483" s="37" t="n">
        <x:f>IF(AND(P483=1,Q483=1),MIN(F483,M483,R482),0)</x:f>
        <x:v>0</x:v>
      </x:c>
      <x:c r="S483" s="23" t="str">
        <x:f>IF(R483&gt;=F483,"ADMITTED","NOT ADMITTED")</x:f>
        <x:v>NOT ADMITTED</x:v>
      </x:c>
    </x:row>
    <x:row r="484">
      <x:c r="B484" s="21" t="str">
        <x:v>SL-0478</x:v>
      </x:c>
      <x:c r="C484" s="21" t="str">
        <x:v>F40</x:v>
      </x:c>
      <x:c r="D484" s="21" t="n">
        <x:v>10</x:v>
      </x:c>
      <x:c r="E484" s="21" t="str">
        <x:v>Receiving-node admission</x:v>
      </x:c>
      <x:c r="F484" s="37" t="n">
        <x:f>'Family Register'!L46</x:f>
        <x:v>4</x:v>
      </x:c>
      <x:c r="G484" s="37" t="n">
        <x:f>INDEX(Scenarios!$I$7:$I$12,Assumptions!C7)</x:f>
        <x:v>0.75</x:v>
      </x:c>
      <x:c r="H484" s="37" t="n">
        <x:f>'Family Register'!G46*'Family Register'!I46*G484</x:f>
        <x:v>4.800000000000001</x:v>
      </x:c>
      <x:c r="I484" s="37" t="n">
        <x:f>J483</x:f>
        <x:v>4</x:v>
      </x:c>
      <x:c r="J484" s="37" t="n">
        <x:f>MIN(F484,H484,I484)</x:f>
        <x:v>4</x:v>
      </x:c>
      <x:c r="K484" s="22" t="n">
        <x:v>0</x:v>
      </x:c>
      <x:c r="L484" s="22" t="n">
        <x:v>0</x:v>
      </x:c>
      <x:c r="M484" s="37" t="n">
        <x:f>K484*L484</x:f>
        <x:v>0</x:v>
      </x:c>
      <x:c r="N484" s="22" t="n">
        <x:v>0</x:v>
      </x:c>
      <x:c r="O484" s="37" t="n">
        <x:f>'Family Register'!H46*0.94</x:f>
        <x:v>315.84</x:v>
      </x:c>
      <x:c r="P484" s="37" t="n">
        <x:f>IF(AND(N484&gt;0,N484&lt;=O484),1,0)</x:f>
        <x:v>0</x:v>
      </x:c>
      <x:c r="Q484" s="22" t="n">
        <x:v>0</x:v>
      </x:c>
      <x:c r="R484" s="37" t="n">
        <x:f>IF(AND(P484=1,Q484=1),MIN(F484,M484,R483),0)</x:f>
        <x:v>0</x:v>
      </x:c>
      <x:c r="S484" s="23" t="str">
        <x:f>IF(R484&gt;=F484,"ADMITTED","NOT ADMITTED")</x:f>
        <x:v>NOT ADMITTED</x:v>
      </x:c>
    </x:row>
    <x:row r="485">
      <x:c r="B485" s="21" t="str">
        <x:v>SL-0479</x:v>
      </x:c>
      <x:c r="C485" s="21" t="str">
        <x:v>F40</x:v>
      </x:c>
      <x:c r="D485" s="21" t="n">
        <x:v>11</x:v>
      </x:c>
      <x:c r="E485" s="21" t="str">
        <x:v>Commissioned public service</x:v>
      </x:c>
      <x:c r="F485" s="37" t="n">
        <x:f>'Family Register'!L46</x:f>
        <x:v>4</x:v>
      </x:c>
      <x:c r="G485" s="37" t="n">
        <x:f>MIN(INDEX(Scenarios!$G$7:$G$12,Assumptions!C7),INDEX(Scenarios!$I$7:$I$12,Assumptions!C7))</x:f>
        <x:v>0.7</x:v>
      </x:c>
      <x:c r="H485" s="37" t="n">
        <x:f>'Family Register'!G46*'Family Register'!I46*G485</x:f>
        <x:v>4.4799999999999995</x:v>
      </x:c>
      <x:c r="I485" s="37" t="n">
        <x:f>J484</x:f>
        <x:v>4</x:v>
      </x:c>
      <x:c r="J485" s="37" t="n">
        <x:f>MIN(F485,H485,I485)</x:f>
        <x:v>4</x:v>
      </x:c>
      <x:c r="K485" s="22" t="n">
        <x:v>0</x:v>
      </x:c>
      <x:c r="L485" s="22" t="n">
        <x:v>0</x:v>
      </x:c>
      <x:c r="M485" s="37" t="n">
        <x:f>K485*L485</x:f>
        <x:v>0</x:v>
      </x:c>
      <x:c r="N485" s="22" t="n">
        <x:v>0</x:v>
      </x:c>
      <x:c r="O485" s="37" t="n">
        <x:f>'Family Register'!H46*1</x:f>
        <x:v>336</x:v>
      </x:c>
      <x:c r="P485" s="37" t="n">
        <x:f>IF(AND(N485&gt;0,N485&lt;=O485),1,0)</x:f>
        <x:v>0</x:v>
      </x:c>
      <x:c r="Q485" s="22" t="n">
        <x:v>0</x:v>
      </x:c>
      <x:c r="R485" s="37" t="n">
        <x:f>IF(AND(P485=1,Q485=1),MIN(F485,M485,R484),0)</x:f>
        <x:v>0</x:v>
      </x:c>
      <x:c r="S485" s="23" t="str">
        <x:f>IF(R485&gt;=F485,"ADMITTED","NOT ADMITTED")</x:f>
        <x:v>NOT ADMITTED</x:v>
      </x:c>
    </x:row>
    <x:row r="486">
      <x:c r="B486" s="21" t="str">
        <x:v>SL-0480</x:v>
      </x:c>
      <x:c r="C486" s="21" t="str">
        <x:v>F40</x:v>
      </x:c>
      <x:c r="D486" s="21" t="n">
        <x:v>12</x:v>
      </x:c>
      <x:c r="E486" s="21" t="str">
        <x:v>Regeneration and replacement</x:v>
      </x:c>
      <x:c r="F486" s="37" t="n">
        <x:f>'Family Register'!L46</x:f>
        <x:v>4</x:v>
      </x:c>
      <x:c r="G486" s="37" t="n">
        <x:f>MIN(INDEX(Scenarios!$E$7:$E$12,Assumptions!C7),INDEX(Scenarios!$F$7:$F$12,Assumptions!C7))</x:f>
        <x:v>0.7</x:v>
      </x:c>
      <x:c r="H486" s="37" t="n">
        <x:f>'Family Register'!G46*'Family Register'!I46*G486</x:f>
        <x:v>4.4799999999999995</x:v>
      </x:c>
      <x:c r="I486" s="37" t="n">
        <x:f>J485</x:f>
        <x:v>4</x:v>
      </x:c>
      <x:c r="J486" s="37" t="n">
        <x:f>MIN(F486,H486,I486)</x:f>
        <x:v>4</x:v>
      </x:c>
      <x:c r="K486" s="22" t="n">
        <x:v>0</x:v>
      </x:c>
      <x:c r="L486" s="22" t="n">
        <x:v>0</x:v>
      </x:c>
      <x:c r="M486" s="37" t="n">
        <x:f>K486*L486</x:f>
        <x:v>0</x:v>
      </x:c>
      <x:c r="N486" s="22" t="n">
        <x:v>0</x:v>
      </x:c>
      <x:c r="O486" s="37" t="n">
        <x:f>'Family Register'!H46+168</x:f>
        <x:v>504</x:v>
      </x:c>
      <x:c r="P486" s="37" t="n">
        <x:f>IF(AND(N486&gt;0,N486&lt;=O486),1,0)</x:f>
        <x:v>0</x:v>
      </x:c>
      <x:c r="Q486" s="22" t="n">
        <x:v>0</x:v>
      </x:c>
      <x:c r="R486" s="37" t="n">
        <x:f>IF(AND(P486=1,Q486=1),MIN(F486,M486,R485),0)</x:f>
        <x:v>0</x:v>
      </x:c>
      <x:c r="S486" s="23" t="str">
        <x:f>IF(R486&gt;=F486,"ADMITTED","NOT ADMITTED")</x:f>
        <x:v>NOT ADMITTED</x:v>
      </x:c>
    </x:row>
    <x:row r="487">
      <x:c r="B487" s="21" t="str">
        <x:v>SL-0481</x:v>
      </x:c>
      <x:c r="C487" s="21" t="str">
        <x:v>F41</x:v>
      </x:c>
      <x:c r="D487" s="21" t="n">
        <x:v>1</x:v>
      </x:c>
      <x:c r="E487" s="21" t="str">
        <x:v>Alert authentication</x:v>
      </x:c>
      <x:c r="F487" s="37" t="n">
        <x:f>'Family Register'!L47</x:f>
        <x:v>4</x:v>
      </x:c>
      <x:c r="G487" s="37" t="n">
        <x:f>INDEX(Scenarios!$K$7:$K$12,Assumptions!C7)</x:f>
        <x:v>0.75</x:v>
      </x:c>
      <x:c r="H487" s="37" t="n">
        <x:f>'Family Register'!G47*'Family Register'!I47*G487</x:f>
        <x:v>4.800000000000001</x:v>
      </x:c>
      <x:c r="I487" s="37" t="n">
        <x:f>F487</x:f>
        <x:v>4</x:v>
      </x:c>
      <x:c r="J487" s="37" t="n">
        <x:f>MIN(F487,H487,I487)</x:f>
        <x:v>4</x:v>
      </x:c>
      <x:c r="K487" s="22" t="n">
        <x:v>0</x:v>
      </x:c>
      <x:c r="L487" s="22" t="n">
        <x:v>0</x:v>
      </x:c>
      <x:c r="M487" s="37" t="n">
        <x:f>K487*L487</x:f>
        <x:v>0</x:v>
      </x:c>
      <x:c r="N487" s="22" t="n">
        <x:v>0</x:v>
      </x:c>
      <x:c r="O487" s="37" t="n">
        <x:f>2</x:f>
        <x:v>2</x:v>
      </x:c>
      <x:c r="P487" s="37" t="n">
        <x:f>IF(AND(N487&gt;0,N487&lt;=O487),1,0)</x:f>
        <x:v>0</x:v>
      </x:c>
      <x:c r="Q487" s="22" t="n">
        <x:v>0</x:v>
      </x:c>
      <x:c r="R487" s="37" t="n">
        <x:f>IF(AND(P487=1,Q487=1),MIN(F487,M487),0)</x:f>
        <x:v>0</x:v>
      </x:c>
      <x:c r="S487" s="23" t="str">
        <x:f>IF(R487&gt;=F487,"ADMITTED","NOT ADMITTED")</x:f>
        <x:v>NOT ADMITTED</x:v>
      </x:c>
    </x:row>
    <x:row r="488">
      <x:c r="B488" s="21" t="str">
        <x:v>SL-0482</x:v>
      </x:c>
      <x:c r="C488" s="21" t="str">
        <x:v>F41</x:v>
      </x:c>
      <x:c r="D488" s="21" t="n">
        <x:v>2</x:v>
      </x:c>
      <x:c r="E488" s="21" t="str">
        <x:v>Workforce muster</x:v>
      </x:c>
      <x:c r="F488" s="37" t="n">
        <x:f>'Family Register'!L47</x:f>
        <x:v>4</x:v>
      </x:c>
      <x:c r="G488" s="37" t="n">
        <x:f>INDEX(Scenarios!$J$7:$J$12,Assumptions!C7)</x:f>
        <x:v>0.8</x:v>
      </x:c>
      <x:c r="H488" s="37" t="n">
        <x:f>'Family Register'!G47*'Family Register'!I47*G488</x:f>
        <x:v>5.120000000000001</x:v>
      </x:c>
      <x:c r="I488" s="37" t="n">
        <x:f>J487</x:f>
        <x:v>4</x:v>
      </x:c>
      <x:c r="J488" s="37" t="n">
        <x:f>MIN(F488,H488,I488)</x:f>
        <x:v>4</x:v>
      </x:c>
      <x:c r="K488" s="22" t="n">
        <x:v>0</x:v>
      </x:c>
      <x:c r="L488" s="22" t="n">
        <x:v>0</x:v>
      </x:c>
      <x:c r="M488" s="37" t="n">
        <x:f>K488*L488</x:f>
        <x:v>0</x:v>
      </x:c>
      <x:c r="N488" s="22" t="n">
        <x:v>0</x:v>
      </x:c>
      <x:c r="O488" s="37" t="n">
        <x:f>12</x:f>
        <x:v>12</x:v>
      </x:c>
      <x:c r="P488" s="37" t="n">
        <x:f>IF(AND(N488&gt;0,N488&lt;=O488),1,0)</x:f>
        <x:v>0</x:v>
      </x:c>
      <x:c r="Q488" s="22" t="n">
        <x:v>0</x:v>
      </x:c>
      <x:c r="R488" s="37" t="n">
        <x:f>IF(AND(P488=1,Q488=1),MIN(F488,M488,R487),0)</x:f>
        <x:v>0</x:v>
      </x:c>
      <x:c r="S488" s="23" t="str">
        <x:f>IF(R488&gt;=F488,"ADMITTED","NOT ADMITTED")</x:f>
        <x:v>NOT ADMITTED</x:v>
      </x:c>
    </x:row>
    <x:row r="489">
      <x:c r="B489" s="21" t="str">
        <x:v>SL-0483</x:v>
      </x:c>
      <x:c r="C489" s="21" t="str">
        <x:v>F41</x:v>
      </x:c>
      <x:c r="D489" s="21" t="n">
        <x:v>3</x:v>
      </x:c>
      <x:c r="E489" s="21" t="str">
        <x:v>Facility utility and safe start</x:v>
      </x:c>
      <x:c r="F489" s="37" t="n">
        <x:f>'Family Register'!L47</x:f>
        <x:v>4</x:v>
      </x:c>
      <x:c r="G489" s="37" t="n">
        <x:f>INDEX(Scenarios!$G$7:$G$12,Assumptions!C7)</x:f>
        <x:v>0.7</x:v>
      </x:c>
      <x:c r="H489" s="37" t="n">
        <x:f>'Family Register'!G47*'Family Register'!I47*G489</x:f>
        <x:v>4.4799999999999995</x:v>
      </x:c>
      <x:c r="I489" s="37" t="n">
        <x:f>J488</x:f>
        <x:v>4</x:v>
      </x:c>
      <x:c r="J489" s="37" t="n">
        <x:f>MIN(F489,H489,I489)</x:f>
        <x:v>4</x:v>
      </x:c>
      <x:c r="K489" s="22" t="n">
        <x:v>0</x:v>
      </x:c>
      <x:c r="L489" s="22" t="n">
        <x:v>0</x:v>
      </x:c>
      <x:c r="M489" s="37" t="n">
        <x:f>K489*L489</x:f>
        <x:v>0</x:v>
      </x:c>
      <x:c r="N489" s="22" t="n">
        <x:v>0</x:v>
      </x:c>
      <x:c r="O489" s="37" t="n">
        <x:f>24</x:f>
        <x:v>24</x:v>
      </x:c>
      <x:c r="P489" s="37" t="n">
        <x:f>IF(AND(N489&gt;0,N489&lt;=O489),1,0)</x:f>
        <x:v>0</x:v>
      </x:c>
      <x:c r="Q489" s="22" t="n">
        <x:v>0</x:v>
      </x:c>
      <x:c r="R489" s="37" t="n">
        <x:f>IF(AND(P489=1,Q489=1),MIN(F489,M489,R488),0)</x:f>
        <x:v>0</x:v>
      </x:c>
      <x:c r="S489" s="23" t="str">
        <x:f>IF(R489&gt;=F489,"ADMITTED","NOT ADMITTED")</x:f>
        <x:v>NOT ADMITTED</x:v>
      </x:c>
    </x:row>
    <x:row r="490">
      <x:c r="B490" s="21" t="str">
        <x:v>SL-0484</x:v>
      </x:c>
      <x:c r="C490" s="21" t="str">
        <x:v>F41</x:v>
      </x:c>
      <x:c r="D490" s="21" t="n">
        <x:v>4</x:v>
      </x:c>
      <x:c r="E490" s="21" t="str">
        <x:v>Material tooling and instrument release</x:v>
      </x:c>
      <x:c r="F490" s="37" t="n">
        <x:f>'Family Register'!L47</x:f>
        <x:v>4</x:v>
      </x:c>
      <x:c r="G490" s="37" t="n">
        <x:f>INDEX(Scenarios!$E$7:$E$12,Assumptions!C7)</x:f>
        <x:v>0.75</x:v>
      </x:c>
      <x:c r="H490" s="37" t="n">
        <x:f>'Family Register'!G47*'Family Register'!I47*G490</x:f>
        <x:v>4.800000000000001</x:v>
      </x:c>
      <x:c r="I490" s="37" t="n">
        <x:f>J489</x:f>
        <x:v>4</x:v>
      </x:c>
      <x:c r="J490" s="37" t="n">
        <x:f>MIN(F490,H490,I490)</x:f>
        <x:v>4</x:v>
      </x:c>
      <x:c r="K490" s="22" t="n">
        <x:v>0</x:v>
      </x:c>
      <x:c r="L490" s="22" t="n">
        <x:v>0</x:v>
      </x:c>
      <x:c r="M490" s="37" t="n">
        <x:f>K490*L490</x:f>
        <x:v>0</x:v>
      </x:c>
      <x:c r="N490" s="22" t="n">
        <x:v>0</x:v>
      </x:c>
      <x:c r="O490" s="37" t="n">
        <x:f>36</x:f>
        <x:v>36</x:v>
      </x:c>
      <x:c r="P490" s="37" t="n">
        <x:f>IF(AND(N490&gt;0,N490&lt;=O490),1,0)</x:f>
        <x:v>0</x:v>
      </x:c>
      <x:c r="Q490" s="22" t="n">
        <x:v>0</x:v>
      </x:c>
      <x:c r="R490" s="37" t="n">
        <x:f>IF(AND(P490=1,Q490=1),MIN(F490,M490,R489),0)</x:f>
        <x:v>0</x:v>
      </x:c>
      <x:c r="S490" s="23" t="str">
        <x:f>IF(R490&gt;=F490,"ADMITTED","NOT ADMITTED")</x:f>
        <x:v>NOT ADMITTED</x:v>
      </x:c>
    </x:row>
    <x:row r="491">
      <x:c r="B491" s="21" t="str">
        <x:v>SL-0485</x:v>
      </x:c>
      <x:c r="C491" s="21" t="str">
        <x:v>F41</x:v>
      </x:c>
      <x:c r="D491" s="21" t="n">
        <x:v>5</x:v>
      </x:c>
      <x:c r="E491" s="21" t="str">
        <x:v>Supplier and process activation</x:v>
      </x:c>
      <x:c r="F491" s="37" t="n">
        <x:f>'Family Register'!L47</x:f>
        <x:v>4</x:v>
      </x:c>
      <x:c r="G491" s="37" t="n">
        <x:f>MIN(INDEX(Scenarios!$E$7:$E$12,Assumptions!C7),INDEX(Scenarios!$F$7:$F$12,Assumptions!C7))</x:f>
        <x:v>0.7</x:v>
      </x:c>
      <x:c r="H491" s="37" t="n">
        <x:f>'Family Register'!G47*'Family Register'!I47*G491</x:f>
        <x:v>4.4799999999999995</x:v>
      </x:c>
      <x:c r="I491" s="37" t="n">
        <x:f>J490</x:f>
        <x:v>4</x:v>
      </x:c>
      <x:c r="J491" s="37" t="n">
        <x:f>MIN(F491,H491,I491)</x:f>
        <x:v>4</x:v>
      </x:c>
      <x:c r="K491" s="22" t="n">
        <x:v>0</x:v>
      </x:c>
      <x:c r="L491" s="22" t="n">
        <x:v>0</x:v>
      </x:c>
      <x:c r="M491" s="37" t="n">
        <x:f>K491*L491</x:f>
        <x:v>0</x:v>
      </x:c>
      <x:c r="N491" s="22" t="n">
        <x:v>0</x:v>
      </x:c>
      <x:c r="O491" s="37" t="n">
        <x:f>48</x:f>
        <x:v>48</x:v>
      </x:c>
      <x:c r="P491" s="37" t="n">
        <x:f>IF(AND(N491&gt;0,N491&lt;=O491),1,0)</x:f>
        <x:v>0</x:v>
      </x:c>
      <x:c r="Q491" s="22" t="n">
        <x:v>0</x:v>
      </x:c>
      <x:c r="R491" s="37" t="n">
        <x:f>IF(AND(P491=1,Q491=1),MIN(F491,M491,R490),0)</x:f>
        <x:v>0</x:v>
      </x:c>
      <x:c r="S491" s="23" t="str">
        <x:f>IF(R491&gt;=F491,"ADMITTED","NOT ADMITTED")</x:f>
        <x:v>NOT ADMITTED</x:v>
      </x:c>
    </x:row>
    <x:row r="492">
      <x:c r="B492" s="21" t="str">
        <x:v>SL-0486</x:v>
      </x:c>
      <x:c r="C492" s="21" t="str">
        <x:v>F41</x:v>
      </x:c>
      <x:c r="D492" s="21" t="n">
        <x:v>6</x:v>
      </x:c>
      <x:c r="E492" s="21" t="str">
        <x:v>Conforming production</x:v>
      </x:c>
      <x:c r="F492" s="37" t="n">
        <x:f>'Family Register'!L47</x:f>
        <x:v>4</x:v>
      </x:c>
      <x:c r="G492" s="37" t="n">
        <x:f>INDEX(Scenarios!$F$7:$F$12,Assumptions!C7)</x:f>
        <x:v>0.7</x:v>
      </x:c>
      <x:c r="H492" s="37" t="n">
        <x:f>'Family Register'!G47*'Family Register'!I47*G492</x:f>
        <x:v>4.4799999999999995</x:v>
      </x:c>
      <x:c r="I492" s="37" t="n">
        <x:f>J491</x:f>
        <x:v>4</x:v>
      </x:c>
      <x:c r="J492" s="37" t="n">
        <x:f>MIN(F492,H492,I492)</x:f>
        <x:v>4</x:v>
      </x:c>
      <x:c r="K492" s="22" t="n">
        <x:v>0</x:v>
      </x:c>
      <x:c r="L492" s="22" t="n">
        <x:v>0</x:v>
      </x:c>
      <x:c r="M492" s="37" t="n">
        <x:f>K492*L492</x:f>
        <x:v>0</x:v>
      </x:c>
      <x:c r="N492" s="22" t="n">
        <x:v>0</x:v>
      </x:c>
      <x:c r="O492" s="37" t="n">
        <x:f>'Family Register'!H47*0.55</x:f>
        <x:v>184.8</x:v>
      </x:c>
      <x:c r="P492" s="37" t="n">
        <x:f>IF(AND(N492&gt;0,N492&lt;=O492),1,0)</x:f>
        <x:v>0</x:v>
      </x:c>
      <x:c r="Q492" s="22" t="n">
        <x:v>0</x:v>
      </x:c>
      <x:c r="R492" s="37" t="n">
        <x:f>IF(AND(P492=1,Q492=1),MIN(F492,M492,R491),0)</x:f>
        <x:v>0</x:v>
      </x:c>
      <x:c r="S492" s="23" t="str">
        <x:f>IF(R492&gt;=F492,"ADMITTED","NOT ADMITTED")</x:f>
        <x:v>NOT ADMITTED</x:v>
      </x:c>
    </x:row>
    <x:row r="493">
      <x:c r="B493" s="21" t="str">
        <x:v>SL-0487</x:v>
      </x:c>
      <x:c r="C493" s="21" t="str">
        <x:v>F41</x:v>
      </x:c>
      <x:c r="D493" s="21" t="n">
        <x:v>7</x:v>
      </x:c>
      <x:c r="E493" s="21" t="str">
        <x:v>Independent acceptance</x:v>
      </x:c>
      <x:c r="F493" s="37" t="n">
        <x:f>'Family Register'!L47</x:f>
        <x:v>4</x:v>
      </x:c>
      <x:c r="G493" s="37" t="n">
        <x:f>INDEX(Scenarios!$L$7:$L$12,Assumptions!C7)</x:f>
        <x:v>0.8</x:v>
      </x:c>
      <x:c r="H493" s="37" t="n">
        <x:f>'Family Register'!G47*'Family Register'!I47*G493</x:f>
        <x:v>5.120000000000001</x:v>
      </x:c>
      <x:c r="I493" s="37" t="n">
        <x:f>J492</x:f>
        <x:v>4</x:v>
      </x:c>
      <x:c r="J493" s="37" t="n">
        <x:f>MIN(F493,H493,I493)</x:f>
        <x:v>4</x:v>
      </x:c>
      <x:c r="K493" s="22" t="n">
        <x:v>0</x:v>
      </x:c>
      <x:c r="L493" s="22" t="n">
        <x:v>0</x:v>
      </x:c>
      <x:c r="M493" s="37" t="n">
        <x:f>K493*L493</x:f>
        <x:v>0</x:v>
      </x:c>
      <x:c r="N493" s="22" t="n">
        <x:v>0</x:v>
      </x:c>
      <x:c r="O493" s="37" t="n">
        <x:f>'Family Register'!H47*0.65</x:f>
        <x:v>218.4</x:v>
      </x:c>
      <x:c r="P493" s="37" t="n">
        <x:f>IF(AND(N493&gt;0,N493&lt;=O493),1,0)</x:f>
        <x:v>0</x:v>
      </x:c>
      <x:c r="Q493" s="22" t="n">
        <x:v>0</x:v>
      </x:c>
      <x:c r="R493" s="37" t="n">
        <x:f>IF(AND(P493=1,Q493=1),MIN(F493,M493,R492),0)</x:f>
        <x:v>0</x:v>
      </x:c>
      <x:c r="S493" s="23" t="str">
        <x:f>IF(R493&gt;=F493,"ADMITTED","NOT ADMITTED")</x:f>
        <x:v>NOT ADMITTED</x:v>
      </x:c>
    </x:row>
    <x:row r="494">
      <x:c r="B494" s="21" t="str">
        <x:v>SL-0488</x:v>
      </x:c>
      <x:c r="C494" s="21" t="str">
        <x:v>F41</x:v>
      </x:c>
      <x:c r="D494" s="21" t="n">
        <x:v>8</x:v>
      </x:c>
      <x:c r="E494" s="21" t="str">
        <x:v>Loadout and custody transfer</x:v>
      </x:c>
      <x:c r="F494" s="37" t="n">
        <x:f>'Family Register'!L47</x:f>
        <x:v>4</x:v>
      </x:c>
      <x:c r="G494" s="37" t="n">
        <x:f>INDEX(Scenarios!$H$7:$H$12,Assumptions!C7)</x:f>
        <x:v>0.65</x:v>
      </x:c>
      <x:c r="H494" s="37" t="n">
        <x:f>'Family Register'!G47*'Family Register'!I47*G494</x:f>
        <x:v>4.16</x:v>
      </x:c>
      <x:c r="I494" s="37" t="n">
        <x:f>J493</x:f>
        <x:v>4</x:v>
      </x:c>
      <x:c r="J494" s="37" t="n">
        <x:f>MIN(F494,H494,I494)</x:f>
        <x:v>4</x:v>
      </x:c>
      <x:c r="K494" s="22" t="n">
        <x:v>0</x:v>
      </x:c>
      <x:c r="L494" s="22" t="n">
        <x:v>0</x:v>
      </x:c>
      <x:c r="M494" s="37" t="n">
        <x:f>K494*L494</x:f>
        <x:v>0</x:v>
      </x:c>
      <x:c r="N494" s="22" t="n">
        <x:v>0</x:v>
      </x:c>
      <x:c r="O494" s="37" t="n">
        <x:f>'Family Register'!H47*0.7</x:f>
        <x:v>235.2</x:v>
      </x:c>
      <x:c r="P494" s="37" t="n">
        <x:f>IF(AND(N494&gt;0,N494&lt;=O494),1,0)</x:f>
        <x:v>0</x:v>
      </x:c>
      <x:c r="Q494" s="22" t="n">
        <x:v>0</x:v>
      </x:c>
      <x:c r="R494" s="37" t="n">
        <x:f>IF(AND(P494=1,Q494=1),MIN(F494,M494,R493),0)</x:f>
        <x:v>0</x:v>
      </x:c>
      <x:c r="S494" s="23" t="str">
        <x:f>IF(R494&gt;=F494,"ADMITTED","NOT ADMITTED")</x:f>
        <x:v>NOT ADMITTED</x:v>
      </x:c>
    </x:row>
    <x:row r="495">
      <x:c r="B495" s="21" t="str">
        <x:v>SL-0489</x:v>
      </x:c>
      <x:c r="C495" s="21" t="str">
        <x:v>F41</x:v>
      </x:c>
      <x:c r="D495" s="21" t="n">
        <x:v>9</x:v>
      </x:c>
      <x:c r="E495" s="21" t="str">
        <x:v>Strategic transport</x:v>
      </x:c>
      <x:c r="F495" s="37" t="n">
        <x:f>'Family Register'!L47</x:f>
        <x:v>4</x:v>
      </x:c>
      <x:c r="G495" s="37" t="n">
        <x:f>INDEX(Scenarios!$H$7:$H$12,Assumptions!C7)</x:f>
        <x:v>0.65</x:v>
      </x:c>
      <x:c r="H495" s="37" t="n">
        <x:f>'Family Register'!G47*'Family Register'!I47*G495</x:f>
        <x:v>4.16</x:v>
      </x:c>
      <x:c r="I495" s="37" t="n">
        <x:f>J494</x:f>
        <x:v>4</x:v>
      </x:c>
      <x:c r="J495" s="37" t="n">
        <x:f>MIN(F495,H495,I495)</x:f>
        <x:v>4</x:v>
      </x:c>
      <x:c r="K495" s="22" t="n">
        <x:v>0</x:v>
      </x:c>
      <x:c r="L495" s="22" t="n">
        <x:v>0</x:v>
      </x:c>
      <x:c r="M495" s="37" t="n">
        <x:f>K495*L495</x:f>
        <x:v>0</x:v>
      </x:c>
      <x:c r="N495" s="22" t="n">
        <x:v>0</x:v>
      </x:c>
      <x:c r="O495" s="37" t="n">
        <x:f>'Family Register'!H47*0.9</x:f>
        <x:v>302.40000000000003</x:v>
      </x:c>
      <x:c r="P495" s="37" t="n">
        <x:f>IF(AND(N495&gt;0,N495&lt;=O495),1,0)</x:f>
        <x:v>0</x:v>
      </x:c>
      <x:c r="Q495" s="22" t="n">
        <x:v>0</x:v>
      </x:c>
      <x:c r="R495" s="37" t="n">
        <x:f>IF(AND(P495=1,Q495=1),MIN(F495,M495,R494),0)</x:f>
        <x:v>0</x:v>
      </x:c>
      <x:c r="S495" s="23" t="str">
        <x:f>IF(R495&gt;=F495,"ADMITTED","NOT ADMITTED")</x:f>
        <x:v>NOT ADMITTED</x:v>
      </x:c>
    </x:row>
    <x:row r="496">
      <x:c r="B496" s="21" t="str">
        <x:v>SL-0490</x:v>
      </x:c>
      <x:c r="C496" s="21" t="str">
        <x:v>F41</x:v>
      </x:c>
      <x:c r="D496" s="21" t="n">
        <x:v>10</x:v>
      </x:c>
      <x:c r="E496" s="21" t="str">
        <x:v>Receiving-node admission</x:v>
      </x:c>
      <x:c r="F496" s="37" t="n">
        <x:f>'Family Register'!L47</x:f>
        <x:v>4</x:v>
      </x:c>
      <x:c r="G496" s="37" t="n">
        <x:f>INDEX(Scenarios!$I$7:$I$12,Assumptions!C7)</x:f>
        <x:v>0.75</x:v>
      </x:c>
      <x:c r="H496" s="37" t="n">
        <x:f>'Family Register'!G47*'Family Register'!I47*G496</x:f>
        <x:v>4.800000000000001</x:v>
      </x:c>
      <x:c r="I496" s="37" t="n">
        <x:f>J495</x:f>
        <x:v>4</x:v>
      </x:c>
      <x:c r="J496" s="37" t="n">
        <x:f>MIN(F496,H496,I496)</x:f>
        <x:v>4</x:v>
      </x:c>
      <x:c r="K496" s="22" t="n">
        <x:v>0</x:v>
      </x:c>
      <x:c r="L496" s="22" t="n">
        <x:v>0</x:v>
      </x:c>
      <x:c r="M496" s="37" t="n">
        <x:f>K496*L496</x:f>
        <x:v>0</x:v>
      </x:c>
      <x:c r="N496" s="22" t="n">
        <x:v>0</x:v>
      </x:c>
      <x:c r="O496" s="37" t="n">
        <x:f>'Family Register'!H47*0.94</x:f>
        <x:v>315.84</x:v>
      </x:c>
      <x:c r="P496" s="37" t="n">
        <x:f>IF(AND(N496&gt;0,N496&lt;=O496),1,0)</x:f>
        <x:v>0</x:v>
      </x:c>
      <x:c r="Q496" s="22" t="n">
        <x:v>0</x:v>
      </x:c>
      <x:c r="R496" s="37" t="n">
        <x:f>IF(AND(P496=1,Q496=1),MIN(F496,M496,R495),0)</x:f>
        <x:v>0</x:v>
      </x:c>
      <x:c r="S496" s="23" t="str">
        <x:f>IF(R496&gt;=F496,"ADMITTED","NOT ADMITTED")</x:f>
        <x:v>NOT ADMITTED</x:v>
      </x:c>
    </x:row>
    <x:row r="497">
      <x:c r="B497" s="21" t="str">
        <x:v>SL-0491</x:v>
      </x:c>
      <x:c r="C497" s="21" t="str">
        <x:v>F41</x:v>
      </x:c>
      <x:c r="D497" s="21" t="n">
        <x:v>11</x:v>
      </x:c>
      <x:c r="E497" s="21" t="str">
        <x:v>Commissioned public service</x:v>
      </x:c>
      <x:c r="F497" s="37" t="n">
        <x:f>'Family Register'!L47</x:f>
        <x:v>4</x:v>
      </x:c>
      <x:c r="G497" s="37" t="n">
        <x:f>MIN(INDEX(Scenarios!$G$7:$G$12,Assumptions!C7),INDEX(Scenarios!$I$7:$I$12,Assumptions!C7))</x:f>
        <x:v>0.7</x:v>
      </x:c>
      <x:c r="H497" s="37" t="n">
        <x:f>'Family Register'!G47*'Family Register'!I47*G497</x:f>
        <x:v>4.4799999999999995</x:v>
      </x:c>
      <x:c r="I497" s="37" t="n">
        <x:f>J496</x:f>
        <x:v>4</x:v>
      </x:c>
      <x:c r="J497" s="37" t="n">
        <x:f>MIN(F497,H497,I497)</x:f>
        <x:v>4</x:v>
      </x:c>
      <x:c r="K497" s="22" t="n">
        <x:v>0</x:v>
      </x:c>
      <x:c r="L497" s="22" t="n">
        <x:v>0</x:v>
      </x:c>
      <x:c r="M497" s="37" t="n">
        <x:f>K497*L497</x:f>
        <x:v>0</x:v>
      </x:c>
      <x:c r="N497" s="22" t="n">
        <x:v>0</x:v>
      </x:c>
      <x:c r="O497" s="37" t="n">
        <x:f>'Family Register'!H47*1</x:f>
        <x:v>336</x:v>
      </x:c>
      <x:c r="P497" s="37" t="n">
        <x:f>IF(AND(N497&gt;0,N497&lt;=O497),1,0)</x:f>
        <x:v>0</x:v>
      </x:c>
      <x:c r="Q497" s="22" t="n">
        <x:v>0</x:v>
      </x:c>
      <x:c r="R497" s="37" t="n">
        <x:f>IF(AND(P497=1,Q497=1),MIN(F497,M497,R496),0)</x:f>
        <x:v>0</x:v>
      </x:c>
      <x:c r="S497" s="23" t="str">
        <x:f>IF(R497&gt;=F497,"ADMITTED","NOT ADMITTED")</x:f>
        <x:v>NOT ADMITTED</x:v>
      </x:c>
    </x:row>
    <x:row r="498">
      <x:c r="B498" s="21" t="str">
        <x:v>SL-0492</x:v>
      </x:c>
      <x:c r="C498" s="21" t="str">
        <x:v>F41</x:v>
      </x:c>
      <x:c r="D498" s="21" t="n">
        <x:v>12</x:v>
      </x:c>
      <x:c r="E498" s="21" t="str">
        <x:v>Regeneration and replacement</x:v>
      </x:c>
      <x:c r="F498" s="37" t="n">
        <x:f>'Family Register'!L47</x:f>
        <x:v>4</x:v>
      </x:c>
      <x:c r="G498" s="37" t="n">
        <x:f>MIN(INDEX(Scenarios!$E$7:$E$12,Assumptions!C7),INDEX(Scenarios!$F$7:$F$12,Assumptions!C7))</x:f>
        <x:v>0.7</x:v>
      </x:c>
      <x:c r="H498" s="37" t="n">
        <x:f>'Family Register'!G47*'Family Register'!I47*G498</x:f>
        <x:v>4.4799999999999995</x:v>
      </x:c>
      <x:c r="I498" s="37" t="n">
        <x:f>J497</x:f>
        <x:v>4</x:v>
      </x:c>
      <x:c r="J498" s="37" t="n">
        <x:f>MIN(F498,H498,I498)</x:f>
        <x:v>4</x:v>
      </x:c>
      <x:c r="K498" s="22" t="n">
        <x:v>0</x:v>
      </x:c>
      <x:c r="L498" s="22" t="n">
        <x:v>0</x:v>
      </x:c>
      <x:c r="M498" s="37" t="n">
        <x:f>K498*L498</x:f>
        <x:v>0</x:v>
      </x:c>
      <x:c r="N498" s="22" t="n">
        <x:v>0</x:v>
      </x:c>
      <x:c r="O498" s="37" t="n">
        <x:f>'Family Register'!H47+168</x:f>
        <x:v>504</x:v>
      </x:c>
      <x:c r="P498" s="37" t="n">
        <x:f>IF(AND(N498&gt;0,N498&lt;=O498),1,0)</x:f>
        <x:v>0</x:v>
      </x:c>
      <x:c r="Q498" s="22" t="n">
        <x:v>0</x:v>
      </x:c>
      <x:c r="R498" s="37" t="n">
        <x:f>IF(AND(P498=1,Q498=1),MIN(F498,M498,R497),0)</x:f>
        <x:v>0</x:v>
      </x:c>
      <x:c r="S498" s="23" t="str">
        <x:f>IF(R498&gt;=F498,"ADMITTED","NOT ADMITTED")</x:f>
        <x:v>NOT ADMITTED</x:v>
      </x:c>
    </x:row>
    <x:row r="499">
      <x:c r="B499" s="21" t="str">
        <x:v>SL-0493</x:v>
      </x:c>
      <x:c r="C499" s="21" t="str">
        <x:v>F42</x:v>
      </x:c>
      <x:c r="D499" s="21" t="n">
        <x:v>1</x:v>
      </x:c>
      <x:c r="E499" s="21" t="str">
        <x:v>Alert authentication</x:v>
      </x:c>
      <x:c r="F499" s="37" t="n">
        <x:f>'Family Register'!L48</x:f>
        <x:v>4</x:v>
      </x:c>
      <x:c r="G499" s="37" t="n">
        <x:f>INDEX(Scenarios!$K$7:$K$12,Assumptions!C7)</x:f>
        <x:v>0.75</x:v>
      </x:c>
      <x:c r="H499" s="37" t="n">
        <x:f>'Family Register'!G48*'Family Register'!I48*G499</x:f>
        <x:v>4.800000000000001</x:v>
      </x:c>
      <x:c r="I499" s="37" t="n">
        <x:f>F499</x:f>
        <x:v>4</x:v>
      </x:c>
      <x:c r="J499" s="37" t="n">
        <x:f>MIN(F499,H499,I499)</x:f>
        <x:v>4</x:v>
      </x:c>
      <x:c r="K499" s="22" t="n">
        <x:v>0</x:v>
      </x:c>
      <x:c r="L499" s="22" t="n">
        <x:v>0</x:v>
      </x:c>
      <x:c r="M499" s="37" t="n">
        <x:f>K499*L499</x:f>
        <x:v>0</x:v>
      </x:c>
      <x:c r="N499" s="22" t="n">
        <x:v>0</x:v>
      </x:c>
      <x:c r="O499" s="37" t="n">
        <x:f>2</x:f>
        <x:v>2</x:v>
      </x:c>
      <x:c r="P499" s="37" t="n">
        <x:f>IF(AND(N499&gt;0,N499&lt;=O499),1,0)</x:f>
        <x:v>0</x:v>
      </x:c>
      <x:c r="Q499" s="22" t="n">
        <x:v>0</x:v>
      </x:c>
      <x:c r="R499" s="37" t="n">
        <x:f>IF(AND(P499=1,Q499=1),MIN(F499,M499),0)</x:f>
        <x:v>0</x:v>
      </x:c>
      <x:c r="S499" s="23" t="str">
        <x:f>IF(R499&gt;=F499,"ADMITTED","NOT ADMITTED")</x:f>
        <x:v>NOT ADMITTED</x:v>
      </x:c>
    </x:row>
    <x:row r="500">
      <x:c r="B500" s="21" t="str">
        <x:v>SL-0494</x:v>
      </x:c>
      <x:c r="C500" s="21" t="str">
        <x:v>F42</x:v>
      </x:c>
      <x:c r="D500" s="21" t="n">
        <x:v>2</x:v>
      </x:c>
      <x:c r="E500" s="21" t="str">
        <x:v>Workforce muster</x:v>
      </x:c>
      <x:c r="F500" s="37" t="n">
        <x:f>'Family Register'!L48</x:f>
        <x:v>4</x:v>
      </x:c>
      <x:c r="G500" s="37" t="n">
        <x:f>INDEX(Scenarios!$J$7:$J$12,Assumptions!C7)</x:f>
        <x:v>0.8</x:v>
      </x:c>
      <x:c r="H500" s="37" t="n">
        <x:f>'Family Register'!G48*'Family Register'!I48*G500</x:f>
        <x:v>5.120000000000001</x:v>
      </x:c>
      <x:c r="I500" s="37" t="n">
        <x:f>J499</x:f>
        <x:v>4</x:v>
      </x:c>
      <x:c r="J500" s="37" t="n">
        <x:f>MIN(F500,H500,I500)</x:f>
        <x:v>4</x:v>
      </x:c>
      <x:c r="K500" s="22" t="n">
        <x:v>0</x:v>
      </x:c>
      <x:c r="L500" s="22" t="n">
        <x:v>0</x:v>
      </x:c>
      <x:c r="M500" s="37" t="n">
        <x:f>K500*L500</x:f>
        <x:v>0</x:v>
      </x:c>
      <x:c r="N500" s="22" t="n">
        <x:v>0</x:v>
      </x:c>
      <x:c r="O500" s="37" t="n">
        <x:f>12</x:f>
        <x:v>12</x:v>
      </x:c>
      <x:c r="P500" s="37" t="n">
        <x:f>IF(AND(N500&gt;0,N500&lt;=O500),1,0)</x:f>
        <x:v>0</x:v>
      </x:c>
      <x:c r="Q500" s="22" t="n">
        <x:v>0</x:v>
      </x:c>
      <x:c r="R500" s="37" t="n">
        <x:f>IF(AND(P500=1,Q500=1),MIN(F500,M500,R499),0)</x:f>
        <x:v>0</x:v>
      </x:c>
      <x:c r="S500" s="23" t="str">
        <x:f>IF(R500&gt;=F500,"ADMITTED","NOT ADMITTED")</x:f>
        <x:v>NOT ADMITTED</x:v>
      </x:c>
    </x:row>
    <x:row r="501">
      <x:c r="B501" s="21" t="str">
        <x:v>SL-0495</x:v>
      </x:c>
      <x:c r="C501" s="21" t="str">
        <x:v>F42</x:v>
      </x:c>
      <x:c r="D501" s="21" t="n">
        <x:v>3</x:v>
      </x:c>
      <x:c r="E501" s="21" t="str">
        <x:v>Facility utility and safe start</x:v>
      </x:c>
      <x:c r="F501" s="37" t="n">
        <x:f>'Family Register'!L48</x:f>
        <x:v>4</x:v>
      </x:c>
      <x:c r="G501" s="37" t="n">
        <x:f>INDEX(Scenarios!$G$7:$G$12,Assumptions!C7)</x:f>
        <x:v>0.7</x:v>
      </x:c>
      <x:c r="H501" s="37" t="n">
        <x:f>'Family Register'!G48*'Family Register'!I48*G501</x:f>
        <x:v>4.4799999999999995</x:v>
      </x:c>
      <x:c r="I501" s="37" t="n">
        <x:f>J500</x:f>
        <x:v>4</x:v>
      </x:c>
      <x:c r="J501" s="37" t="n">
        <x:f>MIN(F501,H501,I501)</x:f>
        <x:v>4</x:v>
      </x:c>
      <x:c r="K501" s="22" t="n">
        <x:v>0</x:v>
      </x:c>
      <x:c r="L501" s="22" t="n">
        <x:v>0</x:v>
      </x:c>
      <x:c r="M501" s="37" t="n">
        <x:f>K501*L501</x:f>
        <x:v>0</x:v>
      </x:c>
      <x:c r="N501" s="22" t="n">
        <x:v>0</x:v>
      </x:c>
      <x:c r="O501" s="37" t="n">
        <x:f>24</x:f>
        <x:v>24</x:v>
      </x:c>
      <x:c r="P501" s="37" t="n">
        <x:f>IF(AND(N501&gt;0,N501&lt;=O501),1,0)</x:f>
        <x:v>0</x:v>
      </x:c>
      <x:c r="Q501" s="22" t="n">
        <x:v>0</x:v>
      </x:c>
      <x:c r="R501" s="37" t="n">
        <x:f>IF(AND(P501=1,Q501=1),MIN(F501,M501,R500),0)</x:f>
        <x:v>0</x:v>
      </x:c>
      <x:c r="S501" s="23" t="str">
        <x:f>IF(R501&gt;=F501,"ADMITTED","NOT ADMITTED")</x:f>
        <x:v>NOT ADMITTED</x:v>
      </x:c>
    </x:row>
    <x:row r="502">
      <x:c r="B502" s="21" t="str">
        <x:v>SL-0496</x:v>
      </x:c>
      <x:c r="C502" s="21" t="str">
        <x:v>F42</x:v>
      </x:c>
      <x:c r="D502" s="21" t="n">
        <x:v>4</x:v>
      </x:c>
      <x:c r="E502" s="21" t="str">
        <x:v>Material tooling and instrument release</x:v>
      </x:c>
      <x:c r="F502" s="37" t="n">
        <x:f>'Family Register'!L48</x:f>
        <x:v>4</x:v>
      </x:c>
      <x:c r="G502" s="37" t="n">
        <x:f>INDEX(Scenarios!$E$7:$E$12,Assumptions!C7)</x:f>
        <x:v>0.75</x:v>
      </x:c>
      <x:c r="H502" s="37" t="n">
        <x:f>'Family Register'!G48*'Family Register'!I48*G502</x:f>
        <x:v>4.800000000000001</x:v>
      </x:c>
      <x:c r="I502" s="37" t="n">
        <x:f>J501</x:f>
        <x:v>4</x:v>
      </x:c>
      <x:c r="J502" s="37" t="n">
        <x:f>MIN(F502,H502,I502)</x:f>
        <x:v>4</x:v>
      </x:c>
      <x:c r="K502" s="22" t="n">
        <x:v>0</x:v>
      </x:c>
      <x:c r="L502" s="22" t="n">
        <x:v>0</x:v>
      </x:c>
      <x:c r="M502" s="37" t="n">
        <x:f>K502*L502</x:f>
        <x:v>0</x:v>
      </x:c>
      <x:c r="N502" s="22" t="n">
        <x:v>0</x:v>
      </x:c>
      <x:c r="O502" s="37" t="n">
        <x:f>36</x:f>
        <x:v>36</x:v>
      </x:c>
      <x:c r="P502" s="37" t="n">
        <x:f>IF(AND(N502&gt;0,N502&lt;=O502),1,0)</x:f>
        <x:v>0</x:v>
      </x:c>
      <x:c r="Q502" s="22" t="n">
        <x:v>0</x:v>
      </x:c>
      <x:c r="R502" s="37" t="n">
        <x:f>IF(AND(P502=1,Q502=1),MIN(F502,M502,R501),0)</x:f>
        <x:v>0</x:v>
      </x:c>
      <x:c r="S502" s="23" t="str">
        <x:f>IF(R502&gt;=F502,"ADMITTED","NOT ADMITTED")</x:f>
        <x:v>NOT ADMITTED</x:v>
      </x:c>
    </x:row>
    <x:row r="503">
      <x:c r="B503" s="21" t="str">
        <x:v>SL-0497</x:v>
      </x:c>
      <x:c r="C503" s="21" t="str">
        <x:v>F42</x:v>
      </x:c>
      <x:c r="D503" s="21" t="n">
        <x:v>5</x:v>
      </x:c>
      <x:c r="E503" s="21" t="str">
        <x:v>Supplier and process activation</x:v>
      </x:c>
      <x:c r="F503" s="37" t="n">
        <x:f>'Family Register'!L48</x:f>
        <x:v>4</x:v>
      </x:c>
      <x:c r="G503" s="37" t="n">
        <x:f>MIN(INDEX(Scenarios!$E$7:$E$12,Assumptions!C7),INDEX(Scenarios!$F$7:$F$12,Assumptions!C7))</x:f>
        <x:v>0.7</x:v>
      </x:c>
      <x:c r="H503" s="37" t="n">
        <x:f>'Family Register'!G48*'Family Register'!I48*G503</x:f>
        <x:v>4.4799999999999995</x:v>
      </x:c>
      <x:c r="I503" s="37" t="n">
        <x:f>J502</x:f>
        <x:v>4</x:v>
      </x:c>
      <x:c r="J503" s="37" t="n">
        <x:f>MIN(F503,H503,I503)</x:f>
        <x:v>4</x:v>
      </x:c>
      <x:c r="K503" s="22" t="n">
        <x:v>0</x:v>
      </x:c>
      <x:c r="L503" s="22" t="n">
        <x:v>0</x:v>
      </x:c>
      <x:c r="M503" s="37" t="n">
        <x:f>K503*L503</x:f>
        <x:v>0</x:v>
      </x:c>
      <x:c r="N503" s="22" t="n">
        <x:v>0</x:v>
      </x:c>
      <x:c r="O503" s="37" t="n">
        <x:f>48</x:f>
        <x:v>48</x:v>
      </x:c>
      <x:c r="P503" s="37" t="n">
        <x:f>IF(AND(N503&gt;0,N503&lt;=O503),1,0)</x:f>
        <x:v>0</x:v>
      </x:c>
      <x:c r="Q503" s="22" t="n">
        <x:v>0</x:v>
      </x:c>
      <x:c r="R503" s="37" t="n">
        <x:f>IF(AND(P503=1,Q503=1),MIN(F503,M503,R502),0)</x:f>
        <x:v>0</x:v>
      </x:c>
      <x:c r="S503" s="23" t="str">
        <x:f>IF(R503&gt;=F503,"ADMITTED","NOT ADMITTED")</x:f>
        <x:v>NOT ADMITTED</x:v>
      </x:c>
    </x:row>
    <x:row r="504">
      <x:c r="B504" s="21" t="str">
        <x:v>SL-0498</x:v>
      </x:c>
      <x:c r="C504" s="21" t="str">
        <x:v>F42</x:v>
      </x:c>
      <x:c r="D504" s="21" t="n">
        <x:v>6</x:v>
      </x:c>
      <x:c r="E504" s="21" t="str">
        <x:v>Conforming production</x:v>
      </x:c>
      <x:c r="F504" s="37" t="n">
        <x:f>'Family Register'!L48</x:f>
        <x:v>4</x:v>
      </x:c>
      <x:c r="G504" s="37" t="n">
        <x:f>INDEX(Scenarios!$F$7:$F$12,Assumptions!C7)</x:f>
        <x:v>0.7</x:v>
      </x:c>
      <x:c r="H504" s="37" t="n">
        <x:f>'Family Register'!G48*'Family Register'!I48*G504</x:f>
        <x:v>4.4799999999999995</x:v>
      </x:c>
      <x:c r="I504" s="37" t="n">
        <x:f>J503</x:f>
        <x:v>4</x:v>
      </x:c>
      <x:c r="J504" s="37" t="n">
        <x:f>MIN(F504,H504,I504)</x:f>
        <x:v>4</x:v>
      </x:c>
      <x:c r="K504" s="22" t="n">
        <x:v>0</x:v>
      </x:c>
      <x:c r="L504" s="22" t="n">
        <x:v>0</x:v>
      </x:c>
      <x:c r="M504" s="37" t="n">
        <x:f>K504*L504</x:f>
        <x:v>0</x:v>
      </x:c>
      <x:c r="N504" s="22" t="n">
        <x:v>0</x:v>
      </x:c>
      <x:c r="O504" s="37" t="n">
        <x:f>'Family Register'!H48*0.55</x:f>
        <x:v>184.8</x:v>
      </x:c>
      <x:c r="P504" s="37" t="n">
        <x:f>IF(AND(N504&gt;0,N504&lt;=O504),1,0)</x:f>
        <x:v>0</x:v>
      </x:c>
      <x:c r="Q504" s="22" t="n">
        <x:v>0</x:v>
      </x:c>
      <x:c r="R504" s="37" t="n">
        <x:f>IF(AND(P504=1,Q504=1),MIN(F504,M504,R503),0)</x:f>
        <x:v>0</x:v>
      </x:c>
      <x:c r="S504" s="23" t="str">
        <x:f>IF(R504&gt;=F504,"ADMITTED","NOT ADMITTED")</x:f>
        <x:v>NOT ADMITTED</x:v>
      </x:c>
    </x:row>
    <x:row r="505">
      <x:c r="B505" s="21" t="str">
        <x:v>SL-0499</x:v>
      </x:c>
      <x:c r="C505" s="21" t="str">
        <x:v>F42</x:v>
      </x:c>
      <x:c r="D505" s="21" t="n">
        <x:v>7</x:v>
      </x:c>
      <x:c r="E505" s="21" t="str">
        <x:v>Independent acceptance</x:v>
      </x:c>
      <x:c r="F505" s="37" t="n">
        <x:f>'Family Register'!L48</x:f>
        <x:v>4</x:v>
      </x:c>
      <x:c r="G505" s="37" t="n">
        <x:f>INDEX(Scenarios!$L$7:$L$12,Assumptions!C7)</x:f>
        <x:v>0.8</x:v>
      </x:c>
      <x:c r="H505" s="37" t="n">
        <x:f>'Family Register'!G48*'Family Register'!I48*G505</x:f>
        <x:v>5.120000000000001</x:v>
      </x:c>
      <x:c r="I505" s="37" t="n">
        <x:f>J504</x:f>
        <x:v>4</x:v>
      </x:c>
      <x:c r="J505" s="37" t="n">
        <x:f>MIN(F505,H505,I505)</x:f>
        <x:v>4</x:v>
      </x:c>
      <x:c r="K505" s="22" t="n">
        <x:v>0</x:v>
      </x:c>
      <x:c r="L505" s="22" t="n">
        <x:v>0</x:v>
      </x:c>
      <x:c r="M505" s="37" t="n">
        <x:f>K505*L505</x:f>
        <x:v>0</x:v>
      </x:c>
      <x:c r="N505" s="22" t="n">
        <x:v>0</x:v>
      </x:c>
      <x:c r="O505" s="37" t="n">
        <x:f>'Family Register'!H48*0.65</x:f>
        <x:v>218.4</x:v>
      </x:c>
      <x:c r="P505" s="37" t="n">
        <x:f>IF(AND(N505&gt;0,N505&lt;=O505),1,0)</x:f>
        <x:v>0</x:v>
      </x:c>
      <x:c r="Q505" s="22" t="n">
        <x:v>0</x:v>
      </x:c>
      <x:c r="R505" s="37" t="n">
        <x:f>IF(AND(P505=1,Q505=1),MIN(F505,M505,R504),0)</x:f>
        <x:v>0</x:v>
      </x:c>
      <x:c r="S505" s="23" t="str">
        <x:f>IF(R505&gt;=F505,"ADMITTED","NOT ADMITTED")</x:f>
        <x:v>NOT ADMITTED</x:v>
      </x:c>
    </x:row>
    <x:row r="506">
      <x:c r="B506" s="21" t="str">
        <x:v>SL-0500</x:v>
      </x:c>
      <x:c r="C506" s="21" t="str">
        <x:v>F42</x:v>
      </x:c>
      <x:c r="D506" s="21" t="n">
        <x:v>8</x:v>
      </x:c>
      <x:c r="E506" s="21" t="str">
        <x:v>Loadout and custody transfer</x:v>
      </x:c>
      <x:c r="F506" s="37" t="n">
        <x:f>'Family Register'!L48</x:f>
        <x:v>4</x:v>
      </x:c>
      <x:c r="G506" s="37" t="n">
        <x:f>INDEX(Scenarios!$H$7:$H$12,Assumptions!C7)</x:f>
        <x:v>0.65</x:v>
      </x:c>
      <x:c r="H506" s="37" t="n">
        <x:f>'Family Register'!G48*'Family Register'!I48*G506</x:f>
        <x:v>4.16</x:v>
      </x:c>
      <x:c r="I506" s="37" t="n">
        <x:f>J505</x:f>
        <x:v>4</x:v>
      </x:c>
      <x:c r="J506" s="37" t="n">
        <x:f>MIN(F506,H506,I506)</x:f>
        <x:v>4</x:v>
      </x:c>
      <x:c r="K506" s="22" t="n">
        <x:v>0</x:v>
      </x:c>
      <x:c r="L506" s="22" t="n">
        <x:v>0</x:v>
      </x:c>
      <x:c r="M506" s="37" t="n">
        <x:f>K506*L506</x:f>
        <x:v>0</x:v>
      </x:c>
      <x:c r="N506" s="22" t="n">
        <x:v>0</x:v>
      </x:c>
      <x:c r="O506" s="37" t="n">
        <x:f>'Family Register'!H48*0.7</x:f>
        <x:v>235.2</x:v>
      </x:c>
      <x:c r="P506" s="37" t="n">
        <x:f>IF(AND(N506&gt;0,N506&lt;=O506),1,0)</x:f>
        <x:v>0</x:v>
      </x:c>
      <x:c r="Q506" s="22" t="n">
        <x:v>0</x:v>
      </x:c>
      <x:c r="R506" s="37" t="n">
        <x:f>IF(AND(P506=1,Q506=1),MIN(F506,M506,R505),0)</x:f>
        <x:v>0</x:v>
      </x:c>
      <x:c r="S506" s="23" t="str">
        <x:f>IF(R506&gt;=F506,"ADMITTED","NOT ADMITTED")</x:f>
        <x:v>NOT ADMITTED</x:v>
      </x:c>
    </x:row>
    <x:row r="507">
      <x:c r="B507" s="21" t="str">
        <x:v>SL-0501</x:v>
      </x:c>
      <x:c r="C507" s="21" t="str">
        <x:v>F42</x:v>
      </x:c>
      <x:c r="D507" s="21" t="n">
        <x:v>9</x:v>
      </x:c>
      <x:c r="E507" s="21" t="str">
        <x:v>Strategic transport</x:v>
      </x:c>
      <x:c r="F507" s="37" t="n">
        <x:f>'Family Register'!L48</x:f>
        <x:v>4</x:v>
      </x:c>
      <x:c r="G507" s="37" t="n">
        <x:f>INDEX(Scenarios!$H$7:$H$12,Assumptions!C7)</x:f>
        <x:v>0.65</x:v>
      </x:c>
      <x:c r="H507" s="37" t="n">
        <x:f>'Family Register'!G48*'Family Register'!I48*G507</x:f>
        <x:v>4.16</x:v>
      </x:c>
      <x:c r="I507" s="37" t="n">
        <x:f>J506</x:f>
        <x:v>4</x:v>
      </x:c>
      <x:c r="J507" s="37" t="n">
        <x:f>MIN(F507,H507,I507)</x:f>
        <x:v>4</x:v>
      </x:c>
      <x:c r="K507" s="22" t="n">
        <x:v>0</x:v>
      </x:c>
      <x:c r="L507" s="22" t="n">
        <x:v>0</x:v>
      </x:c>
      <x:c r="M507" s="37" t="n">
        <x:f>K507*L507</x:f>
        <x:v>0</x:v>
      </x:c>
      <x:c r="N507" s="22" t="n">
        <x:v>0</x:v>
      </x:c>
      <x:c r="O507" s="37" t="n">
        <x:f>'Family Register'!H48*0.9</x:f>
        <x:v>302.40000000000003</x:v>
      </x:c>
      <x:c r="P507" s="37" t="n">
        <x:f>IF(AND(N507&gt;0,N507&lt;=O507),1,0)</x:f>
        <x:v>0</x:v>
      </x:c>
      <x:c r="Q507" s="22" t="n">
        <x:v>0</x:v>
      </x:c>
      <x:c r="R507" s="37" t="n">
        <x:f>IF(AND(P507=1,Q507=1),MIN(F507,M507,R506),0)</x:f>
        <x:v>0</x:v>
      </x:c>
      <x:c r="S507" s="23" t="str">
        <x:f>IF(R507&gt;=F507,"ADMITTED","NOT ADMITTED")</x:f>
        <x:v>NOT ADMITTED</x:v>
      </x:c>
    </x:row>
    <x:row r="508">
      <x:c r="B508" s="21" t="str">
        <x:v>SL-0502</x:v>
      </x:c>
      <x:c r="C508" s="21" t="str">
        <x:v>F42</x:v>
      </x:c>
      <x:c r="D508" s="21" t="n">
        <x:v>10</x:v>
      </x:c>
      <x:c r="E508" s="21" t="str">
        <x:v>Receiving-node admission</x:v>
      </x:c>
      <x:c r="F508" s="37" t="n">
        <x:f>'Family Register'!L48</x:f>
        <x:v>4</x:v>
      </x:c>
      <x:c r="G508" s="37" t="n">
        <x:f>INDEX(Scenarios!$I$7:$I$12,Assumptions!C7)</x:f>
        <x:v>0.75</x:v>
      </x:c>
      <x:c r="H508" s="37" t="n">
        <x:f>'Family Register'!G48*'Family Register'!I48*G508</x:f>
        <x:v>4.800000000000001</x:v>
      </x:c>
      <x:c r="I508" s="37" t="n">
        <x:f>J507</x:f>
        <x:v>4</x:v>
      </x:c>
      <x:c r="J508" s="37" t="n">
        <x:f>MIN(F508,H508,I508)</x:f>
        <x:v>4</x:v>
      </x:c>
      <x:c r="K508" s="22" t="n">
        <x:v>0</x:v>
      </x:c>
      <x:c r="L508" s="22" t="n">
        <x:v>0</x:v>
      </x:c>
      <x:c r="M508" s="37" t="n">
        <x:f>K508*L508</x:f>
        <x:v>0</x:v>
      </x:c>
      <x:c r="N508" s="22" t="n">
        <x:v>0</x:v>
      </x:c>
      <x:c r="O508" s="37" t="n">
        <x:f>'Family Register'!H48*0.94</x:f>
        <x:v>315.84</x:v>
      </x:c>
      <x:c r="P508" s="37" t="n">
        <x:f>IF(AND(N508&gt;0,N508&lt;=O508),1,0)</x:f>
        <x:v>0</x:v>
      </x:c>
      <x:c r="Q508" s="22" t="n">
        <x:v>0</x:v>
      </x:c>
      <x:c r="R508" s="37" t="n">
        <x:f>IF(AND(P508=1,Q508=1),MIN(F508,M508,R507),0)</x:f>
        <x:v>0</x:v>
      </x:c>
      <x:c r="S508" s="23" t="str">
        <x:f>IF(R508&gt;=F508,"ADMITTED","NOT ADMITTED")</x:f>
        <x:v>NOT ADMITTED</x:v>
      </x:c>
    </x:row>
    <x:row r="509">
      <x:c r="B509" s="21" t="str">
        <x:v>SL-0503</x:v>
      </x:c>
      <x:c r="C509" s="21" t="str">
        <x:v>F42</x:v>
      </x:c>
      <x:c r="D509" s="21" t="n">
        <x:v>11</x:v>
      </x:c>
      <x:c r="E509" s="21" t="str">
        <x:v>Commissioned public service</x:v>
      </x:c>
      <x:c r="F509" s="37" t="n">
        <x:f>'Family Register'!L48</x:f>
        <x:v>4</x:v>
      </x:c>
      <x:c r="G509" s="37" t="n">
        <x:f>MIN(INDEX(Scenarios!$G$7:$G$12,Assumptions!C7),INDEX(Scenarios!$I$7:$I$12,Assumptions!C7))</x:f>
        <x:v>0.7</x:v>
      </x:c>
      <x:c r="H509" s="37" t="n">
        <x:f>'Family Register'!G48*'Family Register'!I48*G509</x:f>
        <x:v>4.4799999999999995</x:v>
      </x:c>
      <x:c r="I509" s="37" t="n">
        <x:f>J508</x:f>
        <x:v>4</x:v>
      </x:c>
      <x:c r="J509" s="37" t="n">
        <x:f>MIN(F509,H509,I509)</x:f>
        <x:v>4</x:v>
      </x:c>
      <x:c r="K509" s="22" t="n">
        <x:v>0</x:v>
      </x:c>
      <x:c r="L509" s="22" t="n">
        <x:v>0</x:v>
      </x:c>
      <x:c r="M509" s="37" t="n">
        <x:f>K509*L509</x:f>
        <x:v>0</x:v>
      </x:c>
      <x:c r="N509" s="22" t="n">
        <x:v>0</x:v>
      </x:c>
      <x:c r="O509" s="37" t="n">
        <x:f>'Family Register'!H48*1</x:f>
        <x:v>336</x:v>
      </x:c>
      <x:c r="P509" s="37" t="n">
        <x:f>IF(AND(N509&gt;0,N509&lt;=O509),1,0)</x:f>
        <x:v>0</x:v>
      </x:c>
      <x:c r="Q509" s="22" t="n">
        <x:v>0</x:v>
      </x:c>
      <x:c r="R509" s="37" t="n">
        <x:f>IF(AND(P509=1,Q509=1),MIN(F509,M509,R508),0)</x:f>
        <x:v>0</x:v>
      </x:c>
      <x:c r="S509" s="23" t="str">
        <x:f>IF(R509&gt;=F509,"ADMITTED","NOT ADMITTED")</x:f>
        <x:v>NOT ADMITTED</x:v>
      </x:c>
    </x:row>
    <x:row r="510">
      <x:c r="B510" s="21" t="str">
        <x:v>SL-0504</x:v>
      </x:c>
      <x:c r="C510" s="21" t="str">
        <x:v>F42</x:v>
      </x:c>
      <x:c r="D510" s="21" t="n">
        <x:v>12</x:v>
      </x:c>
      <x:c r="E510" s="21" t="str">
        <x:v>Regeneration and replacement</x:v>
      </x:c>
      <x:c r="F510" s="37" t="n">
        <x:f>'Family Register'!L48</x:f>
        <x:v>4</x:v>
      </x:c>
      <x:c r="G510" s="37" t="n">
        <x:f>MIN(INDEX(Scenarios!$E$7:$E$12,Assumptions!C7),INDEX(Scenarios!$F$7:$F$12,Assumptions!C7))</x:f>
        <x:v>0.7</x:v>
      </x:c>
      <x:c r="H510" s="37" t="n">
        <x:f>'Family Register'!G48*'Family Register'!I48*G510</x:f>
        <x:v>4.4799999999999995</x:v>
      </x:c>
      <x:c r="I510" s="37" t="n">
        <x:f>J509</x:f>
        <x:v>4</x:v>
      </x:c>
      <x:c r="J510" s="37" t="n">
        <x:f>MIN(F510,H510,I510)</x:f>
        <x:v>4</x:v>
      </x:c>
      <x:c r="K510" s="22" t="n">
        <x:v>0</x:v>
      </x:c>
      <x:c r="L510" s="22" t="n">
        <x:v>0</x:v>
      </x:c>
      <x:c r="M510" s="37" t="n">
        <x:f>K510*L510</x:f>
        <x:v>0</x:v>
      </x:c>
      <x:c r="N510" s="22" t="n">
        <x:v>0</x:v>
      </x:c>
      <x:c r="O510" s="37" t="n">
        <x:f>'Family Register'!H48+168</x:f>
        <x:v>504</x:v>
      </x:c>
      <x:c r="P510" s="37" t="n">
        <x:f>IF(AND(N510&gt;0,N510&lt;=O510),1,0)</x:f>
        <x:v>0</x:v>
      </x:c>
      <x:c r="Q510" s="22" t="n">
        <x:v>0</x:v>
      </x:c>
      <x:c r="R510" s="37" t="n">
        <x:f>IF(AND(P510=1,Q510=1),MIN(F510,M510,R509),0)</x:f>
        <x:v>0</x:v>
      </x:c>
      <x:c r="S510" s="23" t="str">
        <x:f>IF(R510&gt;=F510,"ADMITTED","NOT ADMITTED")</x:f>
        <x:v>NOT ADMITTED</x:v>
      </x:c>
    </x:row>
    <x:row r="511">
      <x:c r="B511" s="21" t="str">
        <x:v>SL-0505</x:v>
      </x:c>
      <x:c r="C511" s="21" t="str">
        <x:v>F43</x:v>
      </x:c>
      <x:c r="D511" s="21" t="n">
        <x:v>1</x:v>
      </x:c>
      <x:c r="E511" s="21" t="str">
        <x:v>Alert authentication</x:v>
      </x:c>
      <x:c r="F511" s="37" t="n">
        <x:f>'Family Register'!L49</x:f>
        <x:v>4</x:v>
      </x:c>
      <x:c r="G511" s="37" t="n">
        <x:f>INDEX(Scenarios!$K$7:$K$12,Assumptions!C7)</x:f>
        <x:v>0.75</x:v>
      </x:c>
      <x:c r="H511" s="37" t="n">
        <x:f>'Family Register'!G49*'Family Register'!I49*G511</x:f>
        <x:v>4.800000000000001</x:v>
      </x:c>
      <x:c r="I511" s="37" t="n">
        <x:f>F511</x:f>
        <x:v>4</x:v>
      </x:c>
      <x:c r="J511" s="37" t="n">
        <x:f>MIN(F511,H511,I511)</x:f>
        <x:v>4</x:v>
      </x:c>
      <x:c r="K511" s="22" t="n">
        <x:v>0</x:v>
      </x:c>
      <x:c r="L511" s="22" t="n">
        <x:v>0</x:v>
      </x:c>
      <x:c r="M511" s="37" t="n">
        <x:f>K511*L511</x:f>
        <x:v>0</x:v>
      </x:c>
      <x:c r="N511" s="22" t="n">
        <x:v>0</x:v>
      </x:c>
      <x:c r="O511" s="37" t="n">
        <x:f>2</x:f>
        <x:v>2</x:v>
      </x:c>
      <x:c r="P511" s="37" t="n">
        <x:f>IF(AND(N511&gt;0,N511&lt;=O511),1,0)</x:f>
        <x:v>0</x:v>
      </x:c>
      <x:c r="Q511" s="22" t="n">
        <x:v>0</x:v>
      </x:c>
      <x:c r="R511" s="37" t="n">
        <x:f>IF(AND(P511=1,Q511=1),MIN(F511,M511),0)</x:f>
        <x:v>0</x:v>
      </x:c>
      <x:c r="S511" s="23" t="str">
        <x:f>IF(R511&gt;=F511,"ADMITTED","NOT ADMITTED")</x:f>
        <x:v>NOT ADMITTED</x:v>
      </x:c>
    </x:row>
    <x:row r="512">
      <x:c r="B512" s="21" t="str">
        <x:v>SL-0506</x:v>
      </x:c>
      <x:c r="C512" s="21" t="str">
        <x:v>F43</x:v>
      </x:c>
      <x:c r="D512" s="21" t="n">
        <x:v>2</x:v>
      </x:c>
      <x:c r="E512" s="21" t="str">
        <x:v>Workforce muster</x:v>
      </x:c>
      <x:c r="F512" s="37" t="n">
        <x:f>'Family Register'!L49</x:f>
        <x:v>4</x:v>
      </x:c>
      <x:c r="G512" s="37" t="n">
        <x:f>INDEX(Scenarios!$J$7:$J$12,Assumptions!C7)</x:f>
        <x:v>0.8</x:v>
      </x:c>
      <x:c r="H512" s="37" t="n">
        <x:f>'Family Register'!G49*'Family Register'!I49*G512</x:f>
        <x:v>5.120000000000001</x:v>
      </x:c>
      <x:c r="I512" s="37" t="n">
        <x:f>J511</x:f>
        <x:v>4</x:v>
      </x:c>
      <x:c r="J512" s="37" t="n">
        <x:f>MIN(F512,H512,I512)</x:f>
        <x:v>4</x:v>
      </x:c>
      <x:c r="K512" s="22" t="n">
        <x:v>0</x:v>
      </x:c>
      <x:c r="L512" s="22" t="n">
        <x:v>0</x:v>
      </x:c>
      <x:c r="M512" s="37" t="n">
        <x:f>K512*L512</x:f>
        <x:v>0</x:v>
      </x:c>
      <x:c r="N512" s="22" t="n">
        <x:v>0</x:v>
      </x:c>
      <x:c r="O512" s="37" t="n">
        <x:f>12</x:f>
        <x:v>12</x:v>
      </x:c>
      <x:c r="P512" s="37" t="n">
        <x:f>IF(AND(N512&gt;0,N512&lt;=O512),1,0)</x:f>
        <x:v>0</x:v>
      </x:c>
      <x:c r="Q512" s="22" t="n">
        <x:v>0</x:v>
      </x:c>
      <x:c r="R512" s="37" t="n">
        <x:f>IF(AND(P512=1,Q512=1),MIN(F512,M512,R511),0)</x:f>
        <x:v>0</x:v>
      </x:c>
      <x:c r="S512" s="23" t="str">
        <x:f>IF(R512&gt;=F512,"ADMITTED","NOT ADMITTED")</x:f>
        <x:v>NOT ADMITTED</x:v>
      </x:c>
    </x:row>
    <x:row r="513">
      <x:c r="B513" s="21" t="str">
        <x:v>SL-0507</x:v>
      </x:c>
      <x:c r="C513" s="21" t="str">
        <x:v>F43</x:v>
      </x:c>
      <x:c r="D513" s="21" t="n">
        <x:v>3</x:v>
      </x:c>
      <x:c r="E513" s="21" t="str">
        <x:v>Facility utility and safe start</x:v>
      </x:c>
      <x:c r="F513" s="37" t="n">
        <x:f>'Family Register'!L49</x:f>
        <x:v>4</x:v>
      </x:c>
      <x:c r="G513" s="37" t="n">
        <x:f>INDEX(Scenarios!$G$7:$G$12,Assumptions!C7)</x:f>
        <x:v>0.7</x:v>
      </x:c>
      <x:c r="H513" s="37" t="n">
        <x:f>'Family Register'!G49*'Family Register'!I49*G513</x:f>
        <x:v>4.4799999999999995</x:v>
      </x:c>
      <x:c r="I513" s="37" t="n">
        <x:f>J512</x:f>
        <x:v>4</x:v>
      </x:c>
      <x:c r="J513" s="37" t="n">
        <x:f>MIN(F513,H513,I513)</x:f>
        <x:v>4</x:v>
      </x:c>
      <x:c r="K513" s="22" t="n">
        <x:v>0</x:v>
      </x:c>
      <x:c r="L513" s="22" t="n">
        <x:v>0</x:v>
      </x:c>
      <x:c r="M513" s="37" t="n">
        <x:f>K513*L513</x:f>
        <x:v>0</x:v>
      </x:c>
      <x:c r="N513" s="22" t="n">
        <x:v>0</x:v>
      </x:c>
      <x:c r="O513" s="37" t="n">
        <x:f>24</x:f>
        <x:v>24</x:v>
      </x:c>
      <x:c r="P513" s="37" t="n">
        <x:f>IF(AND(N513&gt;0,N513&lt;=O513),1,0)</x:f>
        <x:v>0</x:v>
      </x:c>
      <x:c r="Q513" s="22" t="n">
        <x:v>0</x:v>
      </x:c>
      <x:c r="R513" s="37" t="n">
        <x:f>IF(AND(P513=1,Q513=1),MIN(F513,M513,R512),0)</x:f>
        <x:v>0</x:v>
      </x:c>
      <x:c r="S513" s="23" t="str">
        <x:f>IF(R513&gt;=F513,"ADMITTED","NOT ADMITTED")</x:f>
        <x:v>NOT ADMITTED</x:v>
      </x:c>
    </x:row>
    <x:row r="514">
      <x:c r="B514" s="21" t="str">
        <x:v>SL-0508</x:v>
      </x:c>
      <x:c r="C514" s="21" t="str">
        <x:v>F43</x:v>
      </x:c>
      <x:c r="D514" s="21" t="n">
        <x:v>4</x:v>
      </x:c>
      <x:c r="E514" s="21" t="str">
        <x:v>Material tooling and instrument release</x:v>
      </x:c>
      <x:c r="F514" s="37" t="n">
        <x:f>'Family Register'!L49</x:f>
        <x:v>4</x:v>
      </x:c>
      <x:c r="G514" s="37" t="n">
        <x:f>INDEX(Scenarios!$E$7:$E$12,Assumptions!C7)</x:f>
        <x:v>0.75</x:v>
      </x:c>
      <x:c r="H514" s="37" t="n">
        <x:f>'Family Register'!G49*'Family Register'!I49*G514</x:f>
        <x:v>4.800000000000001</x:v>
      </x:c>
      <x:c r="I514" s="37" t="n">
        <x:f>J513</x:f>
        <x:v>4</x:v>
      </x:c>
      <x:c r="J514" s="37" t="n">
        <x:f>MIN(F514,H514,I514)</x:f>
        <x:v>4</x:v>
      </x:c>
      <x:c r="K514" s="22" t="n">
        <x:v>0</x:v>
      </x:c>
      <x:c r="L514" s="22" t="n">
        <x:v>0</x:v>
      </x:c>
      <x:c r="M514" s="37" t="n">
        <x:f>K514*L514</x:f>
        <x:v>0</x:v>
      </x:c>
      <x:c r="N514" s="22" t="n">
        <x:v>0</x:v>
      </x:c>
      <x:c r="O514" s="37" t="n">
        <x:f>36</x:f>
        <x:v>36</x:v>
      </x:c>
      <x:c r="P514" s="37" t="n">
        <x:f>IF(AND(N514&gt;0,N514&lt;=O514),1,0)</x:f>
        <x:v>0</x:v>
      </x:c>
      <x:c r="Q514" s="22" t="n">
        <x:v>0</x:v>
      </x:c>
      <x:c r="R514" s="37" t="n">
        <x:f>IF(AND(P514=1,Q514=1),MIN(F514,M514,R513),0)</x:f>
        <x:v>0</x:v>
      </x:c>
      <x:c r="S514" s="23" t="str">
        <x:f>IF(R514&gt;=F514,"ADMITTED","NOT ADMITTED")</x:f>
        <x:v>NOT ADMITTED</x:v>
      </x:c>
    </x:row>
    <x:row r="515">
      <x:c r="B515" s="21" t="str">
        <x:v>SL-0509</x:v>
      </x:c>
      <x:c r="C515" s="21" t="str">
        <x:v>F43</x:v>
      </x:c>
      <x:c r="D515" s="21" t="n">
        <x:v>5</x:v>
      </x:c>
      <x:c r="E515" s="21" t="str">
        <x:v>Supplier and process activation</x:v>
      </x:c>
      <x:c r="F515" s="37" t="n">
        <x:f>'Family Register'!L49</x:f>
        <x:v>4</x:v>
      </x:c>
      <x:c r="G515" s="37" t="n">
        <x:f>MIN(INDEX(Scenarios!$E$7:$E$12,Assumptions!C7),INDEX(Scenarios!$F$7:$F$12,Assumptions!C7))</x:f>
        <x:v>0.7</x:v>
      </x:c>
      <x:c r="H515" s="37" t="n">
        <x:f>'Family Register'!G49*'Family Register'!I49*G515</x:f>
        <x:v>4.4799999999999995</x:v>
      </x:c>
      <x:c r="I515" s="37" t="n">
        <x:f>J514</x:f>
        <x:v>4</x:v>
      </x:c>
      <x:c r="J515" s="37" t="n">
        <x:f>MIN(F515,H515,I515)</x:f>
        <x:v>4</x:v>
      </x:c>
      <x:c r="K515" s="22" t="n">
        <x:v>0</x:v>
      </x:c>
      <x:c r="L515" s="22" t="n">
        <x:v>0</x:v>
      </x:c>
      <x:c r="M515" s="37" t="n">
        <x:f>K515*L515</x:f>
        <x:v>0</x:v>
      </x:c>
      <x:c r="N515" s="22" t="n">
        <x:v>0</x:v>
      </x:c>
      <x:c r="O515" s="37" t="n">
        <x:f>48</x:f>
        <x:v>48</x:v>
      </x:c>
      <x:c r="P515" s="37" t="n">
        <x:f>IF(AND(N515&gt;0,N515&lt;=O515),1,0)</x:f>
        <x:v>0</x:v>
      </x:c>
      <x:c r="Q515" s="22" t="n">
        <x:v>0</x:v>
      </x:c>
      <x:c r="R515" s="37" t="n">
        <x:f>IF(AND(P515=1,Q515=1),MIN(F515,M515,R514),0)</x:f>
        <x:v>0</x:v>
      </x:c>
      <x:c r="S515" s="23" t="str">
        <x:f>IF(R515&gt;=F515,"ADMITTED","NOT ADMITTED")</x:f>
        <x:v>NOT ADMITTED</x:v>
      </x:c>
    </x:row>
    <x:row r="516">
      <x:c r="B516" s="21" t="str">
        <x:v>SL-0510</x:v>
      </x:c>
      <x:c r="C516" s="21" t="str">
        <x:v>F43</x:v>
      </x:c>
      <x:c r="D516" s="21" t="n">
        <x:v>6</x:v>
      </x:c>
      <x:c r="E516" s="21" t="str">
        <x:v>Conforming production</x:v>
      </x:c>
      <x:c r="F516" s="37" t="n">
        <x:f>'Family Register'!L49</x:f>
        <x:v>4</x:v>
      </x:c>
      <x:c r="G516" s="37" t="n">
        <x:f>INDEX(Scenarios!$F$7:$F$12,Assumptions!C7)</x:f>
        <x:v>0.7</x:v>
      </x:c>
      <x:c r="H516" s="37" t="n">
        <x:f>'Family Register'!G49*'Family Register'!I49*G516</x:f>
        <x:v>4.4799999999999995</x:v>
      </x:c>
      <x:c r="I516" s="37" t="n">
        <x:f>J515</x:f>
        <x:v>4</x:v>
      </x:c>
      <x:c r="J516" s="37" t="n">
        <x:f>MIN(F516,H516,I516)</x:f>
        <x:v>4</x:v>
      </x:c>
      <x:c r="K516" s="22" t="n">
        <x:v>0</x:v>
      </x:c>
      <x:c r="L516" s="22" t="n">
        <x:v>0</x:v>
      </x:c>
      <x:c r="M516" s="37" t="n">
        <x:f>K516*L516</x:f>
        <x:v>0</x:v>
      </x:c>
      <x:c r="N516" s="22" t="n">
        <x:v>0</x:v>
      </x:c>
      <x:c r="O516" s="37" t="n">
        <x:f>'Family Register'!H49*0.55</x:f>
        <x:v>184.8</x:v>
      </x:c>
      <x:c r="P516" s="37" t="n">
        <x:f>IF(AND(N516&gt;0,N516&lt;=O516),1,0)</x:f>
        <x:v>0</x:v>
      </x:c>
      <x:c r="Q516" s="22" t="n">
        <x:v>0</x:v>
      </x:c>
      <x:c r="R516" s="37" t="n">
        <x:f>IF(AND(P516=1,Q516=1),MIN(F516,M516,R515),0)</x:f>
        <x:v>0</x:v>
      </x:c>
      <x:c r="S516" s="23" t="str">
        <x:f>IF(R516&gt;=F516,"ADMITTED","NOT ADMITTED")</x:f>
        <x:v>NOT ADMITTED</x:v>
      </x:c>
    </x:row>
    <x:row r="517">
      <x:c r="B517" s="21" t="str">
        <x:v>SL-0511</x:v>
      </x:c>
      <x:c r="C517" s="21" t="str">
        <x:v>F43</x:v>
      </x:c>
      <x:c r="D517" s="21" t="n">
        <x:v>7</x:v>
      </x:c>
      <x:c r="E517" s="21" t="str">
        <x:v>Independent acceptance</x:v>
      </x:c>
      <x:c r="F517" s="37" t="n">
        <x:f>'Family Register'!L49</x:f>
        <x:v>4</x:v>
      </x:c>
      <x:c r="G517" s="37" t="n">
        <x:f>INDEX(Scenarios!$L$7:$L$12,Assumptions!C7)</x:f>
        <x:v>0.8</x:v>
      </x:c>
      <x:c r="H517" s="37" t="n">
        <x:f>'Family Register'!G49*'Family Register'!I49*G517</x:f>
        <x:v>5.120000000000001</x:v>
      </x:c>
      <x:c r="I517" s="37" t="n">
        <x:f>J516</x:f>
        <x:v>4</x:v>
      </x:c>
      <x:c r="J517" s="37" t="n">
        <x:f>MIN(F517,H517,I517)</x:f>
        <x:v>4</x:v>
      </x:c>
      <x:c r="K517" s="22" t="n">
        <x:v>0</x:v>
      </x:c>
      <x:c r="L517" s="22" t="n">
        <x:v>0</x:v>
      </x:c>
      <x:c r="M517" s="37" t="n">
        <x:f>K517*L517</x:f>
        <x:v>0</x:v>
      </x:c>
      <x:c r="N517" s="22" t="n">
        <x:v>0</x:v>
      </x:c>
      <x:c r="O517" s="37" t="n">
        <x:f>'Family Register'!H49*0.65</x:f>
        <x:v>218.4</x:v>
      </x:c>
      <x:c r="P517" s="37" t="n">
        <x:f>IF(AND(N517&gt;0,N517&lt;=O517),1,0)</x:f>
        <x:v>0</x:v>
      </x:c>
      <x:c r="Q517" s="22" t="n">
        <x:v>0</x:v>
      </x:c>
      <x:c r="R517" s="37" t="n">
        <x:f>IF(AND(P517=1,Q517=1),MIN(F517,M517,R516),0)</x:f>
        <x:v>0</x:v>
      </x:c>
      <x:c r="S517" s="23" t="str">
        <x:f>IF(R517&gt;=F517,"ADMITTED","NOT ADMITTED")</x:f>
        <x:v>NOT ADMITTED</x:v>
      </x:c>
    </x:row>
    <x:row r="518">
      <x:c r="B518" s="21" t="str">
        <x:v>SL-0512</x:v>
      </x:c>
      <x:c r="C518" s="21" t="str">
        <x:v>F43</x:v>
      </x:c>
      <x:c r="D518" s="21" t="n">
        <x:v>8</x:v>
      </x:c>
      <x:c r="E518" s="21" t="str">
        <x:v>Loadout and custody transfer</x:v>
      </x:c>
      <x:c r="F518" s="37" t="n">
        <x:f>'Family Register'!L49</x:f>
        <x:v>4</x:v>
      </x:c>
      <x:c r="G518" s="37" t="n">
        <x:f>INDEX(Scenarios!$H$7:$H$12,Assumptions!C7)</x:f>
        <x:v>0.65</x:v>
      </x:c>
      <x:c r="H518" s="37" t="n">
        <x:f>'Family Register'!G49*'Family Register'!I49*G518</x:f>
        <x:v>4.16</x:v>
      </x:c>
      <x:c r="I518" s="37" t="n">
        <x:f>J517</x:f>
        <x:v>4</x:v>
      </x:c>
      <x:c r="J518" s="37" t="n">
        <x:f>MIN(F518,H518,I518)</x:f>
        <x:v>4</x:v>
      </x:c>
      <x:c r="K518" s="22" t="n">
        <x:v>0</x:v>
      </x:c>
      <x:c r="L518" s="22" t="n">
        <x:v>0</x:v>
      </x:c>
      <x:c r="M518" s="37" t="n">
        <x:f>K518*L518</x:f>
        <x:v>0</x:v>
      </x:c>
      <x:c r="N518" s="22" t="n">
        <x:v>0</x:v>
      </x:c>
      <x:c r="O518" s="37" t="n">
        <x:f>'Family Register'!H49*0.7</x:f>
        <x:v>235.2</x:v>
      </x:c>
      <x:c r="P518" s="37" t="n">
        <x:f>IF(AND(N518&gt;0,N518&lt;=O518),1,0)</x:f>
        <x:v>0</x:v>
      </x:c>
      <x:c r="Q518" s="22" t="n">
        <x:v>0</x:v>
      </x:c>
      <x:c r="R518" s="37" t="n">
        <x:f>IF(AND(P518=1,Q518=1),MIN(F518,M518,R517),0)</x:f>
        <x:v>0</x:v>
      </x:c>
      <x:c r="S518" s="23" t="str">
        <x:f>IF(R518&gt;=F518,"ADMITTED","NOT ADMITTED")</x:f>
        <x:v>NOT ADMITTED</x:v>
      </x:c>
    </x:row>
    <x:row r="519">
      <x:c r="B519" s="21" t="str">
        <x:v>SL-0513</x:v>
      </x:c>
      <x:c r="C519" s="21" t="str">
        <x:v>F43</x:v>
      </x:c>
      <x:c r="D519" s="21" t="n">
        <x:v>9</x:v>
      </x:c>
      <x:c r="E519" s="21" t="str">
        <x:v>Strategic transport</x:v>
      </x:c>
      <x:c r="F519" s="37" t="n">
        <x:f>'Family Register'!L49</x:f>
        <x:v>4</x:v>
      </x:c>
      <x:c r="G519" s="37" t="n">
        <x:f>INDEX(Scenarios!$H$7:$H$12,Assumptions!C7)</x:f>
        <x:v>0.65</x:v>
      </x:c>
      <x:c r="H519" s="37" t="n">
        <x:f>'Family Register'!G49*'Family Register'!I49*G519</x:f>
        <x:v>4.16</x:v>
      </x:c>
      <x:c r="I519" s="37" t="n">
        <x:f>J518</x:f>
        <x:v>4</x:v>
      </x:c>
      <x:c r="J519" s="37" t="n">
        <x:f>MIN(F519,H519,I519)</x:f>
        <x:v>4</x:v>
      </x:c>
      <x:c r="K519" s="22" t="n">
        <x:v>0</x:v>
      </x:c>
      <x:c r="L519" s="22" t="n">
        <x:v>0</x:v>
      </x:c>
      <x:c r="M519" s="37" t="n">
        <x:f>K519*L519</x:f>
        <x:v>0</x:v>
      </x:c>
      <x:c r="N519" s="22" t="n">
        <x:v>0</x:v>
      </x:c>
      <x:c r="O519" s="37" t="n">
        <x:f>'Family Register'!H49*0.9</x:f>
        <x:v>302.40000000000003</x:v>
      </x:c>
      <x:c r="P519" s="37" t="n">
        <x:f>IF(AND(N519&gt;0,N519&lt;=O519),1,0)</x:f>
        <x:v>0</x:v>
      </x:c>
      <x:c r="Q519" s="22" t="n">
        <x:v>0</x:v>
      </x:c>
      <x:c r="R519" s="37" t="n">
        <x:f>IF(AND(P519=1,Q519=1),MIN(F519,M519,R518),0)</x:f>
        <x:v>0</x:v>
      </x:c>
      <x:c r="S519" s="23" t="str">
        <x:f>IF(R519&gt;=F519,"ADMITTED","NOT ADMITTED")</x:f>
        <x:v>NOT ADMITTED</x:v>
      </x:c>
    </x:row>
    <x:row r="520">
      <x:c r="B520" s="21" t="str">
        <x:v>SL-0514</x:v>
      </x:c>
      <x:c r="C520" s="21" t="str">
        <x:v>F43</x:v>
      </x:c>
      <x:c r="D520" s="21" t="n">
        <x:v>10</x:v>
      </x:c>
      <x:c r="E520" s="21" t="str">
        <x:v>Receiving-node admission</x:v>
      </x:c>
      <x:c r="F520" s="37" t="n">
        <x:f>'Family Register'!L49</x:f>
        <x:v>4</x:v>
      </x:c>
      <x:c r="G520" s="37" t="n">
        <x:f>INDEX(Scenarios!$I$7:$I$12,Assumptions!C7)</x:f>
        <x:v>0.75</x:v>
      </x:c>
      <x:c r="H520" s="37" t="n">
        <x:f>'Family Register'!G49*'Family Register'!I49*G520</x:f>
        <x:v>4.800000000000001</x:v>
      </x:c>
      <x:c r="I520" s="37" t="n">
        <x:f>J519</x:f>
        <x:v>4</x:v>
      </x:c>
      <x:c r="J520" s="37" t="n">
        <x:f>MIN(F520,H520,I520)</x:f>
        <x:v>4</x:v>
      </x:c>
      <x:c r="K520" s="22" t="n">
        <x:v>0</x:v>
      </x:c>
      <x:c r="L520" s="22" t="n">
        <x:v>0</x:v>
      </x:c>
      <x:c r="M520" s="37" t="n">
        <x:f>K520*L520</x:f>
        <x:v>0</x:v>
      </x:c>
      <x:c r="N520" s="22" t="n">
        <x:v>0</x:v>
      </x:c>
      <x:c r="O520" s="37" t="n">
        <x:f>'Family Register'!H49*0.94</x:f>
        <x:v>315.84</x:v>
      </x:c>
      <x:c r="P520" s="37" t="n">
        <x:f>IF(AND(N520&gt;0,N520&lt;=O520),1,0)</x:f>
        <x:v>0</x:v>
      </x:c>
      <x:c r="Q520" s="22" t="n">
        <x:v>0</x:v>
      </x:c>
      <x:c r="R520" s="37" t="n">
        <x:f>IF(AND(P520=1,Q520=1),MIN(F520,M520,R519),0)</x:f>
        <x:v>0</x:v>
      </x:c>
      <x:c r="S520" s="23" t="str">
        <x:f>IF(R520&gt;=F520,"ADMITTED","NOT ADMITTED")</x:f>
        <x:v>NOT ADMITTED</x:v>
      </x:c>
    </x:row>
    <x:row r="521">
      <x:c r="B521" s="21" t="str">
        <x:v>SL-0515</x:v>
      </x:c>
      <x:c r="C521" s="21" t="str">
        <x:v>F43</x:v>
      </x:c>
      <x:c r="D521" s="21" t="n">
        <x:v>11</x:v>
      </x:c>
      <x:c r="E521" s="21" t="str">
        <x:v>Commissioned public service</x:v>
      </x:c>
      <x:c r="F521" s="37" t="n">
        <x:f>'Family Register'!L49</x:f>
        <x:v>4</x:v>
      </x:c>
      <x:c r="G521" s="37" t="n">
        <x:f>MIN(INDEX(Scenarios!$G$7:$G$12,Assumptions!C7),INDEX(Scenarios!$I$7:$I$12,Assumptions!C7))</x:f>
        <x:v>0.7</x:v>
      </x:c>
      <x:c r="H521" s="37" t="n">
        <x:f>'Family Register'!G49*'Family Register'!I49*G521</x:f>
        <x:v>4.4799999999999995</x:v>
      </x:c>
      <x:c r="I521" s="37" t="n">
        <x:f>J520</x:f>
        <x:v>4</x:v>
      </x:c>
      <x:c r="J521" s="37" t="n">
        <x:f>MIN(F521,H521,I521)</x:f>
        <x:v>4</x:v>
      </x:c>
      <x:c r="K521" s="22" t="n">
        <x:v>0</x:v>
      </x:c>
      <x:c r="L521" s="22" t="n">
        <x:v>0</x:v>
      </x:c>
      <x:c r="M521" s="37" t="n">
        <x:f>K521*L521</x:f>
        <x:v>0</x:v>
      </x:c>
      <x:c r="N521" s="22" t="n">
        <x:v>0</x:v>
      </x:c>
      <x:c r="O521" s="37" t="n">
        <x:f>'Family Register'!H49*1</x:f>
        <x:v>336</x:v>
      </x:c>
      <x:c r="P521" s="37" t="n">
        <x:f>IF(AND(N521&gt;0,N521&lt;=O521),1,0)</x:f>
        <x:v>0</x:v>
      </x:c>
      <x:c r="Q521" s="22" t="n">
        <x:v>0</x:v>
      </x:c>
      <x:c r="R521" s="37" t="n">
        <x:f>IF(AND(P521=1,Q521=1),MIN(F521,M521,R520),0)</x:f>
        <x:v>0</x:v>
      </x:c>
      <x:c r="S521" s="23" t="str">
        <x:f>IF(R521&gt;=F521,"ADMITTED","NOT ADMITTED")</x:f>
        <x:v>NOT ADMITTED</x:v>
      </x:c>
    </x:row>
    <x:row r="522">
      <x:c r="B522" s="21" t="str">
        <x:v>SL-0516</x:v>
      </x:c>
      <x:c r="C522" s="21" t="str">
        <x:v>F43</x:v>
      </x:c>
      <x:c r="D522" s="21" t="n">
        <x:v>12</x:v>
      </x:c>
      <x:c r="E522" s="21" t="str">
        <x:v>Regeneration and replacement</x:v>
      </x:c>
      <x:c r="F522" s="37" t="n">
        <x:f>'Family Register'!L49</x:f>
        <x:v>4</x:v>
      </x:c>
      <x:c r="G522" s="37" t="n">
        <x:f>MIN(INDEX(Scenarios!$E$7:$E$12,Assumptions!C7),INDEX(Scenarios!$F$7:$F$12,Assumptions!C7))</x:f>
        <x:v>0.7</x:v>
      </x:c>
      <x:c r="H522" s="37" t="n">
        <x:f>'Family Register'!G49*'Family Register'!I49*G522</x:f>
        <x:v>4.4799999999999995</x:v>
      </x:c>
      <x:c r="I522" s="37" t="n">
        <x:f>J521</x:f>
        <x:v>4</x:v>
      </x:c>
      <x:c r="J522" s="37" t="n">
        <x:f>MIN(F522,H522,I522)</x:f>
        <x:v>4</x:v>
      </x:c>
      <x:c r="K522" s="22" t="n">
        <x:v>0</x:v>
      </x:c>
      <x:c r="L522" s="22" t="n">
        <x:v>0</x:v>
      </x:c>
      <x:c r="M522" s="37" t="n">
        <x:f>K522*L522</x:f>
        <x:v>0</x:v>
      </x:c>
      <x:c r="N522" s="22" t="n">
        <x:v>0</x:v>
      </x:c>
      <x:c r="O522" s="37" t="n">
        <x:f>'Family Register'!H49+168</x:f>
        <x:v>504</x:v>
      </x:c>
      <x:c r="P522" s="37" t="n">
        <x:f>IF(AND(N522&gt;0,N522&lt;=O522),1,0)</x:f>
        <x:v>0</x:v>
      </x:c>
      <x:c r="Q522" s="22" t="n">
        <x:v>0</x:v>
      </x:c>
      <x:c r="R522" s="37" t="n">
        <x:f>IF(AND(P522=1,Q522=1),MIN(F522,M522,R521),0)</x:f>
        <x:v>0</x:v>
      </x:c>
      <x:c r="S522" s="23" t="str">
        <x:f>IF(R522&gt;=F522,"ADMITTED","NOT ADMITTED")</x:f>
        <x:v>NOT ADMITTED</x:v>
      </x:c>
    </x:row>
    <x:row r="523">
      <x:c r="B523" s="21" t="str">
        <x:v>SL-0517</x:v>
      </x:c>
      <x:c r="C523" s="21" t="str">
        <x:v>F44</x:v>
      </x:c>
      <x:c r="D523" s="21" t="n">
        <x:v>1</x:v>
      </x:c>
      <x:c r="E523" s="21" t="str">
        <x:v>Alert authentication</x:v>
      </x:c>
      <x:c r="F523" s="37" t="n">
        <x:f>'Family Register'!L50</x:f>
        <x:v>8</x:v>
      </x:c>
      <x:c r="G523" s="37" t="n">
        <x:f>INDEX(Scenarios!$K$7:$K$12,Assumptions!C7)</x:f>
        <x:v>0.75</x:v>
      </x:c>
      <x:c r="H523" s="37" t="n">
        <x:f>'Family Register'!G50*'Family Register'!I50*G523</x:f>
        <x:v>9.600000000000001</x:v>
      </x:c>
      <x:c r="I523" s="37" t="n">
        <x:f>F523</x:f>
        <x:v>8</x:v>
      </x:c>
      <x:c r="J523" s="37" t="n">
        <x:f>MIN(F523,H523,I523)</x:f>
        <x:v>8</x:v>
      </x:c>
      <x:c r="K523" s="22" t="n">
        <x:v>0</x:v>
      </x:c>
      <x:c r="L523" s="22" t="n">
        <x:v>0</x:v>
      </x:c>
      <x:c r="M523" s="37" t="n">
        <x:f>K523*L523</x:f>
        <x:v>0</x:v>
      </x:c>
      <x:c r="N523" s="22" t="n">
        <x:v>0</x:v>
      </x:c>
      <x:c r="O523" s="37" t="n">
        <x:f>2</x:f>
        <x:v>2</x:v>
      </x:c>
      <x:c r="P523" s="37" t="n">
        <x:f>IF(AND(N523&gt;0,N523&lt;=O523),1,0)</x:f>
        <x:v>0</x:v>
      </x:c>
      <x:c r="Q523" s="22" t="n">
        <x:v>0</x:v>
      </x:c>
      <x:c r="R523" s="37" t="n">
        <x:f>IF(AND(P523=1,Q523=1),MIN(F523,M523),0)</x:f>
        <x:v>0</x:v>
      </x:c>
      <x:c r="S523" s="23" t="str">
        <x:f>IF(R523&gt;=F523,"ADMITTED","NOT ADMITTED")</x:f>
        <x:v>NOT ADMITTED</x:v>
      </x:c>
    </x:row>
    <x:row r="524">
      <x:c r="B524" s="21" t="str">
        <x:v>SL-0518</x:v>
      </x:c>
      <x:c r="C524" s="21" t="str">
        <x:v>F44</x:v>
      </x:c>
      <x:c r="D524" s="21" t="n">
        <x:v>2</x:v>
      </x:c>
      <x:c r="E524" s="21" t="str">
        <x:v>Workforce muster</x:v>
      </x:c>
      <x:c r="F524" s="37" t="n">
        <x:f>'Family Register'!L50</x:f>
        <x:v>8</x:v>
      </x:c>
      <x:c r="G524" s="37" t="n">
        <x:f>INDEX(Scenarios!$J$7:$J$12,Assumptions!C7)</x:f>
        <x:v>0.8</x:v>
      </x:c>
      <x:c r="H524" s="37" t="n">
        <x:f>'Family Register'!G50*'Family Register'!I50*G524</x:f>
        <x:v>10.240000000000002</x:v>
      </x:c>
      <x:c r="I524" s="37" t="n">
        <x:f>J523</x:f>
        <x:v>8</x:v>
      </x:c>
      <x:c r="J524" s="37" t="n">
        <x:f>MIN(F524,H524,I524)</x:f>
        <x:v>8</x:v>
      </x:c>
      <x:c r="K524" s="22" t="n">
        <x:v>0</x:v>
      </x:c>
      <x:c r="L524" s="22" t="n">
        <x:v>0</x:v>
      </x:c>
      <x:c r="M524" s="37" t="n">
        <x:f>K524*L524</x:f>
        <x:v>0</x:v>
      </x:c>
      <x:c r="N524" s="22" t="n">
        <x:v>0</x:v>
      </x:c>
      <x:c r="O524" s="37" t="n">
        <x:f>12</x:f>
        <x:v>12</x:v>
      </x:c>
      <x:c r="P524" s="37" t="n">
        <x:f>IF(AND(N524&gt;0,N524&lt;=O524),1,0)</x:f>
        <x:v>0</x:v>
      </x:c>
      <x:c r="Q524" s="22" t="n">
        <x:v>0</x:v>
      </x:c>
      <x:c r="R524" s="37" t="n">
        <x:f>IF(AND(P524=1,Q524=1),MIN(F524,M524,R523),0)</x:f>
        <x:v>0</x:v>
      </x:c>
      <x:c r="S524" s="23" t="str">
        <x:f>IF(R524&gt;=F524,"ADMITTED","NOT ADMITTED")</x:f>
        <x:v>NOT ADMITTED</x:v>
      </x:c>
    </x:row>
    <x:row r="525">
      <x:c r="B525" s="21" t="str">
        <x:v>SL-0519</x:v>
      </x:c>
      <x:c r="C525" s="21" t="str">
        <x:v>F44</x:v>
      </x:c>
      <x:c r="D525" s="21" t="n">
        <x:v>3</x:v>
      </x:c>
      <x:c r="E525" s="21" t="str">
        <x:v>Facility utility and safe start</x:v>
      </x:c>
      <x:c r="F525" s="37" t="n">
        <x:f>'Family Register'!L50</x:f>
        <x:v>8</x:v>
      </x:c>
      <x:c r="G525" s="37" t="n">
        <x:f>INDEX(Scenarios!$G$7:$G$12,Assumptions!C7)</x:f>
        <x:v>0.7</x:v>
      </x:c>
      <x:c r="H525" s="37" t="n">
        <x:f>'Family Register'!G50*'Family Register'!I50*G525</x:f>
        <x:v>8.959999999999999</x:v>
      </x:c>
      <x:c r="I525" s="37" t="n">
        <x:f>J524</x:f>
        <x:v>8</x:v>
      </x:c>
      <x:c r="J525" s="37" t="n">
        <x:f>MIN(F525,H525,I525)</x:f>
        <x:v>8</x:v>
      </x:c>
      <x:c r="K525" s="22" t="n">
        <x:v>0</x:v>
      </x:c>
      <x:c r="L525" s="22" t="n">
        <x:v>0</x:v>
      </x:c>
      <x:c r="M525" s="37" t="n">
        <x:f>K525*L525</x:f>
        <x:v>0</x:v>
      </x:c>
      <x:c r="N525" s="22" t="n">
        <x:v>0</x:v>
      </x:c>
      <x:c r="O525" s="37" t="n">
        <x:f>24</x:f>
        <x:v>24</x:v>
      </x:c>
      <x:c r="P525" s="37" t="n">
        <x:f>IF(AND(N525&gt;0,N525&lt;=O525),1,0)</x:f>
        <x:v>0</x:v>
      </x:c>
      <x:c r="Q525" s="22" t="n">
        <x:v>0</x:v>
      </x:c>
      <x:c r="R525" s="37" t="n">
        <x:f>IF(AND(P525=1,Q525=1),MIN(F525,M525,R524),0)</x:f>
        <x:v>0</x:v>
      </x:c>
      <x:c r="S525" s="23" t="str">
        <x:f>IF(R525&gt;=F525,"ADMITTED","NOT ADMITTED")</x:f>
        <x:v>NOT ADMITTED</x:v>
      </x:c>
    </x:row>
    <x:row r="526">
      <x:c r="B526" s="21" t="str">
        <x:v>SL-0520</x:v>
      </x:c>
      <x:c r="C526" s="21" t="str">
        <x:v>F44</x:v>
      </x:c>
      <x:c r="D526" s="21" t="n">
        <x:v>4</x:v>
      </x:c>
      <x:c r="E526" s="21" t="str">
        <x:v>Material tooling and instrument release</x:v>
      </x:c>
      <x:c r="F526" s="37" t="n">
        <x:f>'Family Register'!L50</x:f>
        <x:v>8</x:v>
      </x:c>
      <x:c r="G526" s="37" t="n">
        <x:f>INDEX(Scenarios!$E$7:$E$12,Assumptions!C7)</x:f>
        <x:v>0.75</x:v>
      </x:c>
      <x:c r="H526" s="37" t="n">
        <x:f>'Family Register'!G50*'Family Register'!I50*G526</x:f>
        <x:v>9.600000000000001</x:v>
      </x:c>
      <x:c r="I526" s="37" t="n">
        <x:f>J525</x:f>
        <x:v>8</x:v>
      </x:c>
      <x:c r="J526" s="37" t="n">
        <x:f>MIN(F526,H526,I526)</x:f>
        <x:v>8</x:v>
      </x:c>
      <x:c r="K526" s="22" t="n">
        <x:v>0</x:v>
      </x:c>
      <x:c r="L526" s="22" t="n">
        <x:v>0</x:v>
      </x:c>
      <x:c r="M526" s="37" t="n">
        <x:f>K526*L526</x:f>
        <x:v>0</x:v>
      </x:c>
      <x:c r="N526" s="22" t="n">
        <x:v>0</x:v>
      </x:c>
      <x:c r="O526" s="37" t="n">
        <x:f>36</x:f>
        <x:v>36</x:v>
      </x:c>
      <x:c r="P526" s="37" t="n">
        <x:f>IF(AND(N526&gt;0,N526&lt;=O526),1,0)</x:f>
        <x:v>0</x:v>
      </x:c>
      <x:c r="Q526" s="22" t="n">
        <x:v>0</x:v>
      </x:c>
      <x:c r="R526" s="37" t="n">
        <x:f>IF(AND(P526=1,Q526=1),MIN(F526,M526,R525),0)</x:f>
        <x:v>0</x:v>
      </x:c>
      <x:c r="S526" s="23" t="str">
        <x:f>IF(R526&gt;=F526,"ADMITTED","NOT ADMITTED")</x:f>
        <x:v>NOT ADMITTED</x:v>
      </x:c>
    </x:row>
    <x:row r="527">
      <x:c r="B527" s="21" t="str">
        <x:v>SL-0521</x:v>
      </x:c>
      <x:c r="C527" s="21" t="str">
        <x:v>F44</x:v>
      </x:c>
      <x:c r="D527" s="21" t="n">
        <x:v>5</x:v>
      </x:c>
      <x:c r="E527" s="21" t="str">
        <x:v>Supplier and process activation</x:v>
      </x:c>
      <x:c r="F527" s="37" t="n">
        <x:f>'Family Register'!L50</x:f>
        <x:v>8</x:v>
      </x:c>
      <x:c r="G527" s="37" t="n">
        <x:f>MIN(INDEX(Scenarios!$E$7:$E$12,Assumptions!C7),INDEX(Scenarios!$F$7:$F$12,Assumptions!C7))</x:f>
        <x:v>0.7</x:v>
      </x:c>
      <x:c r="H527" s="37" t="n">
        <x:f>'Family Register'!G50*'Family Register'!I50*G527</x:f>
        <x:v>8.959999999999999</x:v>
      </x:c>
      <x:c r="I527" s="37" t="n">
        <x:f>J526</x:f>
        <x:v>8</x:v>
      </x:c>
      <x:c r="J527" s="37" t="n">
        <x:f>MIN(F527,H527,I527)</x:f>
        <x:v>8</x:v>
      </x:c>
      <x:c r="K527" s="22" t="n">
        <x:v>0</x:v>
      </x:c>
      <x:c r="L527" s="22" t="n">
        <x:v>0</x:v>
      </x:c>
      <x:c r="M527" s="37" t="n">
        <x:f>K527*L527</x:f>
        <x:v>0</x:v>
      </x:c>
      <x:c r="N527" s="22" t="n">
        <x:v>0</x:v>
      </x:c>
      <x:c r="O527" s="37" t="n">
        <x:f>48</x:f>
        <x:v>48</x:v>
      </x:c>
      <x:c r="P527" s="37" t="n">
        <x:f>IF(AND(N527&gt;0,N527&lt;=O527),1,0)</x:f>
        <x:v>0</x:v>
      </x:c>
      <x:c r="Q527" s="22" t="n">
        <x:v>0</x:v>
      </x:c>
      <x:c r="R527" s="37" t="n">
        <x:f>IF(AND(P527=1,Q527=1),MIN(F527,M527,R526),0)</x:f>
        <x:v>0</x:v>
      </x:c>
      <x:c r="S527" s="23" t="str">
        <x:f>IF(R527&gt;=F527,"ADMITTED","NOT ADMITTED")</x:f>
        <x:v>NOT ADMITTED</x:v>
      </x:c>
    </x:row>
    <x:row r="528">
      <x:c r="B528" s="21" t="str">
        <x:v>SL-0522</x:v>
      </x:c>
      <x:c r="C528" s="21" t="str">
        <x:v>F44</x:v>
      </x:c>
      <x:c r="D528" s="21" t="n">
        <x:v>6</x:v>
      </x:c>
      <x:c r="E528" s="21" t="str">
        <x:v>Conforming production</x:v>
      </x:c>
      <x:c r="F528" s="37" t="n">
        <x:f>'Family Register'!L50</x:f>
        <x:v>8</x:v>
      </x:c>
      <x:c r="G528" s="37" t="n">
        <x:f>INDEX(Scenarios!$F$7:$F$12,Assumptions!C7)</x:f>
        <x:v>0.7</x:v>
      </x:c>
      <x:c r="H528" s="37" t="n">
        <x:f>'Family Register'!G50*'Family Register'!I50*G528</x:f>
        <x:v>8.959999999999999</x:v>
      </x:c>
      <x:c r="I528" s="37" t="n">
        <x:f>J527</x:f>
        <x:v>8</x:v>
      </x:c>
      <x:c r="J528" s="37" t="n">
        <x:f>MIN(F528,H528,I528)</x:f>
        <x:v>8</x:v>
      </x:c>
      <x:c r="K528" s="22" t="n">
        <x:v>0</x:v>
      </x:c>
      <x:c r="L528" s="22" t="n">
        <x:v>0</x:v>
      </x:c>
      <x:c r="M528" s="37" t="n">
        <x:f>K528*L528</x:f>
        <x:v>0</x:v>
      </x:c>
      <x:c r="N528" s="22" t="n">
        <x:v>0</x:v>
      </x:c>
      <x:c r="O528" s="37" t="n">
        <x:f>'Family Register'!H50*0.55</x:f>
        <x:v>184.8</x:v>
      </x:c>
      <x:c r="P528" s="37" t="n">
        <x:f>IF(AND(N528&gt;0,N528&lt;=O528),1,0)</x:f>
        <x:v>0</x:v>
      </x:c>
      <x:c r="Q528" s="22" t="n">
        <x:v>0</x:v>
      </x:c>
      <x:c r="R528" s="37" t="n">
        <x:f>IF(AND(P528=1,Q528=1),MIN(F528,M528,R527),0)</x:f>
        <x:v>0</x:v>
      </x:c>
      <x:c r="S528" s="23" t="str">
        <x:f>IF(R528&gt;=F528,"ADMITTED","NOT ADMITTED")</x:f>
        <x:v>NOT ADMITTED</x:v>
      </x:c>
    </x:row>
    <x:row r="529">
      <x:c r="B529" s="21" t="str">
        <x:v>SL-0523</x:v>
      </x:c>
      <x:c r="C529" s="21" t="str">
        <x:v>F44</x:v>
      </x:c>
      <x:c r="D529" s="21" t="n">
        <x:v>7</x:v>
      </x:c>
      <x:c r="E529" s="21" t="str">
        <x:v>Independent acceptance</x:v>
      </x:c>
      <x:c r="F529" s="37" t="n">
        <x:f>'Family Register'!L50</x:f>
        <x:v>8</x:v>
      </x:c>
      <x:c r="G529" s="37" t="n">
        <x:f>INDEX(Scenarios!$L$7:$L$12,Assumptions!C7)</x:f>
        <x:v>0.8</x:v>
      </x:c>
      <x:c r="H529" s="37" t="n">
        <x:f>'Family Register'!G50*'Family Register'!I50*G529</x:f>
        <x:v>10.240000000000002</x:v>
      </x:c>
      <x:c r="I529" s="37" t="n">
        <x:f>J528</x:f>
        <x:v>8</x:v>
      </x:c>
      <x:c r="J529" s="37" t="n">
        <x:f>MIN(F529,H529,I529)</x:f>
        <x:v>8</x:v>
      </x:c>
      <x:c r="K529" s="22" t="n">
        <x:v>0</x:v>
      </x:c>
      <x:c r="L529" s="22" t="n">
        <x:v>0</x:v>
      </x:c>
      <x:c r="M529" s="37" t="n">
        <x:f>K529*L529</x:f>
        <x:v>0</x:v>
      </x:c>
      <x:c r="N529" s="22" t="n">
        <x:v>0</x:v>
      </x:c>
      <x:c r="O529" s="37" t="n">
        <x:f>'Family Register'!H50*0.65</x:f>
        <x:v>218.4</x:v>
      </x:c>
      <x:c r="P529" s="37" t="n">
        <x:f>IF(AND(N529&gt;0,N529&lt;=O529),1,0)</x:f>
        <x:v>0</x:v>
      </x:c>
      <x:c r="Q529" s="22" t="n">
        <x:v>0</x:v>
      </x:c>
      <x:c r="R529" s="37" t="n">
        <x:f>IF(AND(P529=1,Q529=1),MIN(F529,M529,R528),0)</x:f>
        <x:v>0</x:v>
      </x:c>
      <x:c r="S529" s="23" t="str">
        <x:f>IF(R529&gt;=F529,"ADMITTED","NOT ADMITTED")</x:f>
        <x:v>NOT ADMITTED</x:v>
      </x:c>
    </x:row>
    <x:row r="530">
      <x:c r="B530" s="21" t="str">
        <x:v>SL-0524</x:v>
      </x:c>
      <x:c r="C530" s="21" t="str">
        <x:v>F44</x:v>
      </x:c>
      <x:c r="D530" s="21" t="n">
        <x:v>8</x:v>
      </x:c>
      <x:c r="E530" s="21" t="str">
        <x:v>Loadout and custody transfer</x:v>
      </x:c>
      <x:c r="F530" s="37" t="n">
        <x:f>'Family Register'!L50</x:f>
        <x:v>8</x:v>
      </x:c>
      <x:c r="G530" s="37" t="n">
        <x:f>INDEX(Scenarios!$H$7:$H$12,Assumptions!C7)</x:f>
        <x:v>0.65</x:v>
      </x:c>
      <x:c r="H530" s="37" t="n">
        <x:f>'Family Register'!G50*'Family Register'!I50*G530</x:f>
        <x:v>8.32</x:v>
      </x:c>
      <x:c r="I530" s="37" t="n">
        <x:f>J529</x:f>
        <x:v>8</x:v>
      </x:c>
      <x:c r="J530" s="37" t="n">
        <x:f>MIN(F530,H530,I530)</x:f>
        <x:v>8</x:v>
      </x:c>
      <x:c r="K530" s="22" t="n">
        <x:v>0</x:v>
      </x:c>
      <x:c r="L530" s="22" t="n">
        <x:v>0</x:v>
      </x:c>
      <x:c r="M530" s="37" t="n">
        <x:f>K530*L530</x:f>
        <x:v>0</x:v>
      </x:c>
      <x:c r="N530" s="22" t="n">
        <x:v>0</x:v>
      </x:c>
      <x:c r="O530" s="37" t="n">
        <x:f>'Family Register'!H50*0.7</x:f>
        <x:v>235.2</x:v>
      </x:c>
      <x:c r="P530" s="37" t="n">
        <x:f>IF(AND(N530&gt;0,N530&lt;=O530),1,0)</x:f>
        <x:v>0</x:v>
      </x:c>
      <x:c r="Q530" s="22" t="n">
        <x:v>0</x:v>
      </x:c>
      <x:c r="R530" s="37" t="n">
        <x:f>IF(AND(P530=1,Q530=1),MIN(F530,M530,R529),0)</x:f>
        <x:v>0</x:v>
      </x:c>
      <x:c r="S530" s="23" t="str">
        <x:f>IF(R530&gt;=F530,"ADMITTED","NOT ADMITTED")</x:f>
        <x:v>NOT ADMITTED</x:v>
      </x:c>
    </x:row>
    <x:row r="531">
      <x:c r="B531" s="21" t="str">
        <x:v>SL-0525</x:v>
      </x:c>
      <x:c r="C531" s="21" t="str">
        <x:v>F44</x:v>
      </x:c>
      <x:c r="D531" s="21" t="n">
        <x:v>9</x:v>
      </x:c>
      <x:c r="E531" s="21" t="str">
        <x:v>Strategic transport</x:v>
      </x:c>
      <x:c r="F531" s="37" t="n">
        <x:f>'Family Register'!L50</x:f>
        <x:v>8</x:v>
      </x:c>
      <x:c r="G531" s="37" t="n">
        <x:f>INDEX(Scenarios!$H$7:$H$12,Assumptions!C7)</x:f>
        <x:v>0.65</x:v>
      </x:c>
      <x:c r="H531" s="37" t="n">
        <x:f>'Family Register'!G50*'Family Register'!I50*G531</x:f>
        <x:v>8.32</x:v>
      </x:c>
      <x:c r="I531" s="37" t="n">
        <x:f>J530</x:f>
        <x:v>8</x:v>
      </x:c>
      <x:c r="J531" s="37" t="n">
        <x:f>MIN(F531,H531,I531)</x:f>
        <x:v>8</x:v>
      </x:c>
      <x:c r="K531" s="22" t="n">
        <x:v>0</x:v>
      </x:c>
      <x:c r="L531" s="22" t="n">
        <x:v>0</x:v>
      </x:c>
      <x:c r="M531" s="37" t="n">
        <x:f>K531*L531</x:f>
        <x:v>0</x:v>
      </x:c>
      <x:c r="N531" s="22" t="n">
        <x:v>0</x:v>
      </x:c>
      <x:c r="O531" s="37" t="n">
        <x:f>'Family Register'!H50*0.9</x:f>
        <x:v>302.40000000000003</x:v>
      </x:c>
      <x:c r="P531" s="37" t="n">
        <x:f>IF(AND(N531&gt;0,N531&lt;=O531),1,0)</x:f>
        <x:v>0</x:v>
      </x:c>
      <x:c r="Q531" s="22" t="n">
        <x:v>0</x:v>
      </x:c>
      <x:c r="R531" s="37" t="n">
        <x:f>IF(AND(P531=1,Q531=1),MIN(F531,M531,R530),0)</x:f>
        <x:v>0</x:v>
      </x:c>
      <x:c r="S531" s="23" t="str">
        <x:f>IF(R531&gt;=F531,"ADMITTED","NOT ADMITTED")</x:f>
        <x:v>NOT ADMITTED</x:v>
      </x:c>
    </x:row>
    <x:row r="532">
      <x:c r="B532" s="21" t="str">
        <x:v>SL-0526</x:v>
      </x:c>
      <x:c r="C532" s="21" t="str">
        <x:v>F44</x:v>
      </x:c>
      <x:c r="D532" s="21" t="n">
        <x:v>10</x:v>
      </x:c>
      <x:c r="E532" s="21" t="str">
        <x:v>Receiving-node admission</x:v>
      </x:c>
      <x:c r="F532" s="37" t="n">
        <x:f>'Family Register'!L50</x:f>
        <x:v>8</x:v>
      </x:c>
      <x:c r="G532" s="37" t="n">
        <x:f>INDEX(Scenarios!$I$7:$I$12,Assumptions!C7)</x:f>
        <x:v>0.75</x:v>
      </x:c>
      <x:c r="H532" s="37" t="n">
        <x:f>'Family Register'!G50*'Family Register'!I50*G532</x:f>
        <x:v>9.600000000000001</x:v>
      </x:c>
      <x:c r="I532" s="37" t="n">
        <x:f>J531</x:f>
        <x:v>8</x:v>
      </x:c>
      <x:c r="J532" s="37" t="n">
        <x:f>MIN(F532,H532,I532)</x:f>
        <x:v>8</x:v>
      </x:c>
      <x:c r="K532" s="22" t="n">
        <x:v>0</x:v>
      </x:c>
      <x:c r="L532" s="22" t="n">
        <x:v>0</x:v>
      </x:c>
      <x:c r="M532" s="37" t="n">
        <x:f>K532*L532</x:f>
        <x:v>0</x:v>
      </x:c>
      <x:c r="N532" s="22" t="n">
        <x:v>0</x:v>
      </x:c>
      <x:c r="O532" s="37" t="n">
        <x:f>'Family Register'!H50*0.94</x:f>
        <x:v>315.84</x:v>
      </x:c>
      <x:c r="P532" s="37" t="n">
        <x:f>IF(AND(N532&gt;0,N532&lt;=O532),1,0)</x:f>
        <x:v>0</x:v>
      </x:c>
      <x:c r="Q532" s="22" t="n">
        <x:v>0</x:v>
      </x:c>
      <x:c r="R532" s="37" t="n">
        <x:f>IF(AND(P532=1,Q532=1),MIN(F532,M532,R531),0)</x:f>
        <x:v>0</x:v>
      </x:c>
      <x:c r="S532" s="23" t="str">
        <x:f>IF(R532&gt;=F532,"ADMITTED","NOT ADMITTED")</x:f>
        <x:v>NOT ADMITTED</x:v>
      </x:c>
    </x:row>
    <x:row r="533">
      <x:c r="B533" s="21" t="str">
        <x:v>SL-0527</x:v>
      </x:c>
      <x:c r="C533" s="21" t="str">
        <x:v>F44</x:v>
      </x:c>
      <x:c r="D533" s="21" t="n">
        <x:v>11</x:v>
      </x:c>
      <x:c r="E533" s="21" t="str">
        <x:v>Commissioned public service</x:v>
      </x:c>
      <x:c r="F533" s="37" t="n">
        <x:f>'Family Register'!L50</x:f>
        <x:v>8</x:v>
      </x:c>
      <x:c r="G533" s="37" t="n">
        <x:f>MIN(INDEX(Scenarios!$G$7:$G$12,Assumptions!C7),INDEX(Scenarios!$I$7:$I$12,Assumptions!C7))</x:f>
        <x:v>0.7</x:v>
      </x:c>
      <x:c r="H533" s="37" t="n">
        <x:f>'Family Register'!G50*'Family Register'!I50*G533</x:f>
        <x:v>8.959999999999999</x:v>
      </x:c>
      <x:c r="I533" s="37" t="n">
        <x:f>J532</x:f>
        <x:v>8</x:v>
      </x:c>
      <x:c r="J533" s="37" t="n">
        <x:f>MIN(F533,H533,I533)</x:f>
        <x:v>8</x:v>
      </x:c>
      <x:c r="K533" s="22" t="n">
        <x:v>0</x:v>
      </x:c>
      <x:c r="L533" s="22" t="n">
        <x:v>0</x:v>
      </x:c>
      <x:c r="M533" s="37" t="n">
        <x:f>K533*L533</x:f>
        <x:v>0</x:v>
      </x:c>
      <x:c r="N533" s="22" t="n">
        <x:v>0</x:v>
      </x:c>
      <x:c r="O533" s="37" t="n">
        <x:f>'Family Register'!H50*1</x:f>
        <x:v>336</x:v>
      </x:c>
      <x:c r="P533" s="37" t="n">
        <x:f>IF(AND(N533&gt;0,N533&lt;=O533),1,0)</x:f>
        <x:v>0</x:v>
      </x:c>
      <x:c r="Q533" s="22" t="n">
        <x:v>0</x:v>
      </x:c>
      <x:c r="R533" s="37" t="n">
        <x:f>IF(AND(P533=1,Q533=1),MIN(F533,M533,R532),0)</x:f>
        <x:v>0</x:v>
      </x:c>
      <x:c r="S533" s="23" t="str">
        <x:f>IF(R533&gt;=F533,"ADMITTED","NOT ADMITTED")</x:f>
        <x:v>NOT ADMITTED</x:v>
      </x:c>
    </x:row>
    <x:row r="534">
      <x:c r="B534" s="21" t="str">
        <x:v>SL-0528</x:v>
      </x:c>
      <x:c r="C534" s="21" t="str">
        <x:v>F44</x:v>
      </x:c>
      <x:c r="D534" s="21" t="n">
        <x:v>12</x:v>
      </x:c>
      <x:c r="E534" s="21" t="str">
        <x:v>Regeneration and replacement</x:v>
      </x:c>
      <x:c r="F534" s="37" t="n">
        <x:f>'Family Register'!L50</x:f>
        <x:v>8</x:v>
      </x:c>
      <x:c r="G534" s="37" t="n">
        <x:f>MIN(INDEX(Scenarios!$E$7:$E$12,Assumptions!C7),INDEX(Scenarios!$F$7:$F$12,Assumptions!C7))</x:f>
        <x:v>0.7</x:v>
      </x:c>
      <x:c r="H534" s="37" t="n">
        <x:f>'Family Register'!G50*'Family Register'!I50*G534</x:f>
        <x:v>8.959999999999999</x:v>
      </x:c>
      <x:c r="I534" s="37" t="n">
        <x:f>J533</x:f>
        <x:v>8</x:v>
      </x:c>
      <x:c r="J534" s="37" t="n">
        <x:f>MIN(F534,H534,I534)</x:f>
        <x:v>8</x:v>
      </x:c>
      <x:c r="K534" s="22" t="n">
        <x:v>0</x:v>
      </x:c>
      <x:c r="L534" s="22" t="n">
        <x:v>0</x:v>
      </x:c>
      <x:c r="M534" s="37" t="n">
        <x:f>K534*L534</x:f>
        <x:v>0</x:v>
      </x:c>
      <x:c r="N534" s="22" t="n">
        <x:v>0</x:v>
      </x:c>
      <x:c r="O534" s="37" t="n">
        <x:f>'Family Register'!H50+168</x:f>
        <x:v>504</x:v>
      </x:c>
      <x:c r="P534" s="37" t="n">
        <x:f>IF(AND(N534&gt;0,N534&lt;=O534),1,0)</x:f>
        <x:v>0</x:v>
      </x:c>
      <x:c r="Q534" s="22" t="n">
        <x:v>0</x:v>
      </x:c>
      <x:c r="R534" s="37" t="n">
        <x:f>IF(AND(P534=1,Q534=1),MIN(F534,M534,R533),0)</x:f>
        <x:v>0</x:v>
      </x:c>
      <x:c r="S534" s="23" t="str">
        <x:f>IF(R534&gt;=F534,"ADMITTED","NOT ADMITTED")</x:f>
        <x:v>NOT ADMITTED</x:v>
      </x:c>
    </x:row>
    <x:row r="535">
      <x:c r="B535" s="21" t="str">
        <x:v>SL-0529</x:v>
      </x:c>
      <x:c r="C535" s="21" t="str">
        <x:v>F45</x:v>
      </x:c>
      <x:c r="D535" s="21" t="n">
        <x:v>1</x:v>
      </x:c>
      <x:c r="E535" s="21" t="str">
        <x:v>Alert authentication</x:v>
      </x:c>
      <x:c r="F535" s="37" t="n">
        <x:f>'Family Register'!L51</x:f>
        <x:v>8</x:v>
      </x:c>
      <x:c r="G535" s="37" t="n">
        <x:f>INDEX(Scenarios!$K$7:$K$12,Assumptions!C7)</x:f>
        <x:v>0.75</x:v>
      </x:c>
      <x:c r="H535" s="37" t="n">
        <x:f>'Family Register'!G51*'Family Register'!I51*G535</x:f>
        <x:v>7.800000000000001</x:v>
      </x:c>
      <x:c r="I535" s="37" t="n">
        <x:f>F535</x:f>
        <x:v>8</x:v>
      </x:c>
      <x:c r="J535" s="37" t="n">
        <x:f>MIN(F535,H535,I535)</x:f>
        <x:v>7.800000000000001</x:v>
      </x:c>
      <x:c r="K535" s="22" t="n">
        <x:v>0</x:v>
      </x:c>
      <x:c r="L535" s="22" t="n">
        <x:v>0</x:v>
      </x:c>
      <x:c r="M535" s="37" t="n">
        <x:f>K535*L535</x:f>
        <x:v>0</x:v>
      </x:c>
      <x:c r="N535" s="22" t="n">
        <x:v>0</x:v>
      </x:c>
      <x:c r="O535" s="37" t="n">
        <x:f>2</x:f>
        <x:v>2</x:v>
      </x:c>
      <x:c r="P535" s="37" t="n">
        <x:f>IF(AND(N535&gt;0,N535&lt;=O535),1,0)</x:f>
        <x:v>0</x:v>
      </x:c>
      <x:c r="Q535" s="22" t="n">
        <x:v>0</x:v>
      </x:c>
      <x:c r="R535" s="37" t="n">
        <x:f>IF(AND(P535=1,Q535=1),MIN(F535,M535),0)</x:f>
        <x:v>0</x:v>
      </x:c>
      <x:c r="S535" s="23" t="str">
        <x:f>IF(R535&gt;=F535,"ADMITTED","NOT ADMITTED")</x:f>
        <x:v>NOT ADMITTED</x:v>
      </x:c>
    </x:row>
    <x:row r="536">
      <x:c r="B536" s="21" t="str">
        <x:v>SL-0530</x:v>
      </x:c>
      <x:c r="C536" s="21" t="str">
        <x:v>F45</x:v>
      </x:c>
      <x:c r="D536" s="21" t="n">
        <x:v>2</x:v>
      </x:c>
      <x:c r="E536" s="21" t="str">
        <x:v>Workforce muster</x:v>
      </x:c>
      <x:c r="F536" s="37" t="n">
        <x:f>'Family Register'!L51</x:f>
        <x:v>8</x:v>
      </x:c>
      <x:c r="G536" s="37" t="n">
        <x:f>INDEX(Scenarios!$J$7:$J$12,Assumptions!C7)</x:f>
        <x:v>0.8</x:v>
      </x:c>
      <x:c r="H536" s="37" t="n">
        <x:f>'Family Register'!G51*'Family Register'!I51*G536</x:f>
        <x:v>8.32</x:v>
      </x:c>
      <x:c r="I536" s="37" t="n">
        <x:f>J535</x:f>
        <x:v>7.800000000000001</x:v>
      </x:c>
      <x:c r="J536" s="37" t="n">
        <x:f>MIN(F536,H536,I536)</x:f>
        <x:v>7.800000000000001</x:v>
      </x:c>
      <x:c r="K536" s="22" t="n">
        <x:v>0</x:v>
      </x:c>
      <x:c r="L536" s="22" t="n">
        <x:v>0</x:v>
      </x:c>
      <x:c r="M536" s="37" t="n">
        <x:f>K536*L536</x:f>
        <x:v>0</x:v>
      </x:c>
      <x:c r="N536" s="22" t="n">
        <x:v>0</x:v>
      </x:c>
      <x:c r="O536" s="37" t="n">
        <x:f>12</x:f>
        <x:v>12</x:v>
      </x:c>
      <x:c r="P536" s="37" t="n">
        <x:f>IF(AND(N536&gt;0,N536&lt;=O536),1,0)</x:f>
        <x:v>0</x:v>
      </x:c>
      <x:c r="Q536" s="22" t="n">
        <x:v>0</x:v>
      </x:c>
      <x:c r="R536" s="37" t="n">
        <x:f>IF(AND(P536=1,Q536=1),MIN(F536,M536,R535),0)</x:f>
        <x:v>0</x:v>
      </x:c>
      <x:c r="S536" s="23" t="str">
        <x:f>IF(R536&gt;=F536,"ADMITTED","NOT ADMITTED")</x:f>
        <x:v>NOT ADMITTED</x:v>
      </x:c>
    </x:row>
    <x:row r="537">
      <x:c r="B537" s="21" t="str">
        <x:v>SL-0531</x:v>
      </x:c>
      <x:c r="C537" s="21" t="str">
        <x:v>F45</x:v>
      </x:c>
      <x:c r="D537" s="21" t="n">
        <x:v>3</x:v>
      </x:c>
      <x:c r="E537" s="21" t="str">
        <x:v>Facility utility and safe start</x:v>
      </x:c>
      <x:c r="F537" s="37" t="n">
        <x:f>'Family Register'!L51</x:f>
        <x:v>8</x:v>
      </x:c>
      <x:c r="G537" s="37" t="n">
        <x:f>INDEX(Scenarios!$G$7:$G$12,Assumptions!C7)</x:f>
        <x:v>0.7</x:v>
      </x:c>
      <x:c r="H537" s="37" t="n">
        <x:f>'Family Register'!G51*'Family Register'!I51*G537</x:f>
        <x:v>7.279999999999999</x:v>
      </x:c>
      <x:c r="I537" s="37" t="n">
        <x:f>J536</x:f>
        <x:v>7.800000000000001</x:v>
      </x:c>
      <x:c r="J537" s="37" t="n">
        <x:f>MIN(F537,H537,I537)</x:f>
        <x:v>7.279999999999999</x:v>
      </x:c>
      <x:c r="K537" s="22" t="n">
        <x:v>0</x:v>
      </x:c>
      <x:c r="L537" s="22" t="n">
        <x:v>0</x:v>
      </x:c>
      <x:c r="M537" s="37" t="n">
        <x:f>K537*L537</x:f>
        <x:v>0</x:v>
      </x:c>
      <x:c r="N537" s="22" t="n">
        <x:v>0</x:v>
      </x:c>
      <x:c r="O537" s="37" t="n">
        <x:f>24</x:f>
        <x:v>24</x:v>
      </x:c>
      <x:c r="P537" s="37" t="n">
        <x:f>IF(AND(N537&gt;0,N537&lt;=O537),1,0)</x:f>
        <x:v>0</x:v>
      </x:c>
      <x:c r="Q537" s="22" t="n">
        <x:v>0</x:v>
      </x:c>
      <x:c r="R537" s="37" t="n">
        <x:f>IF(AND(P537=1,Q537=1),MIN(F537,M537,R536),0)</x:f>
        <x:v>0</x:v>
      </x:c>
      <x:c r="S537" s="23" t="str">
        <x:f>IF(R537&gt;=F537,"ADMITTED","NOT ADMITTED")</x:f>
        <x:v>NOT ADMITTED</x:v>
      </x:c>
    </x:row>
    <x:row r="538">
      <x:c r="B538" s="21" t="str">
        <x:v>SL-0532</x:v>
      </x:c>
      <x:c r="C538" s="21" t="str">
        <x:v>F45</x:v>
      </x:c>
      <x:c r="D538" s="21" t="n">
        <x:v>4</x:v>
      </x:c>
      <x:c r="E538" s="21" t="str">
        <x:v>Material tooling and instrument release</x:v>
      </x:c>
      <x:c r="F538" s="37" t="n">
        <x:f>'Family Register'!L51</x:f>
        <x:v>8</x:v>
      </x:c>
      <x:c r="G538" s="37" t="n">
        <x:f>INDEX(Scenarios!$E$7:$E$12,Assumptions!C7)</x:f>
        <x:v>0.75</x:v>
      </x:c>
      <x:c r="H538" s="37" t="n">
        <x:f>'Family Register'!G51*'Family Register'!I51*G538</x:f>
        <x:v>7.800000000000001</x:v>
      </x:c>
      <x:c r="I538" s="37" t="n">
        <x:f>J537</x:f>
        <x:v>7.279999999999999</x:v>
      </x:c>
      <x:c r="J538" s="37" t="n">
        <x:f>MIN(F538,H538,I538)</x:f>
        <x:v>7.279999999999999</x:v>
      </x:c>
      <x:c r="K538" s="22" t="n">
        <x:v>0</x:v>
      </x:c>
      <x:c r="L538" s="22" t="n">
        <x:v>0</x:v>
      </x:c>
      <x:c r="M538" s="37" t="n">
        <x:f>K538*L538</x:f>
        <x:v>0</x:v>
      </x:c>
      <x:c r="N538" s="22" t="n">
        <x:v>0</x:v>
      </x:c>
      <x:c r="O538" s="37" t="n">
        <x:f>36</x:f>
        <x:v>36</x:v>
      </x:c>
      <x:c r="P538" s="37" t="n">
        <x:f>IF(AND(N538&gt;0,N538&lt;=O538),1,0)</x:f>
        <x:v>0</x:v>
      </x:c>
      <x:c r="Q538" s="22" t="n">
        <x:v>0</x:v>
      </x:c>
      <x:c r="R538" s="37" t="n">
        <x:f>IF(AND(P538=1,Q538=1),MIN(F538,M538,R537),0)</x:f>
        <x:v>0</x:v>
      </x:c>
      <x:c r="S538" s="23" t="str">
        <x:f>IF(R538&gt;=F538,"ADMITTED","NOT ADMITTED")</x:f>
        <x:v>NOT ADMITTED</x:v>
      </x:c>
    </x:row>
    <x:row r="539">
      <x:c r="B539" s="21" t="str">
        <x:v>SL-0533</x:v>
      </x:c>
      <x:c r="C539" s="21" t="str">
        <x:v>F45</x:v>
      </x:c>
      <x:c r="D539" s="21" t="n">
        <x:v>5</x:v>
      </x:c>
      <x:c r="E539" s="21" t="str">
        <x:v>Supplier and process activation</x:v>
      </x:c>
      <x:c r="F539" s="37" t="n">
        <x:f>'Family Register'!L51</x:f>
        <x:v>8</x:v>
      </x:c>
      <x:c r="G539" s="37" t="n">
        <x:f>MIN(INDEX(Scenarios!$E$7:$E$12,Assumptions!C7),INDEX(Scenarios!$F$7:$F$12,Assumptions!C7))</x:f>
        <x:v>0.7</x:v>
      </x:c>
      <x:c r="H539" s="37" t="n">
        <x:f>'Family Register'!G51*'Family Register'!I51*G539</x:f>
        <x:v>7.279999999999999</x:v>
      </x:c>
      <x:c r="I539" s="37" t="n">
        <x:f>J538</x:f>
        <x:v>7.279999999999999</x:v>
      </x:c>
      <x:c r="J539" s="37" t="n">
        <x:f>MIN(F539,H539,I539)</x:f>
        <x:v>7.279999999999999</x:v>
      </x:c>
      <x:c r="K539" s="22" t="n">
        <x:v>0</x:v>
      </x:c>
      <x:c r="L539" s="22" t="n">
        <x:v>0</x:v>
      </x:c>
      <x:c r="M539" s="37" t="n">
        <x:f>K539*L539</x:f>
        <x:v>0</x:v>
      </x:c>
      <x:c r="N539" s="22" t="n">
        <x:v>0</x:v>
      </x:c>
      <x:c r="O539" s="37" t="n">
        <x:f>48</x:f>
        <x:v>48</x:v>
      </x:c>
      <x:c r="P539" s="37" t="n">
        <x:f>IF(AND(N539&gt;0,N539&lt;=O539),1,0)</x:f>
        <x:v>0</x:v>
      </x:c>
      <x:c r="Q539" s="22" t="n">
        <x:v>0</x:v>
      </x:c>
      <x:c r="R539" s="37" t="n">
        <x:f>IF(AND(P539=1,Q539=1),MIN(F539,M539,R538),0)</x:f>
        <x:v>0</x:v>
      </x:c>
      <x:c r="S539" s="23" t="str">
        <x:f>IF(R539&gt;=F539,"ADMITTED","NOT ADMITTED")</x:f>
        <x:v>NOT ADMITTED</x:v>
      </x:c>
    </x:row>
    <x:row r="540">
      <x:c r="B540" s="21" t="str">
        <x:v>SL-0534</x:v>
      </x:c>
      <x:c r="C540" s="21" t="str">
        <x:v>F45</x:v>
      </x:c>
      <x:c r="D540" s="21" t="n">
        <x:v>6</x:v>
      </x:c>
      <x:c r="E540" s="21" t="str">
        <x:v>Conforming production</x:v>
      </x:c>
      <x:c r="F540" s="37" t="n">
        <x:f>'Family Register'!L51</x:f>
        <x:v>8</x:v>
      </x:c>
      <x:c r="G540" s="37" t="n">
        <x:f>INDEX(Scenarios!$F$7:$F$12,Assumptions!C7)</x:f>
        <x:v>0.7</x:v>
      </x:c>
      <x:c r="H540" s="37" t="n">
        <x:f>'Family Register'!G51*'Family Register'!I51*G540</x:f>
        <x:v>7.279999999999999</x:v>
      </x:c>
      <x:c r="I540" s="37" t="n">
        <x:f>J539</x:f>
        <x:v>7.279999999999999</x:v>
      </x:c>
      <x:c r="J540" s="37" t="n">
        <x:f>MIN(F540,H540,I540)</x:f>
        <x:v>7.279999999999999</x:v>
      </x:c>
      <x:c r="K540" s="22" t="n">
        <x:v>0</x:v>
      </x:c>
      <x:c r="L540" s="22" t="n">
        <x:v>0</x:v>
      </x:c>
      <x:c r="M540" s="37" t="n">
        <x:f>K540*L540</x:f>
        <x:v>0</x:v>
      </x:c>
      <x:c r="N540" s="22" t="n">
        <x:v>0</x:v>
      </x:c>
      <x:c r="O540" s="37" t="n">
        <x:f>'Family Register'!H51*0.55</x:f>
        <x:v>792.0000000000001</x:v>
      </x:c>
      <x:c r="P540" s="37" t="n">
        <x:f>IF(AND(N540&gt;0,N540&lt;=O540),1,0)</x:f>
        <x:v>0</x:v>
      </x:c>
      <x:c r="Q540" s="22" t="n">
        <x:v>0</x:v>
      </x:c>
      <x:c r="R540" s="37" t="n">
        <x:f>IF(AND(P540=1,Q540=1),MIN(F540,M540,R539),0)</x:f>
        <x:v>0</x:v>
      </x:c>
      <x:c r="S540" s="23" t="str">
        <x:f>IF(R540&gt;=F540,"ADMITTED","NOT ADMITTED")</x:f>
        <x:v>NOT ADMITTED</x:v>
      </x:c>
    </x:row>
    <x:row r="541">
      <x:c r="B541" s="21" t="str">
        <x:v>SL-0535</x:v>
      </x:c>
      <x:c r="C541" s="21" t="str">
        <x:v>F45</x:v>
      </x:c>
      <x:c r="D541" s="21" t="n">
        <x:v>7</x:v>
      </x:c>
      <x:c r="E541" s="21" t="str">
        <x:v>Independent acceptance</x:v>
      </x:c>
      <x:c r="F541" s="37" t="n">
        <x:f>'Family Register'!L51</x:f>
        <x:v>8</x:v>
      </x:c>
      <x:c r="G541" s="37" t="n">
        <x:f>INDEX(Scenarios!$L$7:$L$12,Assumptions!C7)</x:f>
        <x:v>0.8</x:v>
      </x:c>
      <x:c r="H541" s="37" t="n">
        <x:f>'Family Register'!G51*'Family Register'!I51*G541</x:f>
        <x:v>8.32</x:v>
      </x:c>
      <x:c r="I541" s="37" t="n">
        <x:f>J540</x:f>
        <x:v>7.279999999999999</x:v>
      </x:c>
      <x:c r="J541" s="37" t="n">
        <x:f>MIN(F541,H541,I541)</x:f>
        <x:v>7.279999999999999</x:v>
      </x:c>
      <x:c r="K541" s="22" t="n">
        <x:v>0</x:v>
      </x:c>
      <x:c r="L541" s="22" t="n">
        <x:v>0</x:v>
      </x:c>
      <x:c r="M541" s="37" t="n">
        <x:f>K541*L541</x:f>
        <x:v>0</x:v>
      </x:c>
      <x:c r="N541" s="22" t="n">
        <x:v>0</x:v>
      </x:c>
      <x:c r="O541" s="37" t="n">
        <x:f>'Family Register'!H51*0.65</x:f>
        <x:v>936</x:v>
      </x:c>
      <x:c r="P541" s="37" t="n">
        <x:f>IF(AND(N541&gt;0,N541&lt;=O541),1,0)</x:f>
        <x:v>0</x:v>
      </x:c>
      <x:c r="Q541" s="22" t="n">
        <x:v>0</x:v>
      </x:c>
      <x:c r="R541" s="37" t="n">
        <x:f>IF(AND(P541=1,Q541=1),MIN(F541,M541,R540),0)</x:f>
        <x:v>0</x:v>
      </x:c>
      <x:c r="S541" s="23" t="str">
        <x:f>IF(R541&gt;=F541,"ADMITTED","NOT ADMITTED")</x:f>
        <x:v>NOT ADMITTED</x:v>
      </x:c>
    </x:row>
    <x:row r="542">
      <x:c r="B542" s="21" t="str">
        <x:v>SL-0536</x:v>
      </x:c>
      <x:c r="C542" s="21" t="str">
        <x:v>F45</x:v>
      </x:c>
      <x:c r="D542" s="21" t="n">
        <x:v>8</x:v>
      </x:c>
      <x:c r="E542" s="21" t="str">
        <x:v>Loadout and custody transfer</x:v>
      </x:c>
      <x:c r="F542" s="37" t="n">
        <x:f>'Family Register'!L51</x:f>
        <x:v>8</x:v>
      </x:c>
      <x:c r="G542" s="37" t="n">
        <x:f>INDEX(Scenarios!$H$7:$H$12,Assumptions!C7)</x:f>
        <x:v>0.65</x:v>
      </x:c>
      <x:c r="H542" s="37" t="n">
        <x:f>'Family Register'!G51*'Family Register'!I51*G542</x:f>
        <x:v>6.760000000000001</x:v>
      </x:c>
      <x:c r="I542" s="37" t="n">
        <x:f>J541</x:f>
        <x:v>7.279999999999999</x:v>
      </x:c>
      <x:c r="J542" s="37" t="n">
        <x:f>MIN(F542,H542,I542)</x:f>
        <x:v>6.760000000000001</x:v>
      </x:c>
      <x:c r="K542" s="22" t="n">
        <x:v>0</x:v>
      </x:c>
      <x:c r="L542" s="22" t="n">
        <x:v>0</x:v>
      </x:c>
      <x:c r="M542" s="37" t="n">
        <x:f>K542*L542</x:f>
        <x:v>0</x:v>
      </x:c>
      <x:c r="N542" s="22" t="n">
        <x:v>0</x:v>
      </x:c>
      <x:c r="O542" s="37" t="n">
        <x:f>'Family Register'!H51*0.7</x:f>
        <x:v>1007.9999999999999</x:v>
      </x:c>
      <x:c r="P542" s="37" t="n">
        <x:f>IF(AND(N542&gt;0,N542&lt;=O542),1,0)</x:f>
        <x:v>0</x:v>
      </x:c>
      <x:c r="Q542" s="22" t="n">
        <x:v>0</x:v>
      </x:c>
      <x:c r="R542" s="37" t="n">
        <x:f>IF(AND(P542=1,Q542=1),MIN(F542,M542,R541),0)</x:f>
        <x:v>0</x:v>
      </x:c>
      <x:c r="S542" s="23" t="str">
        <x:f>IF(R542&gt;=F542,"ADMITTED","NOT ADMITTED")</x:f>
        <x:v>NOT ADMITTED</x:v>
      </x:c>
    </x:row>
    <x:row r="543">
      <x:c r="B543" s="21" t="str">
        <x:v>SL-0537</x:v>
      </x:c>
      <x:c r="C543" s="21" t="str">
        <x:v>F45</x:v>
      </x:c>
      <x:c r="D543" s="21" t="n">
        <x:v>9</x:v>
      </x:c>
      <x:c r="E543" s="21" t="str">
        <x:v>Strategic transport</x:v>
      </x:c>
      <x:c r="F543" s="37" t="n">
        <x:f>'Family Register'!L51</x:f>
        <x:v>8</x:v>
      </x:c>
      <x:c r="G543" s="37" t="n">
        <x:f>INDEX(Scenarios!$H$7:$H$12,Assumptions!C7)</x:f>
        <x:v>0.65</x:v>
      </x:c>
      <x:c r="H543" s="37" t="n">
        <x:f>'Family Register'!G51*'Family Register'!I51*G543</x:f>
        <x:v>6.760000000000001</x:v>
      </x:c>
      <x:c r="I543" s="37" t="n">
        <x:f>J542</x:f>
        <x:v>6.760000000000001</x:v>
      </x:c>
      <x:c r="J543" s="37" t="n">
        <x:f>MIN(F543,H543,I543)</x:f>
        <x:v>6.760000000000001</x:v>
      </x:c>
      <x:c r="K543" s="22" t="n">
        <x:v>0</x:v>
      </x:c>
      <x:c r="L543" s="22" t="n">
        <x:v>0</x:v>
      </x:c>
      <x:c r="M543" s="37" t="n">
        <x:f>K543*L543</x:f>
        <x:v>0</x:v>
      </x:c>
      <x:c r="N543" s="22" t="n">
        <x:v>0</x:v>
      </x:c>
      <x:c r="O543" s="37" t="n">
        <x:f>'Family Register'!H51*0.9</x:f>
        <x:v>1296</x:v>
      </x:c>
      <x:c r="P543" s="37" t="n">
        <x:f>IF(AND(N543&gt;0,N543&lt;=O543),1,0)</x:f>
        <x:v>0</x:v>
      </x:c>
      <x:c r="Q543" s="22" t="n">
        <x:v>0</x:v>
      </x:c>
      <x:c r="R543" s="37" t="n">
        <x:f>IF(AND(P543=1,Q543=1),MIN(F543,M543,R542),0)</x:f>
        <x:v>0</x:v>
      </x:c>
      <x:c r="S543" s="23" t="str">
        <x:f>IF(R543&gt;=F543,"ADMITTED","NOT ADMITTED")</x:f>
        <x:v>NOT ADMITTED</x:v>
      </x:c>
    </x:row>
    <x:row r="544">
      <x:c r="B544" s="21" t="str">
        <x:v>SL-0538</x:v>
      </x:c>
      <x:c r="C544" s="21" t="str">
        <x:v>F45</x:v>
      </x:c>
      <x:c r="D544" s="21" t="n">
        <x:v>10</x:v>
      </x:c>
      <x:c r="E544" s="21" t="str">
        <x:v>Receiving-node admission</x:v>
      </x:c>
      <x:c r="F544" s="37" t="n">
        <x:f>'Family Register'!L51</x:f>
        <x:v>8</x:v>
      </x:c>
      <x:c r="G544" s="37" t="n">
        <x:f>INDEX(Scenarios!$I$7:$I$12,Assumptions!C7)</x:f>
        <x:v>0.75</x:v>
      </x:c>
      <x:c r="H544" s="37" t="n">
        <x:f>'Family Register'!G51*'Family Register'!I51*G544</x:f>
        <x:v>7.800000000000001</x:v>
      </x:c>
      <x:c r="I544" s="37" t="n">
        <x:f>J543</x:f>
        <x:v>6.760000000000001</x:v>
      </x:c>
      <x:c r="J544" s="37" t="n">
        <x:f>MIN(F544,H544,I544)</x:f>
        <x:v>6.760000000000001</x:v>
      </x:c>
      <x:c r="K544" s="22" t="n">
        <x:v>0</x:v>
      </x:c>
      <x:c r="L544" s="22" t="n">
        <x:v>0</x:v>
      </x:c>
      <x:c r="M544" s="37" t="n">
        <x:f>K544*L544</x:f>
        <x:v>0</x:v>
      </x:c>
      <x:c r="N544" s="22" t="n">
        <x:v>0</x:v>
      </x:c>
      <x:c r="O544" s="37" t="n">
        <x:f>'Family Register'!H51*0.94</x:f>
        <x:v>1353.6</x:v>
      </x:c>
      <x:c r="P544" s="37" t="n">
        <x:f>IF(AND(N544&gt;0,N544&lt;=O544),1,0)</x:f>
        <x:v>0</x:v>
      </x:c>
      <x:c r="Q544" s="22" t="n">
        <x:v>0</x:v>
      </x:c>
      <x:c r="R544" s="37" t="n">
        <x:f>IF(AND(P544=1,Q544=1),MIN(F544,M544,R543),0)</x:f>
        <x:v>0</x:v>
      </x:c>
      <x:c r="S544" s="23" t="str">
        <x:f>IF(R544&gt;=F544,"ADMITTED","NOT ADMITTED")</x:f>
        <x:v>NOT ADMITTED</x:v>
      </x:c>
    </x:row>
    <x:row r="545">
      <x:c r="B545" s="21" t="str">
        <x:v>SL-0539</x:v>
      </x:c>
      <x:c r="C545" s="21" t="str">
        <x:v>F45</x:v>
      </x:c>
      <x:c r="D545" s="21" t="n">
        <x:v>11</x:v>
      </x:c>
      <x:c r="E545" s="21" t="str">
        <x:v>Commissioned public service</x:v>
      </x:c>
      <x:c r="F545" s="37" t="n">
        <x:f>'Family Register'!L51</x:f>
        <x:v>8</x:v>
      </x:c>
      <x:c r="G545" s="37" t="n">
        <x:f>MIN(INDEX(Scenarios!$G$7:$G$12,Assumptions!C7),INDEX(Scenarios!$I$7:$I$12,Assumptions!C7))</x:f>
        <x:v>0.7</x:v>
      </x:c>
      <x:c r="H545" s="37" t="n">
        <x:f>'Family Register'!G51*'Family Register'!I51*G545</x:f>
        <x:v>7.279999999999999</x:v>
      </x:c>
      <x:c r="I545" s="37" t="n">
        <x:f>J544</x:f>
        <x:v>6.760000000000001</x:v>
      </x:c>
      <x:c r="J545" s="37" t="n">
        <x:f>MIN(F545,H545,I545)</x:f>
        <x:v>6.760000000000001</x:v>
      </x:c>
      <x:c r="K545" s="22" t="n">
        <x:v>0</x:v>
      </x:c>
      <x:c r="L545" s="22" t="n">
        <x:v>0</x:v>
      </x:c>
      <x:c r="M545" s="37" t="n">
        <x:f>K545*L545</x:f>
        <x:v>0</x:v>
      </x:c>
      <x:c r="N545" s="22" t="n">
        <x:v>0</x:v>
      </x:c>
      <x:c r="O545" s="37" t="n">
        <x:f>'Family Register'!H51*1</x:f>
        <x:v>1440</x:v>
      </x:c>
      <x:c r="P545" s="37" t="n">
        <x:f>IF(AND(N545&gt;0,N545&lt;=O545),1,0)</x:f>
        <x:v>0</x:v>
      </x:c>
      <x:c r="Q545" s="22" t="n">
        <x:v>0</x:v>
      </x:c>
      <x:c r="R545" s="37" t="n">
        <x:f>IF(AND(P545=1,Q545=1),MIN(F545,M545,R544),0)</x:f>
        <x:v>0</x:v>
      </x:c>
      <x:c r="S545" s="23" t="str">
        <x:f>IF(R545&gt;=F545,"ADMITTED","NOT ADMITTED")</x:f>
        <x:v>NOT ADMITTED</x:v>
      </x:c>
    </x:row>
    <x:row r="546">
      <x:c r="B546" s="21" t="str">
        <x:v>SL-0540</x:v>
      </x:c>
      <x:c r="C546" s="21" t="str">
        <x:v>F45</x:v>
      </x:c>
      <x:c r="D546" s="21" t="n">
        <x:v>12</x:v>
      </x:c>
      <x:c r="E546" s="21" t="str">
        <x:v>Regeneration and replacement</x:v>
      </x:c>
      <x:c r="F546" s="37" t="n">
        <x:f>'Family Register'!L51</x:f>
        <x:v>8</x:v>
      </x:c>
      <x:c r="G546" s="37" t="n">
        <x:f>MIN(INDEX(Scenarios!$E$7:$E$12,Assumptions!C7),INDEX(Scenarios!$F$7:$F$12,Assumptions!C7))</x:f>
        <x:v>0.7</x:v>
      </x:c>
      <x:c r="H546" s="37" t="n">
        <x:f>'Family Register'!G51*'Family Register'!I51*G546</x:f>
        <x:v>7.279999999999999</x:v>
      </x:c>
      <x:c r="I546" s="37" t="n">
        <x:f>J545</x:f>
        <x:v>6.760000000000001</x:v>
      </x:c>
      <x:c r="J546" s="37" t="n">
        <x:f>MIN(F546,H546,I546)</x:f>
        <x:v>6.760000000000001</x:v>
      </x:c>
      <x:c r="K546" s="22" t="n">
        <x:v>0</x:v>
      </x:c>
      <x:c r="L546" s="22" t="n">
        <x:v>0</x:v>
      </x:c>
      <x:c r="M546" s="37" t="n">
        <x:f>K546*L546</x:f>
        <x:v>0</x:v>
      </x:c>
      <x:c r="N546" s="22" t="n">
        <x:v>0</x:v>
      </x:c>
      <x:c r="O546" s="37" t="n">
        <x:f>'Family Register'!H51+168</x:f>
        <x:v>1608</x:v>
      </x:c>
      <x:c r="P546" s="37" t="n">
        <x:f>IF(AND(N546&gt;0,N546&lt;=O546),1,0)</x:f>
        <x:v>0</x:v>
      </x:c>
      <x:c r="Q546" s="22" t="n">
        <x:v>0</x:v>
      </x:c>
      <x:c r="R546" s="37" t="n">
        <x:f>IF(AND(P546=1,Q546=1),MIN(F546,M546,R545),0)</x:f>
        <x:v>0</x:v>
      </x:c>
      <x:c r="S546" s="23" t="str">
        <x:f>IF(R546&gt;=F546,"ADMITTED","NOT ADMITTED")</x:f>
        <x:v>NOT ADMITTED</x:v>
      </x:c>
    </x:row>
    <x:row r="547">
      <x:c r="B547" s="21" t="str">
        <x:v>SL-0541</x:v>
      </x:c>
      <x:c r="C547" s="21" t="str">
        <x:v>F46</x:v>
      </x:c>
      <x:c r="D547" s="21" t="n">
        <x:v>1</x:v>
      </x:c>
      <x:c r="E547" s="21" t="str">
        <x:v>Alert authentication</x:v>
      </x:c>
      <x:c r="F547" s="37" t="n">
        <x:f>'Family Register'!L52</x:f>
        <x:v>8</x:v>
      </x:c>
      <x:c r="G547" s="37" t="n">
        <x:f>INDEX(Scenarios!$K$7:$K$12,Assumptions!C7)</x:f>
        <x:v>0.75</x:v>
      </x:c>
      <x:c r="H547" s="37" t="n">
        <x:f>'Family Register'!G52*'Family Register'!I52*G547</x:f>
        <x:v>8.7</x:v>
      </x:c>
      <x:c r="I547" s="37" t="n">
        <x:f>F547</x:f>
        <x:v>8</x:v>
      </x:c>
      <x:c r="J547" s="37" t="n">
        <x:f>MIN(F547,H547,I547)</x:f>
        <x:v>8</x:v>
      </x:c>
      <x:c r="K547" s="22" t="n">
        <x:v>0</x:v>
      </x:c>
      <x:c r="L547" s="22" t="n">
        <x:v>0</x:v>
      </x:c>
      <x:c r="M547" s="37" t="n">
        <x:f>K547*L547</x:f>
        <x:v>0</x:v>
      </x:c>
      <x:c r="N547" s="22" t="n">
        <x:v>0</x:v>
      </x:c>
      <x:c r="O547" s="37" t="n">
        <x:f>2</x:f>
        <x:v>2</x:v>
      </x:c>
      <x:c r="P547" s="37" t="n">
        <x:f>IF(AND(N547&gt;0,N547&lt;=O547),1,0)</x:f>
        <x:v>0</x:v>
      </x:c>
      <x:c r="Q547" s="22" t="n">
        <x:v>0</x:v>
      </x:c>
      <x:c r="R547" s="37" t="n">
        <x:f>IF(AND(P547=1,Q547=1),MIN(F547,M547),0)</x:f>
        <x:v>0</x:v>
      </x:c>
      <x:c r="S547" s="23" t="str">
        <x:f>IF(R547&gt;=F547,"ADMITTED","NOT ADMITTED")</x:f>
        <x:v>NOT ADMITTED</x:v>
      </x:c>
    </x:row>
    <x:row r="548">
      <x:c r="B548" s="21" t="str">
        <x:v>SL-0542</x:v>
      </x:c>
      <x:c r="C548" s="21" t="str">
        <x:v>F46</x:v>
      </x:c>
      <x:c r="D548" s="21" t="n">
        <x:v>2</x:v>
      </x:c>
      <x:c r="E548" s="21" t="str">
        <x:v>Workforce muster</x:v>
      </x:c>
      <x:c r="F548" s="37" t="n">
        <x:f>'Family Register'!L52</x:f>
        <x:v>8</x:v>
      </x:c>
      <x:c r="G548" s="37" t="n">
        <x:f>INDEX(Scenarios!$J$7:$J$12,Assumptions!C7)</x:f>
        <x:v>0.8</x:v>
      </x:c>
      <x:c r="H548" s="37" t="n">
        <x:f>'Family Register'!G52*'Family Register'!I52*G548</x:f>
        <x:v>9.28</x:v>
      </x:c>
      <x:c r="I548" s="37" t="n">
        <x:f>J547</x:f>
        <x:v>8</x:v>
      </x:c>
      <x:c r="J548" s="37" t="n">
        <x:f>MIN(F548,H548,I548)</x:f>
        <x:v>8</x:v>
      </x:c>
      <x:c r="K548" s="22" t="n">
        <x:v>0</x:v>
      </x:c>
      <x:c r="L548" s="22" t="n">
        <x:v>0</x:v>
      </x:c>
      <x:c r="M548" s="37" t="n">
        <x:f>K548*L548</x:f>
        <x:v>0</x:v>
      </x:c>
      <x:c r="N548" s="22" t="n">
        <x:v>0</x:v>
      </x:c>
      <x:c r="O548" s="37" t="n">
        <x:f>12</x:f>
        <x:v>12</x:v>
      </x:c>
      <x:c r="P548" s="37" t="n">
        <x:f>IF(AND(N548&gt;0,N548&lt;=O548),1,0)</x:f>
        <x:v>0</x:v>
      </x:c>
      <x:c r="Q548" s="22" t="n">
        <x:v>0</x:v>
      </x:c>
      <x:c r="R548" s="37" t="n">
        <x:f>IF(AND(P548=1,Q548=1),MIN(F548,M548,R547),0)</x:f>
        <x:v>0</x:v>
      </x:c>
      <x:c r="S548" s="23" t="str">
        <x:f>IF(R548&gt;=F548,"ADMITTED","NOT ADMITTED")</x:f>
        <x:v>NOT ADMITTED</x:v>
      </x:c>
    </x:row>
    <x:row r="549">
      <x:c r="B549" s="21" t="str">
        <x:v>SL-0543</x:v>
      </x:c>
      <x:c r="C549" s="21" t="str">
        <x:v>F46</x:v>
      </x:c>
      <x:c r="D549" s="21" t="n">
        <x:v>3</x:v>
      </x:c>
      <x:c r="E549" s="21" t="str">
        <x:v>Facility utility and safe start</x:v>
      </x:c>
      <x:c r="F549" s="37" t="n">
        <x:f>'Family Register'!L52</x:f>
        <x:v>8</x:v>
      </x:c>
      <x:c r="G549" s="37" t="n">
        <x:f>INDEX(Scenarios!$G$7:$G$12,Assumptions!C7)</x:f>
        <x:v>0.7</x:v>
      </x:c>
      <x:c r="H549" s="37" t="n">
        <x:f>'Family Register'!G52*'Family Register'!I52*G549</x:f>
        <x:v>8.12</x:v>
      </x:c>
      <x:c r="I549" s="37" t="n">
        <x:f>J548</x:f>
        <x:v>8</x:v>
      </x:c>
      <x:c r="J549" s="37" t="n">
        <x:f>MIN(F549,H549,I549)</x:f>
        <x:v>8</x:v>
      </x:c>
      <x:c r="K549" s="22" t="n">
        <x:v>0</x:v>
      </x:c>
      <x:c r="L549" s="22" t="n">
        <x:v>0</x:v>
      </x:c>
      <x:c r="M549" s="37" t="n">
        <x:f>K549*L549</x:f>
        <x:v>0</x:v>
      </x:c>
      <x:c r="N549" s="22" t="n">
        <x:v>0</x:v>
      </x:c>
      <x:c r="O549" s="37" t="n">
        <x:f>24</x:f>
        <x:v>24</x:v>
      </x:c>
      <x:c r="P549" s="37" t="n">
        <x:f>IF(AND(N549&gt;0,N549&lt;=O549),1,0)</x:f>
        <x:v>0</x:v>
      </x:c>
      <x:c r="Q549" s="22" t="n">
        <x:v>0</x:v>
      </x:c>
      <x:c r="R549" s="37" t="n">
        <x:f>IF(AND(P549=1,Q549=1),MIN(F549,M549,R548),0)</x:f>
        <x:v>0</x:v>
      </x:c>
      <x:c r="S549" s="23" t="str">
        <x:f>IF(R549&gt;=F549,"ADMITTED","NOT ADMITTED")</x:f>
        <x:v>NOT ADMITTED</x:v>
      </x:c>
    </x:row>
    <x:row r="550">
      <x:c r="B550" s="21" t="str">
        <x:v>SL-0544</x:v>
      </x:c>
      <x:c r="C550" s="21" t="str">
        <x:v>F46</x:v>
      </x:c>
      <x:c r="D550" s="21" t="n">
        <x:v>4</x:v>
      </x:c>
      <x:c r="E550" s="21" t="str">
        <x:v>Material tooling and instrument release</x:v>
      </x:c>
      <x:c r="F550" s="37" t="n">
        <x:f>'Family Register'!L52</x:f>
        <x:v>8</x:v>
      </x:c>
      <x:c r="G550" s="37" t="n">
        <x:f>INDEX(Scenarios!$E$7:$E$12,Assumptions!C7)</x:f>
        <x:v>0.75</x:v>
      </x:c>
      <x:c r="H550" s="37" t="n">
        <x:f>'Family Register'!G52*'Family Register'!I52*G550</x:f>
        <x:v>8.7</x:v>
      </x:c>
      <x:c r="I550" s="37" t="n">
        <x:f>J549</x:f>
        <x:v>8</x:v>
      </x:c>
      <x:c r="J550" s="37" t="n">
        <x:f>MIN(F550,H550,I550)</x:f>
        <x:v>8</x:v>
      </x:c>
      <x:c r="K550" s="22" t="n">
        <x:v>0</x:v>
      </x:c>
      <x:c r="L550" s="22" t="n">
        <x:v>0</x:v>
      </x:c>
      <x:c r="M550" s="37" t="n">
        <x:f>K550*L550</x:f>
        <x:v>0</x:v>
      </x:c>
      <x:c r="N550" s="22" t="n">
        <x:v>0</x:v>
      </x:c>
      <x:c r="O550" s="37" t="n">
        <x:f>36</x:f>
        <x:v>36</x:v>
      </x:c>
      <x:c r="P550" s="37" t="n">
        <x:f>IF(AND(N550&gt;0,N550&lt;=O550),1,0)</x:f>
        <x:v>0</x:v>
      </x:c>
      <x:c r="Q550" s="22" t="n">
        <x:v>0</x:v>
      </x:c>
      <x:c r="R550" s="37" t="n">
        <x:f>IF(AND(P550=1,Q550=1),MIN(F550,M550,R549),0)</x:f>
        <x:v>0</x:v>
      </x:c>
      <x:c r="S550" s="23" t="str">
        <x:f>IF(R550&gt;=F550,"ADMITTED","NOT ADMITTED")</x:f>
        <x:v>NOT ADMITTED</x:v>
      </x:c>
    </x:row>
    <x:row r="551">
      <x:c r="B551" s="21" t="str">
        <x:v>SL-0545</x:v>
      </x:c>
      <x:c r="C551" s="21" t="str">
        <x:v>F46</x:v>
      </x:c>
      <x:c r="D551" s="21" t="n">
        <x:v>5</x:v>
      </x:c>
      <x:c r="E551" s="21" t="str">
        <x:v>Supplier and process activation</x:v>
      </x:c>
      <x:c r="F551" s="37" t="n">
        <x:f>'Family Register'!L52</x:f>
        <x:v>8</x:v>
      </x:c>
      <x:c r="G551" s="37" t="n">
        <x:f>MIN(INDEX(Scenarios!$E$7:$E$12,Assumptions!C7),INDEX(Scenarios!$F$7:$F$12,Assumptions!C7))</x:f>
        <x:v>0.7</x:v>
      </x:c>
      <x:c r="H551" s="37" t="n">
        <x:f>'Family Register'!G52*'Family Register'!I52*G551</x:f>
        <x:v>8.12</x:v>
      </x:c>
      <x:c r="I551" s="37" t="n">
        <x:f>J550</x:f>
        <x:v>8</x:v>
      </x:c>
      <x:c r="J551" s="37" t="n">
        <x:f>MIN(F551,H551,I551)</x:f>
        <x:v>8</x:v>
      </x:c>
      <x:c r="K551" s="22" t="n">
        <x:v>0</x:v>
      </x:c>
      <x:c r="L551" s="22" t="n">
        <x:v>0</x:v>
      </x:c>
      <x:c r="M551" s="37" t="n">
        <x:f>K551*L551</x:f>
        <x:v>0</x:v>
      </x:c>
      <x:c r="N551" s="22" t="n">
        <x:v>0</x:v>
      </x:c>
      <x:c r="O551" s="37" t="n">
        <x:f>48</x:f>
        <x:v>48</x:v>
      </x:c>
      <x:c r="P551" s="37" t="n">
        <x:f>IF(AND(N551&gt;0,N551&lt;=O551),1,0)</x:f>
        <x:v>0</x:v>
      </x:c>
      <x:c r="Q551" s="22" t="n">
        <x:v>0</x:v>
      </x:c>
      <x:c r="R551" s="37" t="n">
        <x:f>IF(AND(P551=1,Q551=1),MIN(F551,M551,R550),0)</x:f>
        <x:v>0</x:v>
      </x:c>
      <x:c r="S551" s="23" t="str">
        <x:f>IF(R551&gt;=F551,"ADMITTED","NOT ADMITTED")</x:f>
        <x:v>NOT ADMITTED</x:v>
      </x:c>
    </x:row>
    <x:row r="552">
      <x:c r="B552" s="21" t="str">
        <x:v>SL-0546</x:v>
      </x:c>
      <x:c r="C552" s="21" t="str">
        <x:v>F46</x:v>
      </x:c>
      <x:c r="D552" s="21" t="n">
        <x:v>6</x:v>
      </x:c>
      <x:c r="E552" s="21" t="str">
        <x:v>Conforming production</x:v>
      </x:c>
      <x:c r="F552" s="37" t="n">
        <x:f>'Family Register'!L52</x:f>
        <x:v>8</x:v>
      </x:c>
      <x:c r="G552" s="37" t="n">
        <x:f>INDEX(Scenarios!$F$7:$F$12,Assumptions!C7)</x:f>
        <x:v>0.7</x:v>
      </x:c>
      <x:c r="H552" s="37" t="n">
        <x:f>'Family Register'!G52*'Family Register'!I52*G552</x:f>
        <x:v>8.12</x:v>
      </x:c>
      <x:c r="I552" s="37" t="n">
        <x:f>J551</x:f>
        <x:v>8</x:v>
      </x:c>
      <x:c r="J552" s="37" t="n">
        <x:f>MIN(F552,H552,I552)</x:f>
        <x:v>8</x:v>
      </x:c>
      <x:c r="K552" s="22" t="n">
        <x:v>0</x:v>
      </x:c>
      <x:c r="L552" s="22" t="n">
        <x:v>0</x:v>
      </x:c>
      <x:c r="M552" s="37" t="n">
        <x:f>K552*L552</x:f>
        <x:v>0</x:v>
      </x:c>
      <x:c r="N552" s="22" t="n">
        <x:v>0</x:v>
      </x:c>
      <x:c r="O552" s="37" t="n">
        <x:f>'Family Register'!H52*0.55</x:f>
        <x:v>396.00000000000006</x:v>
      </x:c>
      <x:c r="P552" s="37" t="n">
        <x:f>IF(AND(N552&gt;0,N552&lt;=O552),1,0)</x:f>
        <x:v>0</x:v>
      </x:c>
      <x:c r="Q552" s="22" t="n">
        <x:v>0</x:v>
      </x:c>
      <x:c r="R552" s="37" t="n">
        <x:f>IF(AND(P552=1,Q552=1),MIN(F552,M552,R551),0)</x:f>
        <x:v>0</x:v>
      </x:c>
      <x:c r="S552" s="23" t="str">
        <x:f>IF(R552&gt;=F552,"ADMITTED","NOT ADMITTED")</x:f>
        <x:v>NOT ADMITTED</x:v>
      </x:c>
    </x:row>
    <x:row r="553">
      <x:c r="B553" s="21" t="str">
        <x:v>SL-0547</x:v>
      </x:c>
      <x:c r="C553" s="21" t="str">
        <x:v>F46</x:v>
      </x:c>
      <x:c r="D553" s="21" t="n">
        <x:v>7</x:v>
      </x:c>
      <x:c r="E553" s="21" t="str">
        <x:v>Independent acceptance</x:v>
      </x:c>
      <x:c r="F553" s="37" t="n">
        <x:f>'Family Register'!L52</x:f>
        <x:v>8</x:v>
      </x:c>
      <x:c r="G553" s="37" t="n">
        <x:f>INDEX(Scenarios!$L$7:$L$12,Assumptions!C7)</x:f>
        <x:v>0.8</x:v>
      </x:c>
      <x:c r="H553" s="37" t="n">
        <x:f>'Family Register'!G52*'Family Register'!I52*G553</x:f>
        <x:v>9.28</x:v>
      </x:c>
      <x:c r="I553" s="37" t="n">
        <x:f>J552</x:f>
        <x:v>8</x:v>
      </x:c>
      <x:c r="J553" s="37" t="n">
        <x:f>MIN(F553,H553,I553)</x:f>
        <x:v>8</x:v>
      </x:c>
      <x:c r="K553" s="22" t="n">
        <x:v>0</x:v>
      </x:c>
      <x:c r="L553" s="22" t="n">
        <x:v>0</x:v>
      </x:c>
      <x:c r="M553" s="37" t="n">
        <x:f>K553*L553</x:f>
        <x:v>0</x:v>
      </x:c>
      <x:c r="N553" s="22" t="n">
        <x:v>0</x:v>
      </x:c>
      <x:c r="O553" s="37" t="n">
        <x:f>'Family Register'!H52*0.65</x:f>
        <x:v>468</x:v>
      </x:c>
      <x:c r="P553" s="37" t="n">
        <x:f>IF(AND(N553&gt;0,N553&lt;=O553),1,0)</x:f>
        <x:v>0</x:v>
      </x:c>
      <x:c r="Q553" s="22" t="n">
        <x:v>0</x:v>
      </x:c>
      <x:c r="R553" s="37" t="n">
        <x:f>IF(AND(P553=1,Q553=1),MIN(F553,M553,R552),0)</x:f>
        <x:v>0</x:v>
      </x:c>
      <x:c r="S553" s="23" t="str">
        <x:f>IF(R553&gt;=F553,"ADMITTED","NOT ADMITTED")</x:f>
        <x:v>NOT ADMITTED</x:v>
      </x:c>
    </x:row>
    <x:row r="554">
      <x:c r="B554" s="21" t="str">
        <x:v>SL-0548</x:v>
      </x:c>
      <x:c r="C554" s="21" t="str">
        <x:v>F46</x:v>
      </x:c>
      <x:c r="D554" s="21" t="n">
        <x:v>8</x:v>
      </x:c>
      <x:c r="E554" s="21" t="str">
        <x:v>Loadout and custody transfer</x:v>
      </x:c>
      <x:c r="F554" s="37" t="n">
        <x:f>'Family Register'!L52</x:f>
        <x:v>8</x:v>
      </x:c>
      <x:c r="G554" s="37" t="n">
        <x:f>INDEX(Scenarios!$H$7:$H$12,Assumptions!C7)</x:f>
        <x:v>0.65</x:v>
      </x:c>
      <x:c r="H554" s="37" t="n">
        <x:f>'Family Register'!G52*'Family Register'!I52*G554</x:f>
        <x:v>7.54</x:v>
      </x:c>
      <x:c r="I554" s="37" t="n">
        <x:f>J553</x:f>
        <x:v>8</x:v>
      </x:c>
      <x:c r="J554" s="37" t="n">
        <x:f>MIN(F554,H554,I554)</x:f>
        <x:v>7.54</x:v>
      </x:c>
      <x:c r="K554" s="22" t="n">
        <x:v>0</x:v>
      </x:c>
      <x:c r="L554" s="22" t="n">
        <x:v>0</x:v>
      </x:c>
      <x:c r="M554" s="37" t="n">
        <x:f>K554*L554</x:f>
        <x:v>0</x:v>
      </x:c>
      <x:c r="N554" s="22" t="n">
        <x:v>0</x:v>
      </x:c>
      <x:c r="O554" s="37" t="n">
        <x:f>'Family Register'!H52*0.7</x:f>
        <x:v>503.99999999999994</x:v>
      </x:c>
      <x:c r="P554" s="37" t="n">
        <x:f>IF(AND(N554&gt;0,N554&lt;=O554),1,0)</x:f>
        <x:v>0</x:v>
      </x:c>
      <x:c r="Q554" s="22" t="n">
        <x:v>0</x:v>
      </x:c>
      <x:c r="R554" s="37" t="n">
        <x:f>IF(AND(P554=1,Q554=1),MIN(F554,M554,R553),0)</x:f>
        <x:v>0</x:v>
      </x:c>
      <x:c r="S554" s="23" t="str">
        <x:f>IF(R554&gt;=F554,"ADMITTED","NOT ADMITTED")</x:f>
        <x:v>NOT ADMITTED</x:v>
      </x:c>
    </x:row>
    <x:row r="555">
      <x:c r="B555" s="21" t="str">
        <x:v>SL-0549</x:v>
      </x:c>
      <x:c r="C555" s="21" t="str">
        <x:v>F46</x:v>
      </x:c>
      <x:c r="D555" s="21" t="n">
        <x:v>9</x:v>
      </x:c>
      <x:c r="E555" s="21" t="str">
        <x:v>Strategic transport</x:v>
      </x:c>
      <x:c r="F555" s="37" t="n">
        <x:f>'Family Register'!L52</x:f>
        <x:v>8</x:v>
      </x:c>
      <x:c r="G555" s="37" t="n">
        <x:f>INDEX(Scenarios!$H$7:$H$12,Assumptions!C7)</x:f>
        <x:v>0.65</x:v>
      </x:c>
      <x:c r="H555" s="37" t="n">
        <x:f>'Family Register'!G52*'Family Register'!I52*G555</x:f>
        <x:v>7.54</x:v>
      </x:c>
      <x:c r="I555" s="37" t="n">
        <x:f>J554</x:f>
        <x:v>7.54</x:v>
      </x:c>
      <x:c r="J555" s="37" t="n">
        <x:f>MIN(F555,H555,I555)</x:f>
        <x:v>7.54</x:v>
      </x:c>
      <x:c r="K555" s="22" t="n">
        <x:v>0</x:v>
      </x:c>
      <x:c r="L555" s="22" t="n">
        <x:v>0</x:v>
      </x:c>
      <x:c r="M555" s="37" t="n">
        <x:f>K555*L555</x:f>
        <x:v>0</x:v>
      </x:c>
      <x:c r="N555" s="22" t="n">
        <x:v>0</x:v>
      </x:c>
      <x:c r="O555" s="37" t="n">
        <x:f>'Family Register'!H52*0.9</x:f>
        <x:v>648</x:v>
      </x:c>
      <x:c r="P555" s="37" t="n">
        <x:f>IF(AND(N555&gt;0,N555&lt;=O555),1,0)</x:f>
        <x:v>0</x:v>
      </x:c>
      <x:c r="Q555" s="22" t="n">
        <x:v>0</x:v>
      </x:c>
      <x:c r="R555" s="37" t="n">
        <x:f>IF(AND(P555=1,Q555=1),MIN(F555,M555,R554),0)</x:f>
        <x:v>0</x:v>
      </x:c>
      <x:c r="S555" s="23" t="str">
        <x:f>IF(R555&gt;=F555,"ADMITTED","NOT ADMITTED")</x:f>
        <x:v>NOT ADMITTED</x:v>
      </x:c>
    </x:row>
    <x:row r="556">
      <x:c r="B556" s="21" t="str">
        <x:v>SL-0550</x:v>
      </x:c>
      <x:c r="C556" s="21" t="str">
        <x:v>F46</x:v>
      </x:c>
      <x:c r="D556" s="21" t="n">
        <x:v>10</x:v>
      </x:c>
      <x:c r="E556" s="21" t="str">
        <x:v>Receiving-node admission</x:v>
      </x:c>
      <x:c r="F556" s="37" t="n">
        <x:f>'Family Register'!L52</x:f>
        <x:v>8</x:v>
      </x:c>
      <x:c r="G556" s="37" t="n">
        <x:f>INDEX(Scenarios!$I$7:$I$12,Assumptions!C7)</x:f>
        <x:v>0.75</x:v>
      </x:c>
      <x:c r="H556" s="37" t="n">
        <x:f>'Family Register'!G52*'Family Register'!I52*G556</x:f>
        <x:v>8.7</x:v>
      </x:c>
      <x:c r="I556" s="37" t="n">
        <x:f>J555</x:f>
        <x:v>7.54</x:v>
      </x:c>
      <x:c r="J556" s="37" t="n">
        <x:f>MIN(F556,H556,I556)</x:f>
        <x:v>7.54</x:v>
      </x:c>
      <x:c r="K556" s="22" t="n">
        <x:v>0</x:v>
      </x:c>
      <x:c r="L556" s="22" t="n">
        <x:v>0</x:v>
      </x:c>
      <x:c r="M556" s="37" t="n">
        <x:f>K556*L556</x:f>
        <x:v>0</x:v>
      </x:c>
      <x:c r="N556" s="22" t="n">
        <x:v>0</x:v>
      </x:c>
      <x:c r="O556" s="37" t="n">
        <x:f>'Family Register'!H52*0.94</x:f>
        <x:v>676.8</x:v>
      </x:c>
      <x:c r="P556" s="37" t="n">
        <x:f>IF(AND(N556&gt;0,N556&lt;=O556),1,0)</x:f>
        <x:v>0</x:v>
      </x:c>
      <x:c r="Q556" s="22" t="n">
        <x:v>0</x:v>
      </x:c>
      <x:c r="R556" s="37" t="n">
        <x:f>IF(AND(P556=1,Q556=1),MIN(F556,M556,R555),0)</x:f>
        <x:v>0</x:v>
      </x:c>
      <x:c r="S556" s="23" t="str">
        <x:f>IF(R556&gt;=F556,"ADMITTED","NOT ADMITTED")</x:f>
        <x:v>NOT ADMITTED</x:v>
      </x:c>
    </x:row>
    <x:row r="557">
      <x:c r="B557" s="21" t="str">
        <x:v>SL-0551</x:v>
      </x:c>
      <x:c r="C557" s="21" t="str">
        <x:v>F46</x:v>
      </x:c>
      <x:c r="D557" s="21" t="n">
        <x:v>11</x:v>
      </x:c>
      <x:c r="E557" s="21" t="str">
        <x:v>Commissioned public service</x:v>
      </x:c>
      <x:c r="F557" s="37" t="n">
        <x:f>'Family Register'!L52</x:f>
        <x:v>8</x:v>
      </x:c>
      <x:c r="G557" s="37" t="n">
        <x:f>MIN(INDEX(Scenarios!$G$7:$G$12,Assumptions!C7),INDEX(Scenarios!$I$7:$I$12,Assumptions!C7))</x:f>
        <x:v>0.7</x:v>
      </x:c>
      <x:c r="H557" s="37" t="n">
        <x:f>'Family Register'!G52*'Family Register'!I52*G557</x:f>
        <x:v>8.12</x:v>
      </x:c>
      <x:c r="I557" s="37" t="n">
        <x:f>J556</x:f>
        <x:v>7.54</x:v>
      </x:c>
      <x:c r="J557" s="37" t="n">
        <x:f>MIN(F557,H557,I557)</x:f>
        <x:v>7.54</x:v>
      </x:c>
      <x:c r="K557" s="22" t="n">
        <x:v>0</x:v>
      </x:c>
      <x:c r="L557" s="22" t="n">
        <x:v>0</x:v>
      </x:c>
      <x:c r="M557" s="37" t="n">
        <x:f>K557*L557</x:f>
        <x:v>0</x:v>
      </x:c>
      <x:c r="N557" s="22" t="n">
        <x:v>0</x:v>
      </x:c>
      <x:c r="O557" s="37" t="n">
        <x:f>'Family Register'!H52*1</x:f>
        <x:v>720</x:v>
      </x:c>
      <x:c r="P557" s="37" t="n">
        <x:f>IF(AND(N557&gt;0,N557&lt;=O557),1,0)</x:f>
        <x:v>0</x:v>
      </x:c>
      <x:c r="Q557" s="22" t="n">
        <x:v>0</x:v>
      </x:c>
      <x:c r="R557" s="37" t="n">
        <x:f>IF(AND(P557=1,Q557=1),MIN(F557,M557,R556),0)</x:f>
        <x:v>0</x:v>
      </x:c>
      <x:c r="S557" s="23" t="str">
        <x:f>IF(R557&gt;=F557,"ADMITTED","NOT ADMITTED")</x:f>
        <x:v>NOT ADMITTED</x:v>
      </x:c>
    </x:row>
    <x:row r="558">
      <x:c r="B558" s="21" t="str">
        <x:v>SL-0552</x:v>
      </x:c>
      <x:c r="C558" s="21" t="str">
        <x:v>F46</x:v>
      </x:c>
      <x:c r="D558" s="21" t="n">
        <x:v>12</x:v>
      </x:c>
      <x:c r="E558" s="21" t="str">
        <x:v>Regeneration and replacement</x:v>
      </x:c>
      <x:c r="F558" s="37" t="n">
        <x:f>'Family Register'!L52</x:f>
        <x:v>8</x:v>
      </x:c>
      <x:c r="G558" s="37" t="n">
        <x:f>MIN(INDEX(Scenarios!$E$7:$E$12,Assumptions!C7),INDEX(Scenarios!$F$7:$F$12,Assumptions!C7))</x:f>
        <x:v>0.7</x:v>
      </x:c>
      <x:c r="H558" s="37" t="n">
        <x:f>'Family Register'!G52*'Family Register'!I52*G558</x:f>
        <x:v>8.12</x:v>
      </x:c>
      <x:c r="I558" s="37" t="n">
        <x:f>J557</x:f>
        <x:v>7.54</x:v>
      </x:c>
      <x:c r="J558" s="37" t="n">
        <x:f>MIN(F558,H558,I558)</x:f>
        <x:v>7.54</x:v>
      </x:c>
      <x:c r="K558" s="22" t="n">
        <x:v>0</x:v>
      </x:c>
      <x:c r="L558" s="22" t="n">
        <x:v>0</x:v>
      </x:c>
      <x:c r="M558" s="37" t="n">
        <x:f>K558*L558</x:f>
        <x:v>0</x:v>
      </x:c>
      <x:c r="N558" s="22" t="n">
        <x:v>0</x:v>
      </x:c>
      <x:c r="O558" s="37" t="n">
        <x:f>'Family Register'!H52+168</x:f>
        <x:v>888</x:v>
      </x:c>
      <x:c r="P558" s="37" t="n">
        <x:f>IF(AND(N558&gt;0,N558&lt;=O558),1,0)</x:f>
        <x:v>0</x:v>
      </x:c>
      <x:c r="Q558" s="22" t="n">
        <x:v>0</x:v>
      </x:c>
      <x:c r="R558" s="37" t="n">
        <x:f>IF(AND(P558=1,Q558=1),MIN(F558,M558,R557),0)</x:f>
        <x:v>0</x:v>
      </x:c>
      <x:c r="S558" s="23" t="str">
        <x:f>IF(R558&gt;=F558,"ADMITTED","NOT ADMITTED")</x:f>
        <x:v>NOT ADMITTED</x:v>
      </x:c>
    </x:row>
    <x:row r="559">
      <x:c r="B559" s="21" t="str">
        <x:v>SL-0553</x:v>
      </x:c>
      <x:c r="C559" s="21" t="str">
        <x:v>F47</x:v>
      </x:c>
      <x:c r="D559" s="21" t="n">
        <x:v>1</x:v>
      </x:c>
      <x:c r="E559" s="21" t="str">
        <x:v>Alert authentication</x:v>
      </x:c>
      <x:c r="F559" s="37" t="n">
        <x:f>'Family Register'!L53</x:f>
        <x:v>12</x:v>
      </x:c>
      <x:c r="G559" s="37" t="n">
        <x:f>INDEX(Scenarios!$K$7:$K$12,Assumptions!C7)</x:f>
        <x:v>0.75</x:v>
      </x:c>
      <x:c r="H559" s="37" t="n">
        <x:f>'Family Register'!G53*'Family Register'!I53*G559</x:f>
        <x:v>13.049999999999999</x:v>
      </x:c>
      <x:c r="I559" s="37" t="n">
        <x:f>F559</x:f>
        <x:v>12</x:v>
      </x:c>
      <x:c r="J559" s="37" t="n">
        <x:f>MIN(F559,H559,I559)</x:f>
        <x:v>12</x:v>
      </x:c>
      <x:c r="K559" s="22" t="n">
        <x:v>0</x:v>
      </x:c>
      <x:c r="L559" s="22" t="n">
        <x:v>0</x:v>
      </x:c>
      <x:c r="M559" s="37" t="n">
        <x:f>K559*L559</x:f>
        <x:v>0</x:v>
      </x:c>
      <x:c r="N559" s="22" t="n">
        <x:v>0</x:v>
      </x:c>
      <x:c r="O559" s="37" t="n">
        <x:f>2</x:f>
        <x:v>2</x:v>
      </x:c>
      <x:c r="P559" s="37" t="n">
        <x:f>IF(AND(N559&gt;0,N559&lt;=O559),1,0)</x:f>
        <x:v>0</x:v>
      </x:c>
      <x:c r="Q559" s="22" t="n">
        <x:v>0</x:v>
      </x:c>
      <x:c r="R559" s="37" t="n">
        <x:f>IF(AND(P559=1,Q559=1),MIN(F559,M559),0)</x:f>
        <x:v>0</x:v>
      </x:c>
      <x:c r="S559" s="23" t="str">
        <x:f>IF(R559&gt;=F559,"ADMITTED","NOT ADMITTED")</x:f>
        <x:v>NOT ADMITTED</x:v>
      </x:c>
    </x:row>
    <x:row r="560">
      <x:c r="B560" s="21" t="str">
        <x:v>SL-0554</x:v>
      </x:c>
      <x:c r="C560" s="21" t="str">
        <x:v>F47</x:v>
      </x:c>
      <x:c r="D560" s="21" t="n">
        <x:v>2</x:v>
      </x:c>
      <x:c r="E560" s="21" t="str">
        <x:v>Workforce muster</x:v>
      </x:c>
      <x:c r="F560" s="37" t="n">
        <x:f>'Family Register'!L53</x:f>
        <x:v>12</x:v>
      </x:c>
      <x:c r="G560" s="37" t="n">
        <x:f>INDEX(Scenarios!$J$7:$J$12,Assumptions!C7)</x:f>
        <x:v>0.8</x:v>
      </x:c>
      <x:c r="H560" s="37" t="n">
        <x:f>'Family Register'!G53*'Family Register'!I53*G560</x:f>
        <x:v>13.92</x:v>
      </x:c>
      <x:c r="I560" s="37" t="n">
        <x:f>J559</x:f>
        <x:v>12</x:v>
      </x:c>
      <x:c r="J560" s="37" t="n">
        <x:f>MIN(F560,H560,I560)</x:f>
        <x:v>12</x:v>
      </x:c>
      <x:c r="K560" s="22" t="n">
        <x:v>0</x:v>
      </x:c>
      <x:c r="L560" s="22" t="n">
        <x:v>0</x:v>
      </x:c>
      <x:c r="M560" s="37" t="n">
        <x:f>K560*L560</x:f>
        <x:v>0</x:v>
      </x:c>
      <x:c r="N560" s="22" t="n">
        <x:v>0</x:v>
      </x:c>
      <x:c r="O560" s="37" t="n">
        <x:f>12</x:f>
        <x:v>12</x:v>
      </x:c>
      <x:c r="P560" s="37" t="n">
        <x:f>IF(AND(N560&gt;0,N560&lt;=O560),1,0)</x:f>
        <x:v>0</x:v>
      </x:c>
      <x:c r="Q560" s="22" t="n">
        <x:v>0</x:v>
      </x:c>
      <x:c r="R560" s="37" t="n">
        <x:f>IF(AND(P560=1,Q560=1),MIN(F560,M560,R559),0)</x:f>
        <x:v>0</x:v>
      </x:c>
      <x:c r="S560" s="23" t="str">
        <x:f>IF(R560&gt;=F560,"ADMITTED","NOT ADMITTED")</x:f>
        <x:v>NOT ADMITTED</x:v>
      </x:c>
    </x:row>
    <x:row r="561">
      <x:c r="B561" s="21" t="str">
        <x:v>SL-0555</x:v>
      </x:c>
      <x:c r="C561" s="21" t="str">
        <x:v>F47</x:v>
      </x:c>
      <x:c r="D561" s="21" t="n">
        <x:v>3</x:v>
      </x:c>
      <x:c r="E561" s="21" t="str">
        <x:v>Facility utility and safe start</x:v>
      </x:c>
      <x:c r="F561" s="37" t="n">
        <x:f>'Family Register'!L53</x:f>
        <x:v>12</x:v>
      </x:c>
      <x:c r="G561" s="37" t="n">
        <x:f>INDEX(Scenarios!$G$7:$G$12,Assumptions!C7)</x:f>
        <x:v>0.7</x:v>
      </x:c>
      <x:c r="H561" s="37" t="n">
        <x:f>'Family Register'!G53*'Family Register'!I53*G561</x:f>
        <x:v>12.179999999999998</x:v>
      </x:c>
      <x:c r="I561" s="37" t="n">
        <x:f>J560</x:f>
        <x:v>12</x:v>
      </x:c>
      <x:c r="J561" s="37" t="n">
        <x:f>MIN(F561,H561,I561)</x:f>
        <x:v>12</x:v>
      </x:c>
      <x:c r="K561" s="22" t="n">
        <x:v>0</x:v>
      </x:c>
      <x:c r="L561" s="22" t="n">
        <x:v>0</x:v>
      </x:c>
      <x:c r="M561" s="37" t="n">
        <x:f>K561*L561</x:f>
        <x:v>0</x:v>
      </x:c>
      <x:c r="N561" s="22" t="n">
        <x:v>0</x:v>
      </x:c>
      <x:c r="O561" s="37" t="n">
        <x:f>24</x:f>
        <x:v>24</x:v>
      </x:c>
      <x:c r="P561" s="37" t="n">
        <x:f>IF(AND(N561&gt;0,N561&lt;=O561),1,0)</x:f>
        <x:v>0</x:v>
      </x:c>
      <x:c r="Q561" s="22" t="n">
        <x:v>0</x:v>
      </x:c>
      <x:c r="R561" s="37" t="n">
        <x:f>IF(AND(P561=1,Q561=1),MIN(F561,M561,R560),0)</x:f>
        <x:v>0</x:v>
      </x:c>
      <x:c r="S561" s="23" t="str">
        <x:f>IF(R561&gt;=F561,"ADMITTED","NOT ADMITTED")</x:f>
        <x:v>NOT ADMITTED</x:v>
      </x:c>
    </x:row>
    <x:row r="562">
      <x:c r="B562" s="21" t="str">
        <x:v>SL-0556</x:v>
      </x:c>
      <x:c r="C562" s="21" t="str">
        <x:v>F47</x:v>
      </x:c>
      <x:c r="D562" s="21" t="n">
        <x:v>4</x:v>
      </x:c>
      <x:c r="E562" s="21" t="str">
        <x:v>Material tooling and instrument release</x:v>
      </x:c>
      <x:c r="F562" s="37" t="n">
        <x:f>'Family Register'!L53</x:f>
        <x:v>12</x:v>
      </x:c>
      <x:c r="G562" s="37" t="n">
        <x:f>INDEX(Scenarios!$E$7:$E$12,Assumptions!C7)</x:f>
        <x:v>0.75</x:v>
      </x:c>
      <x:c r="H562" s="37" t="n">
        <x:f>'Family Register'!G53*'Family Register'!I53*G562</x:f>
        <x:v>13.049999999999999</x:v>
      </x:c>
      <x:c r="I562" s="37" t="n">
        <x:f>J561</x:f>
        <x:v>12</x:v>
      </x:c>
      <x:c r="J562" s="37" t="n">
        <x:f>MIN(F562,H562,I562)</x:f>
        <x:v>12</x:v>
      </x:c>
      <x:c r="K562" s="22" t="n">
        <x:v>0</x:v>
      </x:c>
      <x:c r="L562" s="22" t="n">
        <x:v>0</x:v>
      </x:c>
      <x:c r="M562" s="37" t="n">
        <x:f>K562*L562</x:f>
        <x:v>0</x:v>
      </x:c>
      <x:c r="N562" s="22" t="n">
        <x:v>0</x:v>
      </x:c>
      <x:c r="O562" s="37" t="n">
        <x:f>36</x:f>
        <x:v>36</x:v>
      </x:c>
      <x:c r="P562" s="37" t="n">
        <x:f>IF(AND(N562&gt;0,N562&lt;=O562),1,0)</x:f>
        <x:v>0</x:v>
      </x:c>
      <x:c r="Q562" s="22" t="n">
        <x:v>0</x:v>
      </x:c>
      <x:c r="R562" s="37" t="n">
        <x:f>IF(AND(P562=1,Q562=1),MIN(F562,M562,R561),0)</x:f>
        <x:v>0</x:v>
      </x:c>
      <x:c r="S562" s="23" t="str">
        <x:f>IF(R562&gt;=F562,"ADMITTED","NOT ADMITTED")</x:f>
        <x:v>NOT ADMITTED</x:v>
      </x:c>
    </x:row>
    <x:row r="563">
      <x:c r="B563" s="21" t="str">
        <x:v>SL-0557</x:v>
      </x:c>
      <x:c r="C563" s="21" t="str">
        <x:v>F47</x:v>
      </x:c>
      <x:c r="D563" s="21" t="n">
        <x:v>5</x:v>
      </x:c>
      <x:c r="E563" s="21" t="str">
        <x:v>Supplier and process activation</x:v>
      </x:c>
      <x:c r="F563" s="37" t="n">
        <x:f>'Family Register'!L53</x:f>
        <x:v>12</x:v>
      </x:c>
      <x:c r="G563" s="37" t="n">
        <x:f>MIN(INDEX(Scenarios!$E$7:$E$12,Assumptions!C7),INDEX(Scenarios!$F$7:$F$12,Assumptions!C7))</x:f>
        <x:v>0.7</x:v>
      </x:c>
      <x:c r="H563" s="37" t="n">
        <x:f>'Family Register'!G53*'Family Register'!I53*G563</x:f>
        <x:v>12.179999999999998</x:v>
      </x:c>
      <x:c r="I563" s="37" t="n">
        <x:f>J562</x:f>
        <x:v>12</x:v>
      </x:c>
      <x:c r="J563" s="37" t="n">
        <x:f>MIN(F563,H563,I563)</x:f>
        <x:v>12</x:v>
      </x:c>
      <x:c r="K563" s="22" t="n">
        <x:v>0</x:v>
      </x:c>
      <x:c r="L563" s="22" t="n">
        <x:v>0</x:v>
      </x:c>
      <x:c r="M563" s="37" t="n">
        <x:f>K563*L563</x:f>
        <x:v>0</x:v>
      </x:c>
      <x:c r="N563" s="22" t="n">
        <x:v>0</x:v>
      </x:c>
      <x:c r="O563" s="37" t="n">
        <x:f>48</x:f>
        <x:v>48</x:v>
      </x:c>
      <x:c r="P563" s="37" t="n">
        <x:f>IF(AND(N563&gt;0,N563&lt;=O563),1,0)</x:f>
        <x:v>0</x:v>
      </x:c>
      <x:c r="Q563" s="22" t="n">
        <x:v>0</x:v>
      </x:c>
      <x:c r="R563" s="37" t="n">
        <x:f>IF(AND(P563=1,Q563=1),MIN(F563,M563,R562),0)</x:f>
        <x:v>0</x:v>
      </x:c>
      <x:c r="S563" s="23" t="str">
        <x:f>IF(R563&gt;=F563,"ADMITTED","NOT ADMITTED")</x:f>
        <x:v>NOT ADMITTED</x:v>
      </x:c>
    </x:row>
    <x:row r="564">
      <x:c r="B564" s="21" t="str">
        <x:v>SL-0558</x:v>
      </x:c>
      <x:c r="C564" s="21" t="str">
        <x:v>F47</x:v>
      </x:c>
      <x:c r="D564" s="21" t="n">
        <x:v>6</x:v>
      </x:c>
      <x:c r="E564" s="21" t="str">
        <x:v>Conforming production</x:v>
      </x:c>
      <x:c r="F564" s="37" t="n">
        <x:f>'Family Register'!L53</x:f>
        <x:v>12</x:v>
      </x:c>
      <x:c r="G564" s="37" t="n">
        <x:f>INDEX(Scenarios!$F$7:$F$12,Assumptions!C7)</x:f>
        <x:v>0.7</x:v>
      </x:c>
      <x:c r="H564" s="37" t="n">
        <x:f>'Family Register'!G53*'Family Register'!I53*G564</x:f>
        <x:v>12.179999999999998</x:v>
      </x:c>
      <x:c r="I564" s="37" t="n">
        <x:f>J563</x:f>
        <x:v>12</x:v>
      </x:c>
      <x:c r="J564" s="37" t="n">
        <x:f>MIN(F564,H564,I564)</x:f>
        <x:v>12</x:v>
      </x:c>
      <x:c r="K564" s="22" t="n">
        <x:v>0</x:v>
      </x:c>
      <x:c r="L564" s="22" t="n">
        <x:v>0</x:v>
      </x:c>
      <x:c r="M564" s="37" t="n">
        <x:f>K564*L564</x:f>
        <x:v>0</x:v>
      </x:c>
      <x:c r="N564" s="22" t="n">
        <x:v>0</x:v>
      </x:c>
      <x:c r="O564" s="37" t="n">
        <x:f>'Family Register'!H53*0.55</x:f>
        <x:v>396.00000000000006</x:v>
      </x:c>
      <x:c r="P564" s="37" t="n">
        <x:f>IF(AND(N564&gt;0,N564&lt;=O564),1,0)</x:f>
        <x:v>0</x:v>
      </x:c>
      <x:c r="Q564" s="22" t="n">
        <x:v>0</x:v>
      </x:c>
      <x:c r="R564" s="37" t="n">
        <x:f>IF(AND(P564=1,Q564=1),MIN(F564,M564,R563),0)</x:f>
        <x:v>0</x:v>
      </x:c>
      <x:c r="S564" s="23" t="str">
        <x:f>IF(R564&gt;=F564,"ADMITTED","NOT ADMITTED")</x:f>
        <x:v>NOT ADMITTED</x:v>
      </x:c>
    </x:row>
    <x:row r="565">
      <x:c r="B565" s="21" t="str">
        <x:v>SL-0559</x:v>
      </x:c>
      <x:c r="C565" s="21" t="str">
        <x:v>F47</x:v>
      </x:c>
      <x:c r="D565" s="21" t="n">
        <x:v>7</x:v>
      </x:c>
      <x:c r="E565" s="21" t="str">
        <x:v>Independent acceptance</x:v>
      </x:c>
      <x:c r="F565" s="37" t="n">
        <x:f>'Family Register'!L53</x:f>
        <x:v>12</x:v>
      </x:c>
      <x:c r="G565" s="37" t="n">
        <x:f>INDEX(Scenarios!$L$7:$L$12,Assumptions!C7)</x:f>
        <x:v>0.8</x:v>
      </x:c>
      <x:c r="H565" s="37" t="n">
        <x:f>'Family Register'!G53*'Family Register'!I53*G565</x:f>
        <x:v>13.92</x:v>
      </x:c>
      <x:c r="I565" s="37" t="n">
        <x:f>J564</x:f>
        <x:v>12</x:v>
      </x:c>
      <x:c r="J565" s="37" t="n">
        <x:f>MIN(F565,H565,I565)</x:f>
        <x:v>12</x:v>
      </x:c>
      <x:c r="K565" s="22" t="n">
        <x:v>0</x:v>
      </x:c>
      <x:c r="L565" s="22" t="n">
        <x:v>0</x:v>
      </x:c>
      <x:c r="M565" s="37" t="n">
        <x:f>K565*L565</x:f>
        <x:v>0</x:v>
      </x:c>
      <x:c r="N565" s="22" t="n">
        <x:v>0</x:v>
      </x:c>
      <x:c r="O565" s="37" t="n">
        <x:f>'Family Register'!H53*0.65</x:f>
        <x:v>468</x:v>
      </x:c>
      <x:c r="P565" s="37" t="n">
        <x:f>IF(AND(N565&gt;0,N565&lt;=O565),1,0)</x:f>
        <x:v>0</x:v>
      </x:c>
      <x:c r="Q565" s="22" t="n">
        <x:v>0</x:v>
      </x:c>
      <x:c r="R565" s="37" t="n">
        <x:f>IF(AND(P565=1,Q565=1),MIN(F565,M565,R564),0)</x:f>
        <x:v>0</x:v>
      </x:c>
      <x:c r="S565" s="23" t="str">
        <x:f>IF(R565&gt;=F565,"ADMITTED","NOT ADMITTED")</x:f>
        <x:v>NOT ADMITTED</x:v>
      </x:c>
    </x:row>
    <x:row r="566">
      <x:c r="B566" s="21" t="str">
        <x:v>SL-0560</x:v>
      </x:c>
      <x:c r="C566" s="21" t="str">
        <x:v>F47</x:v>
      </x:c>
      <x:c r="D566" s="21" t="n">
        <x:v>8</x:v>
      </x:c>
      <x:c r="E566" s="21" t="str">
        <x:v>Loadout and custody transfer</x:v>
      </x:c>
      <x:c r="F566" s="37" t="n">
        <x:f>'Family Register'!L53</x:f>
        <x:v>12</x:v>
      </x:c>
      <x:c r="G566" s="37" t="n">
        <x:f>INDEX(Scenarios!$H$7:$H$12,Assumptions!C7)</x:f>
        <x:v>0.65</x:v>
      </x:c>
      <x:c r="H566" s="37" t="n">
        <x:f>'Family Register'!G53*'Family Register'!I53*G566</x:f>
        <x:v>11.309999999999999</x:v>
      </x:c>
      <x:c r="I566" s="37" t="n">
        <x:f>J565</x:f>
        <x:v>12</x:v>
      </x:c>
      <x:c r="J566" s="37" t="n">
        <x:f>MIN(F566,H566,I566)</x:f>
        <x:v>11.309999999999999</x:v>
      </x:c>
      <x:c r="K566" s="22" t="n">
        <x:v>0</x:v>
      </x:c>
      <x:c r="L566" s="22" t="n">
        <x:v>0</x:v>
      </x:c>
      <x:c r="M566" s="37" t="n">
        <x:f>K566*L566</x:f>
        <x:v>0</x:v>
      </x:c>
      <x:c r="N566" s="22" t="n">
        <x:v>0</x:v>
      </x:c>
      <x:c r="O566" s="37" t="n">
        <x:f>'Family Register'!H53*0.7</x:f>
        <x:v>503.99999999999994</x:v>
      </x:c>
      <x:c r="P566" s="37" t="n">
        <x:f>IF(AND(N566&gt;0,N566&lt;=O566),1,0)</x:f>
        <x:v>0</x:v>
      </x:c>
      <x:c r="Q566" s="22" t="n">
        <x:v>0</x:v>
      </x:c>
      <x:c r="R566" s="37" t="n">
        <x:f>IF(AND(P566=1,Q566=1),MIN(F566,M566,R565),0)</x:f>
        <x:v>0</x:v>
      </x:c>
      <x:c r="S566" s="23" t="str">
        <x:f>IF(R566&gt;=F566,"ADMITTED","NOT ADMITTED")</x:f>
        <x:v>NOT ADMITTED</x:v>
      </x:c>
    </x:row>
    <x:row r="567">
      <x:c r="B567" s="21" t="str">
        <x:v>SL-0561</x:v>
      </x:c>
      <x:c r="C567" s="21" t="str">
        <x:v>F47</x:v>
      </x:c>
      <x:c r="D567" s="21" t="n">
        <x:v>9</x:v>
      </x:c>
      <x:c r="E567" s="21" t="str">
        <x:v>Strategic transport</x:v>
      </x:c>
      <x:c r="F567" s="37" t="n">
        <x:f>'Family Register'!L53</x:f>
        <x:v>12</x:v>
      </x:c>
      <x:c r="G567" s="37" t="n">
        <x:f>INDEX(Scenarios!$H$7:$H$12,Assumptions!C7)</x:f>
        <x:v>0.65</x:v>
      </x:c>
      <x:c r="H567" s="37" t="n">
        <x:f>'Family Register'!G53*'Family Register'!I53*G567</x:f>
        <x:v>11.309999999999999</x:v>
      </x:c>
      <x:c r="I567" s="37" t="n">
        <x:f>J566</x:f>
        <x:v>11.309999999999999</x:v>
      </x:c>
      <x:c r="J567" s="37" t="n">
        <x:f>MIN(F567,H567,I567)</x:f>
        <x:v>11.309999999999999</x:v>
      </x:c>
      <x:c r="K567" s="22" t="n">
        <x:v>0</x:v>
      </x:c>
      <x:c r="L567" s="22" t="n">
        <x:v>0</x:v>
      </x:c>
      <x:c r="M567" s="37" t="n">
        <x:f>K567*L567</x:f>
        <x:v>0</x:v>
      </x:c>
      <x:c r="N567" s="22" t="n">
        <x:v>0</x:v>
      </x:c>
      <x:c r="O567" s="37" t="n">
        <x:f>'Family Register'!H53*0.9</x:f>
        <x:v>648</x:v>
      </x:c>
      <x:c r="P567" s="37" t="n">
        <x:f>IF(AND(N567&gt;0,N567&lt;=O567),1,0)</x:f>
        <x:v>0</x:v>
      </x:c>
      <x:c r="Q567" s="22" t="n">
        <x:v>0</x:v>
      </x:c>
      <x:c r="R567" s="37" t="n">
        <x:f>IF(AND(P567=1,Q567=1),MIN(F567,M567,R566),0)</x:f>
        <x:v>0</x:v>
      </x:c>
      <x:c r="S567" s="23" t="str">
        <x:f>IF(R567&gt;=F567,"ADMITTED","NOT ADMITTED")</x:f>
        <x:v>NOT ADMITTED</x:v>
      </x:c>
    </x:row>
    <x:row r="568">
      <x:c r="B568" s="21" t="str">
        <x:v>SL-0562</x:v>
      </x:c>
      <x:c r="C568" s="21" t="str">
        <x:v>F47</x:v>
      </x:c>
      <x:c r="D568" s="21" t="n">
        <x:v>10</x:v>
      </x:c>
      <x:c r="E568" s="21" t="str">
        <x:v>Receiving-node admission</x:v>
      </x:c>
      <x:c r="F568" s="37" t="n">
        <x:f>'Family Register'!L53</x:f>
        <x:v>12</x:v>
      </x:c>
      <x:c r="G568" s="37" t="n">
        <x:f>INDEX(Scenarios!$I$7:$I$12,Assumptions!C7)</x:f>
        <x:v>0.75</x:v>
      </x:c>
      <x:c r="H568" s="37" t="n">
        <x:f>'Family Register'!G53*'Family Register'!I53*G568</x:f>
        <x:v>13.049999999999999</x:v>
      </x:c>
      <x:c r="I568" s="37" t="n">
        <x:f>J567</x:f>
        <x:v>11.309999999999999</x:v>
      </x:c>
      <x:c r="J568" s="37" t="n">
        <x:f>MIN(F568,H568,I568)</x:f>
        <x:v>11.309999999999999</x:v>
      </x:c>
      <x:c r="K568" s="22" t="n">
        <x:v>0</x:v>
      </x:c>
      <x:c r="L568" s="22" t="n">
        <x:v>0</x:v>
      </x:c>
      <x:c r="M568" s="37" t="n">
        <x:f>K568*L568</x:f>
        <x:v>0</x:v>
      </x:c>
      <x:c r="N568" s="22" t="n">
        <x:v>0</x:v>
      </x:c>
      <x:c r="O568" s="37" t="n">
        <x:f>'Family Register'!H53*0.94</x:f>
        <x:v>676.8</x:v>
      </x:c>
      <x:c r="P568" s="37" t="n">
        <x:f>IF(AND(N568&gt;0,N568&lt;=O568),1,0)</x:f>
        <x:v>0</x:v>
      </x:c>
      <x:c r="Q568" s="22" t="n">
        <x:v>0</x:v>
      </x:c>
      <x:c r="R568" s="37" t="n">
        <x:f>IF(AND(P568=1,Q568=1),MIN(F568,M568,R567),0)</x:f>
        <x:v>0</x:v>
      </x:c>
      <x:c r="S568" s="23" t="str">
        <x:f>IF(R568&gt;=F568,"ADMITTED","NOT ADMITTED")</x:f>
        <x:v>NOT ADMITTED</x:v>
      </x:c>
    </x:row>
    <x:row r="569">
      <x:c r="B569" s="21" t="str">
        <x:v>SL-0563</x:v>
      </x:c>
      <x:c r="C569" s="21" t="str">
        <x:v>F47</x:v>
      </x:c>
      <x:c r="D569" s="21" t="n">
        <x:v>11</x:v>
      </x:c>
      <x:c r="E569" s="21" t="str">
        <x:v>Commissioned public service</x:v>
      </x:c>
      <x:c r="F569" s="37" t="n">
        <x:f>'Family Register'!L53</x:f>
        <x:v>12</x:v>
      </x:c>
      <x:c r="G569" s="37" t="n">
        <x:f>MIN(INDEX(Scenarios!$G$7:$G$12,Assumptions!C7),INDEX(Scenarios!$I$7:$I$12,Assumptions!C7))</x:f>
        <x:v>0.7</x:v>
      </x:c>
      <x:c r="H569" s="37" t="n">
        <x:f>'Family Register'!G53*'Family Register'!I53*G569</x:f>
        <x:v>12.179999999999998</x:v>
      </x:c>
      <x:c r="I569" s="37" t="n">
        <x:f>J568</x:f>
        <x:v>11.309999999999999</x:v>
      </x:c>
      <x:c r="J569" s="37" t="n">
        <x:f>MIN(F569,H569,I569)</x:f>
        <x:v>11.309999999999999</x:v>
      </x:c>
      <x:c r="K569" s="22" t="n">
        <x:v>0</x:v>
      </x:c>
      <x:c r="L569" s="22" t="n">
        <x:v>0</x:v>
      </x:c>
      <x:c r="M569" s="37" t="n">
        <x:f>K569*L569</x:f>
        <x:v>0</x:v>
      </x:c>
      <x:c r="N569" s="22" t="n">
        <x:v>0</x:v>
      </x:c>
      <x:c r="O569" s="37" t="n">
        <x:f>'Family Register'!H53*1</x:f>
        <x:v>720</x:v>
      </x:c>
      <x:c r="P569" s="37" t="n">
        <x:f>IF(AND(N569&gt;0,N569&lt;=O569),1,0)</x:f>
        <x:v>0</x:v>
      </x:c>
      <x:c r="Q569" s="22" t="n">
        <x:v>0</x:v>
      </x:c>
      <x:c r="R569" s="37" t="n">
        <x:f>IF(AND(P569=1,Q569=1),MIN(F569,M569,R568),0)</x:f>
        <x:v>0</x:v>
      </x:c>
      <x:c r="S569" s="23" t="str">
        <x:f>IF(R569&gt;=F569,"ADMITTED","NOT ADMITTED")</x:f>
        <x:v>NOT ADMITTED</x:v>
      </x:c>
    </x:row>
    <x:row r="570">
      <x:c r="B570" s="21" t="str">
        <x:v>SL-0564</x:v>
      </x:c>
      <x:c r="C570" s="21" t="str">
        <x:v>F47</x:v>
      </x:c>
      <x:c r="D570" s="21" t="n">
        <x:v>12</x:v>
      </x:c>
      <x:c r="E570" s="21" t="str">
        <x:v>Regeneration and replacement</x:v>
      </x:c>
      <x:c r="F570" s="37" t="n">
        <x:f>'Family Register'!L53</x:f>
        <x:v>12</x:v>
      </x:c>
      <x:c r="G570" s="37" t="n">
        <x:f>MIN(INDEX(Scenarios!$E$7:$E$12,Assumptions!C7),INDEX(Scenarios!$F$7:$F$12,Assumptions!C7))</x:f>
        <x:v>0.7</x:v>
      </x:c>
      <x:c r="H570" s="37" t="n">
        <x:f>'Family Register'!G53*'Family Register'!I53*G570</x:f>
        <x:v>12.179999999999998</x:v>
      </x:c>
      <x:c r="I570" s="37" t="n">
        <x:f>J569</x:f>
        <x:v>11.309999999999999</x:v>
      </x:c>
      <x:c r="J570" s="37" t="n">
        <x:f>MIN(F570,H570,I570)</x:f>
        <x:v>11.309999999999999</x:v>
      </x:c>
      <x:c r="K570" s="22" t="n">
        <x:v>0</x:v>
      </x:c>
      <x:c r="L570" s="22" t="n">
        <x:v>0</x:v>
      </x:c>
      <x:c r="M570" s="37" t="n">
        <x:f>K570*L570</x:f>
        <x:v>0</x:v>
      </x:c>
      <x:c r="N570" s="22" t="n">
        <x:v>0</x:v>
      </x:c>
      <x:c r="O570" s="37" t="n">
        <x:f>'Family Register'!H53+168</x:f>
        <x:v>888</x:v>
      </x:c>
      <x:c r="P570" s="37" t="n">
        <x:f>IF(AND(N570&gt;0,N570&lt;=O570),1,0)</x:f>
        <x:v>0</x:v>
      </x:c>
      <x:c r="Q570" s="22" t="n">
        <x:v>0</x:v>
      </x:c>
      <x:c r="R570" s="37" t="n">
        <x:f>IF(AND(P570=1,Q570=1),MIN(F570,M570,R569),0)</x:f>
        <x:v>0</x:v>
      </x:c>
      <x:c r="S570" s="23" t="str">
        <x:f>IF(R570&gt;=F570,"ADMITTED","NOT ADMITTED")</x:f>
        <x:v>NOT ADMITTED</x:v>
      </x:c>
    </x:row>
    <x:row r="571">
      <x:c r="B571" s="21" t="str">
        <x:v>SL-0565</x:v>
      </x:c>
      <x:c r="C571" s="21" t="str">
        <x:v>F48</x:v>
      </x:c>
      <x:c r="D571" s="21" t="n">
        <x:v>1</x:v>
      </x:c>
      <x:c r="E571" s="21" t="str">
        <x:v>Alert authentication</x:v>
      </x:c>
      <x:c r="F571" s="37" t="n">
        <x:f>'Family Register'!L54</x:f>
        <x:v>12</x:v>
      </x:c>
      <x:c r="G571" s="37" t="n">
        <x:f>INDEX(Scenarios!$K$7:$K$12,Assumptions!C7)</x:f>
        <x:v>0.75</x:v>
      </x:c>
      <x:c r="H571" s="37" t="n">
        <x:f>'Family Register'!G54*'Family Register'!I54*G571</x:f>
        <x:v>14.400000000000002</x:v>
      </x:c>
      <x:c r="I571" s="37" t="n">
        <x:f>F571</x:f>
        <x:v>12</x:v>
      </x:c>
      <x:c r="J571" s="37" t="n">
        <x:f>MIN(F571,H571,I571)</x:f>
        <x:v>12</x:v>
      </x:c>
      <x:c r="K571" s="22" t="n">
        <x:v>0</x:v>
      </x:c>
      <x:c r="L571" s="22" t="n">
        <x:v>0</x:v>
      </x:c>
      <x:c r="M571" s="37" t="n">
        <x:f>K571*L571</x:f>
        <x:v>0</x:v>
      </x:c>
      <x:c r="N571" s="22" t="n">
        <x:v>0</x:v>
      </x:c>
      <x:c r="O571" s="37" t="n">
        <x:f>2</x:f>
        <x:v>2</x:v>
      </x:c>
      <x:c r="P571" s="37" t="n">
        <x:f>IF(AND(N571&gt;0,N571&lt;=O571),1,0)</x:f>
        <x:v>0</x:v>
      </x:c>
      <x:c r="Q571" s="22" t="n">
        <x:v>0</x:v>
      </x:c>
      <x:c r="R571" s="37" t="n">
        <x:f>IF(AND(P571=1,Q571=1),MIN(F571,M571),0)</x:f>
        <x:v>0</x:v>
      </x:c>
      <x:c r="S571" s="23" t="str">
        <x:f>IF(R571&gt;=F571,"ADMITTED","NOT ADMITTED")</x:f>
        <x:v>NOT ADMITTED</x:v>
      </x:c>
    </x:row>
    <x:row r="572">
      <x:c r="B572" s="21" t="str">
        <x:v>SL-0566</x:v>
      </x:c>
      <x:c r="C572" s="21" t="str">
        <x:v>F48</x:v>
      </x:c>
      <x:c r="D572" s="21" t="n">
        <x:v>2</x:v>
      </x:c>
      <x:c r="E572" s="21" t="str">
        <x:v>Workforce muster</x:v>
      </x:c>
      <x:c r="F572" s="37" t="n">
        <x:f>'Family Register'!L54</x:f>
        <x:v>12</x:v>
      </x:c>
      <x:c r="G572" s="37" t="n">
        <x:f>INDEX(Scenarios!$J$7:$J$12,Assumptions!C7)</x:f>
        <x:v>0.8</x:v>
      </x:c>
      <x:c r="H572" s="37" t="n">
        <x:f>'Family Register'!G54*'Family Register'!I54*G572</x:f>
        <x:v>15.360000000000003</x:v>
      </x:c>
      <x:c r="I572" s="37" t="n">
        <x:f>J571</x:f>
        <x:v>12</x:v>
      </x:c>
      <x:c r="J572" s="37" t="n">
        <x:f>MIN(F572,H572,I572)</x:f>
        <x:v>12</x:v>
      </x:c>
      <x:c r="K572" s="22" t="n">
        <x:v>0</x:v>
      </x:c>
      <x:c r="L572" s="22" t="n">
        <x:v>0</x:v>
      </x:c>
      <x:c r="M572" s="37" t="n">
        <x:f>K572*L572</x:f>
        <x:v>0</x:v>
      </x:c>
      <x:c r="N572" s="22" t="n">
        <x:v>0</x:v>
      </x:c>
      <x:c r="O572" s="37" t="n">
        <x:f>12</x:f>
        <x:v>12</x:v>
      </x:c>
      <x:c r="P572" s="37" t="n">
        <x:f>IF(AND(N572&gt;0,N572&lt;=O572),1,0)</x:f>
        <x:v>0</x:v>
      </x:c>
      <x:c r="Q572" s="22" t="n">
        <x:v>0</x:v>
      </x:c>
      <x:c r="R572" s="37" t="n">
        <x:f>IF(AND(P572=1,Q572=1),MIN(F572,M572,R571),0)</x:f>
        <x:v>0</x:v>
      </x:c>
      <x:c r="S572" s="23" t="str">
        <x:f>IF(R572&gt;=F572,"ADMITTED","NOT ADMITTED")</x:f>
        <x:v>NOT ADMITTED</x:v>
      </x:c>
    </x:row>
    <x:row r="573">
      <x:c r="B573" s="21" t="str">
        <x:v>SL-0567</x:v>
      </x:c>
      <x:c r="C573" s="21" t="str">
        <x:v>F48</x:v>
      </x:c>
      <x:c r="D573" s="21" t="n">
        <x:v>3</x:v>
      </x:c>
      <x:c r="E573" s="21" t="str">
        <x:v>Facility utility and safe start</x:v>
      </x:c>
      <x:c r="F573" s="37" t="n">
        <x:f>'Family Register'!L54</x:f>
        <x:v>12</x:v>
      </x:c>
      <x:c r="G573" s="37" t="n">
        <x:f>INDEX(Scenarios!$G$7:$G$12,Assumptions!C7)</x:f>
        <x:v>0.7</x:v>
      </x:c>
      <x:c r="H573" s="37" t="n">
        <x:f>'Family Register'!G54*'Family Register'!I54*G573</x:f>
        <x:v>13.440000000000001</x:v>
      </x:c>
      <x:c r="I573" s="37" t="n">
        <x:f>J572</x:f>
        <x:v>12</x:v>
      </x:c>
      <x:c r="J573" s="37" t="n">
        <x:f>MIN(F573,H573,I573)</x:f>
        <x:v>12</x:v>
      </x:c>
      <x:c r="K573" s="22" t="n">
        <x:v>0</x:v>
      </x:c>
      <x:c r="L573" s="22" t="n">
        <x:v>0</x:v>
      </x:c>
      <x:c r="M573" s="37" t="n">
        <x:f>K573*L573</x:f>
        <x:v>0</x:v>
      </x:c>
      <x:c r="N573" s="22" t="n">
        <x:v>0</x:v>
      </x:c>
      <x:c r="O573" s="37" t="n">
        <x:f>24</x:f>
        <x:v>24</x:v>
      </x:c>
      <x:c r="P573" s="37" t="n">
        <x:f>IF(AND(N573&gt;0,N573&lt;=O573),1,0)</x:f>
        <x:v>0</x:v>
      </x:c>
      <x:c r="Q573" s="22" t="n">
        <x:v>0</x:v>
      </x:c>
      <x:c r="R573" s="37" t="n">
        <x:f>IF(AND(P573=1,Q573=1),MIN(F573,M573,R572),0)</x:f>
        <x:v>0</x:v>
      </x:c>
      <x:c r="S573" s="23" t="str">
        <x:f>IF(R573&gt;=F573,"ADMITTED","NOT ADMITTED")</x:f>
        <x:v>NOT ADMITTED</x:v>
      </x:c>
    </x:row>
    <x:row r="574">
      <x:c r="B574" s="21" t="str">
        <x:v>SL-0568</x:v>
      </x:c>
      <x:c r="C574" s="21" t="str">
        <x:v>F48</x:v>
      </x:c>
      <x:c r="D574" s="21" t="n">
        <x:v>4</x:v>
      </x:c>
      <x:c r="E574" s="21" t="str">
        <x:v>Material tooling and instrument release</x:v>
      </x:c>
      <x:c r="F574" s="37" t="n">
        <x:f>'Family Register'!L54</x:f>
        <x:v>12</x:v>
      </x:c>
      <x:c r="G574" s="37" t="n">
        <x:f>INDEX(Scenarios!$E$7:$E$12,Assumptions!C7)</x:f>
        <x:v>0.75</x:v>
      </x:c>
      <x:c r="H574" s="37" t="n">
        <x:f>'Family Register'!G54*'Family Register'!I54*G574</x:f>
        <x:v>14.400000000000002</x:v>
      </x:c>
      <x:c r="I574" s="37" t="n">
        <x:f>J573</x:f>
        <x:v>12</x:v>
      </x:c>
      <x:c r="J574" s="37" t="n">
        <x:f>MIN(F574,H574,I574)</x:f>
        <x:v>12</x:v>
      </x:c>
      <x:c r="K574" s="22" t="n">
        <x:v>0</x:v>
      </x:c>
      <x:c r="L574" s="22" t="n">
        <x:v>0</x:v>
      </x:c>
      <x:c r="M574" s="37" t="n">
        <x:f>K574*L574</x:f>
        <x:v>0</x:v>
      </x:c>
      <x:c r="N574" s="22" t="n">
        <x:v>0</x:v>
      </x:c>
      <x:c r="O574" s="37" t="n">
        <x:f>36</x:f>
        <x:v>36</x:v>
      </x:c>
      <x:c r="P574" s="37" t="n">
        <x:f>IF(AND(N574&gt;0,N574&lt;=O574),1,0)</x:f>
        <x:v>0</x:v>
      </x:c>
      <x:c r="Q574" s="22" t="n">
        <x:v>0</x:v>
      </x:c>
      <x:c r="R574" s="37" t="n">
        <x:f>IF(AND(P574=1,Q574=1),MIN(F574,M574,R573),0)</x:f>
        <x:v>0</x:v>
      </x:c>
      <x:c r="S574" s="23" t="str">
        <x:f>IF(R574&gt;=F574,"ADMITTED","NOT ADMITTED")</x:f>
        <x:v>NOT ADMITTED</x:v>
      </x:c>
    </x:row>
    <x:row r="575">
      <x:c r="B575" s="21" t="str">
        <x:v>SL-0569</x:v>
      </x:c>
      <x:c r="C575" s="21" t="str">
        <x:v>F48</x:v>
      </x:c>
      <x:c r="D575" s="21" t="n">
        <x:v>5</x:v>
      </x:c>
      <x:c r="E575" s="21" t="str">
        <x:v>Supplier and process activation</x:v>
      </x:c>
      <x:c r="F575" s="37" t="n">
        <x:f>'Family Register'!L54</x:f>
        <x:v>12</x:v>
      </x:c>
      <x:c r="G575" s="37" t="n">
        <x:f>MIN(INDEX(Scenarios!$E$7:$E$12,Assumptions!C7),INDEX(Scenarios!$F$7:$F$12,Assumptions!C7))</x:f>
        <x:v>0.7</x:v>
      </x:c>
      <x:c r="H575" s="37" t="n">
        <x:f>'Family Register'!G54*'Family Register'!I54*G575</x:f>
        <x:v>13.440000000000001</x:v>
      </x:c>
      <x:c r="I575" s="37" t="n">
        <x:f>J574</x:f>
        <x:v>12</x:v>
      </x:c>
      <x:c r="J575" s="37" t="n">
        <x:f>MIN(F575,H575,I575)</x:f>
        <x:v>12</x:v>
      </x:c>
      <x:c r="K575" s="22" t="n">
        <x:v>0</x:v>
      </x:c>
      <x:c r="L575" s="22" t="n">
        <x:v>0</x:v>
      </x:c>
      <x:c r="M575" s="37" t="n">
        <x:f>K575*L575</x:f>
        <x:v>0</x:v>
      </x:c>
      <x:c r="N575" s="22" t="n">
        <x:v>0</x:v>
      </x:c>
      <x:c r="O575" s="37" t="n">
        <x:f>48</x:f>
        <x:v>48</x:v>
      </x:c>
      <x:c r="P575" s="37" t="n">
        <x:f>IF(AND(N575&gt;0,N575&lt;=O575),1,0)</x:f>
        <x:v>0</x:v>
      </x:c>
      <x:c r="Q575" s="22" t="n">
        <x:v>0</x:v>
      </x:c>
      <x:c r="R575" s="37" t="n">
        <x:f>IF(AND(P575=1,Q575=1),MIN(F575,M575,R574),0)</x:f>
        <x:v>0</x:v>
      </x:c>
      <x:c r="S575" s="23" t="str">
        <x:f>IF(R575&gt;=F575,"ADMITTED","NOT ADMITTED")</x:f>
        <x:v>NOT ADMITTED</x:v>
      </x:c>
    </x:row>
    <x:row r="576">
      <x:c r="B576" s="21" t="str">
        <x:v>SL-0570</x:v>
      </x:c>
      <x:c r="C576" s="21" t="str">
        <x:v>F48</x:v>
      </x:c>
      <x:c r="D576" s="21" t="n">
        <x:v>6</x:v>
      </x:c>
      <x:c r="E576" s="21" t="str">
        <x:v>Conforming production</x:v>
      </x:c>
      <x:c r="F576" s="37" t="n">
        <x:f>'Family Register'!L54</x:f>
        <x:v>12</x:v>
      </x:c>
      <x:c r="G576" s="37" t="n">
        <x:f>INDEX(Scenarios!$F$7:$F$12,Assumptions!C7)</x:f>
        <x:v>0.7</x:v>
      </x:c>
      <x:c r="H576" s="37" t="n">
        <x:f>'Family Register'!G54*'Family Register'!I54*G576</x:f>
        <x:v>13.440000000000001</x:v>
      </x:c>
      <x:c r="I576" s="37" t="n">
        <x:f>J575</x:f>
        <x:v>12</x:v>
      </x:c>
      <x:c r="J576" s="37" t="n">
        <x:f>MIN(F576,H576,I576)</x:f>
        <x:v>12</x:v>
      </x:c>
      <x:c r="K576" s="22" t="n">
        <x:v>0</x:v>
      </x:c>
      <x:c r="L576" s="22" t="n">
        <x:v>0</x:v>
      </x:c>
      <x:c r="M576" s="37" t="n">
        <x:f>K576*L576</x:f>
        <x:v>0</x:v>
      </x:c>
      <x:c r="N576" s="22" t="n">
        <x:v>0</x:v>
      </x:c>
      <x:c r="O576" s="37" t="n">
        <x:f>'Family Register'!H54*0.55</x:f>
        <x:v>92.4</x:v>
      </x:c>
      <x:c r="P576" s="37" t="n">
        <x:f>IF(AND(N576&gt;0,N576&lt;=O576),1,0)</x:f>
        <x:v>0</x:v>
      </x:c>
      <x:c r="Q576" s="22" t="n">
        <x:v>0</x:v>
      </x:c>
      <x:c r="R576" s="37" t="n">
        <x:f>IF(AND(P576=1,Q576=1),MIN(F576,M576,R575),0)</x:f>
        <x:v>0</x:v>
      </x:c>
      <x:c r="S576" s="23" t="str">
        <x:f>IF(R576&gt;=F576,"ADMITTED","NOT ADMITTED")</x:f>
        <x:v>NOT ADMITTED</x:v>
      </x:c>
    </x:row>
    <x:row r="577">
      <x:c r="B577" s="21" t="str">
        <x:v>SL-0571</x:v>
      </x:c>
      <x:c r="C577" s="21" t="str">
        <x:v>F48</x:v>
      </x:c>
      <x:c r="D577" s="21" t="n">
        <x:v>7</x:v>
      </x:c>
      <x:c r="E577" s="21" t="str">
        <x:v>Independent acceptance</x:v>
      </x:c>
      <x:c r="F577" s="37" t="n">
        <x:f>'Family Register'!L54</x:f>
        <x:v>12</x:v>
      </x:c>
      <x:c r="G577" s="37" t="n">
        <x:f>INDEX(Scenarios!$L$7:$L$12,Assumptions!C7)</x:f>
        <x:v>0.8</x:v>
      </x:c>
      <x:c r="H577" s="37" t="n">
        <x:f>'Family Register'!G54*'Family Register'!I54*G577</x:f>
        <x:v>15.360000000000003</x:v>
      </x:c>
      <x:c r="I577" s="37" t="n">
        <x:f>J576</x:f>
        <x:v>12</x:v>
      </x:c>
      <x:c r="J577" s="37" t="n">
        <x:f>MIN(F577,H577,I577)</x:f>
        <x:v>12</x:v>
      </x:c>
      <x:c r="K577" s="22" t="n">
        <x:v>0</x:v>
      </x:c>
      <x:c r="L577" s="22" t="n">
        <x:v>0</x:v>
      </x:c>
      <x:c r="M577" s="37" t="n">
        <x:f>K577*L577</x:f>
        <x:v>0</x:v>
      </x:c>
      <x:c r="N577" s="22" t="n">
        <x:v>0</x:v>
      </x:c>
      <x:c r="O577" s="37" t="n">
        <x:f>'Family Register'!H54*0.65</x:f>
        <x:v>109.2</x:v>
      </x:c>
      <x:c r="P577" s="37" t="n">
        <x:f>IF(AND(N577&gt;0,N577&lt;=O577),1,0)</x:f>
        <x:v>0</x:v>
      </x:c>
      <x:c r="Q577" s="22" t="n">
        <x:v>0</x:v>
      </x:c>
      <x:c r="R577" s="37" t="n">
        <x:f>IF(AND(P577=1,Q577=1),MIN(F577,M577,R576),0)</x:f>
        <x:v>0</x:v>
      </x:c>
      <x:c r="S577" s="23" t="str">
        <x:f>IF(R577&gt;=F577,"ADMITTED","NOT ADMITTED")</x:f>
        <x:v>NOT ADMITTED</x:v>
      </x:c>
    </x:row>
    <x:row r="578">
      <x:c r="B578" s="21" t="str">
        <x:v>SL-0572</x:v>
      </x:c>
      <x:c r="C578" s="21" t="str">
        <x:v>F48</x:v>
      </x:c>
      <x:c r="D578" s="21" t="n">
        <x:v>8</x:v>
      </x:c>
      <x:c r="E578" s="21" t="str">
        <x:v>Loadout and custody transfer</x:v>
      </x:c>
      <x:c r="F578" s="37" t="n">
        <x:f>'Family Register'!L54</x:f>
        <x:v>12</x:v>
      </x:c>
      <x:c r="G578" s="37" t="n">
        <x:f>INDEX(Scenarios!$H$7:$H$12,Assumptions!C7)</x:f>
        <x:v>0.65</x:v>
      </x:c>
      <x:c r="H578" s="37" t="n">
        <x:f>'Family Register'!G54*'Family Register'!I54*G578</x:f>
        <x:v>12.480000000000002</x:v>
      </x:c>
      <x:c r="I578" s="37" t="n">
        <x:f>J577</x:f>
        <x:v>12</x:v>
      </x:c>
      <x:c r="J578" s="37" t="n">
        <x:f>MIN(F578,H578,I578)</x:f>
        <x:v>12</x:v>
      </x:c>
      <x:c r="K578" s="22" t="n">
        <x:v>0</x:v>
      </x:c>
      <x:c r="L578" s="22" t="n">
        <x:v>0</x:v>
      </x:c>
      <x:c r="M578" s="37" t="n">
        <x:f>K578*L578</x:f>
        <x:v>0</x:v>
      </x:c>
      <x:c r="N578" s="22" t="n">
        <x:v>0</x:v>
      </x:c>
      <x:c r="O578" s="37" t="n">
        <x:f>'Family Register'!H54*0.7</x:f>
        <x:v>117.6</x:v>
      </x:c>
      <x:c r="P578" s="37" t="n">
        <x:f>IF(AND(N578&gt;0,N578&lt;=O578),1,0)</x:f>
        <x:v>0</x:v>
      </x:c>
      <x:c r="Q578" s="22" t="n">
        <x:v>0</x:v>
      </x:c>
      <x:c r="R578" s="37" t="n">
        <x:f>IF(AND(P578=1,Q578=1),MIN(F578,M578,R577),0)</x:f>
        <x:v>0</x:v>
      </x:c>
      <x:c r="S578" s="23" t="str">
        <x:f>IF(R578&gt;=F578,"ADMITTED","NOT ADMITTED")</x:f>
        <x:v>NOT ADMITTED</x:v>
      </x:c>
    </x:row>
    <x:row r="579">
      <x:c r="B579" s="21" t="str">
        <x:v>SL-0573</x:v>
      </x:c>
      <x:c r="C579" s="21" t="str">
        <x:v>F48</x:v>
      </x:c>
      <x:c r="D579" s="21" t="n">
        <x:v>9</x:v>
      </x:c>
      <x:c r="E579" s="21" t="str">
        <x:v>Strategic transport</x:v>
      </x:c>
      <x:c r="F579" s="37" t="n">
        <x:f>'Family Register'!L54</x:f>
        <x:v>12</x:v>
      </x:c>
      <x:c r="G579" s="37" t="n">
        <x:f>INDEX(Scenarios!$H$7:$H$12,Assumptions!C7)</x:f>
        <x:v>0.65</x:v>
      </x:c>
      <x:c r="H579" s="37" t="n">
        <x:f>'Family Register'!G54*'Family Register'!I54*G579</x:f>
        <x:v>12.480000000000002</x:v>
      </x:c>
      <x:c r="I579" s="37" t="n">
        <x:f>J578</x:f>
        <x:v>12</x:v>
      </x:c>
      <x:c r="J579" s="37" t="n">
        <x:f>MIN(F579,H579,I579)</x:f>
        <x:v>12</x:v>
      </x:c>
      <x:c r="K579" s="22" t="n">
        <x:v>0</x:v>
      </x:c>
      <x:c r="L579" s="22" t="n">
        <x:v>0</x:v>
      </x:c>
      <x:c r="M579" s="37" t="n">
        <x:f>K579*L579</x:f>
        <x:v>0</x:v>
      </x:c>
      <x:c r="N579" s="22" t="n">
        <x:v>0</x:v>
      </x:c>
      <x:c r="O579" s="37" t="n">
        <x:f>'Family Register'!H54*0.9</x:f>
        <x:v>151.20000000000002</x:v>
      </x:c>
      <x:c r="P579" s="37" t="n">
        <x:f>IF(AND(N579&gt;0,N579&lt;=O579),1,0)</x:f>
        <x:v>0</x:v>
      </x:c>
      <x:c r="Q579" s="22" t="n">
        <x:v>0</x:v>
      </x:c>
      <x:c r="R579" s="37" t="n">
        <x:f>IF(AND(P579=1,Q579=1),MIN(F579,M579,R578),0)</x:f>
        <x:v>0</x:v>
      </x:c>
      <x:c r="S579" s="23" t="str">
        <x:f>IF(R579&gt;=F579,"ADMITTED","NOT ADMITTED")</x:f>
        <x:v>NOT ADMITTED</x:v>
      </x:c>
    </x:row>
    <x:row r="580">
      <x:c r="B580" s="21" t="str">
        <x:v>SL-0574</x:v>
      </x:c>
      <x:c r="C580" s="21" t="str">
        <x:v>F48</x:v>
      </x:c>
      <x:c r="D580" s="21" t="n">
        <x:v>10</x:v>
      </x:c>
      <x:c r="E580" s="21" t="str">
        <x:v>Receiving-node admission</x:v>
      </x:c>
      <x:c r="F580" s="37" t="n">
        <x:f>'Family Register'!L54</x:f>
        <x:v>12</x:v>
      </x:c>
      <x:c r="G580" s="37" t="n">
        <x:f>INDEX(Scenarios!$I$7:$I$12,Assumptions!C7)</x:f>
        <x:v>0.75</x:v>
      </x:c>
      <x:c r="H580" s="37" t="n">
        <x:f>'Family Register'!G54*'Family Register'!I54*G580</x:f>
        <x:v>14.400000000000002</x:v>
      </x:c>
      <x:c r="I580" s="37" t="n">
        <x:f>J579</x:f>
        <x:v>12</x:v>
      </x:c>
      <x:c r="J580" s="37" t="n">
        <x:f>MIN(F580,H580,I580)</x:f>
        <x:v>12</x:v>
      </x:c>
      <x:c r="K580" s="22" t="n">
        <x:v>0</x:v>
      </x:c>
      <x:c r="L580" s="22" t="n">
        <x:v>0</x:v>
      </x:c>
      <x:c r="M580" s="37" t="n">
        <x:f>K580*L580</x:f>
        <x:v>0</x:v>
      </x:c>
      <x:c r="N580" s="22" t="n">
        <x:v>0</x:v>
      </x:c>
      <x:c r="O580" s="37" t="n">
        <x:f>'Family Register'!H54*0.94</x:f>
        <x:v>157.92</x:v>
      </x:c>
      <x:c r="P580" s="37" t="n">
        <x:f>IF(AND(N580&gt;0,N580&lt;=O580),1,0)</x:f>
        <x:v>0</x:v>
      </x:c>
      <x:c r="Q580" s="22" t="n">
        <x:v>0</x:v>
      </x:c>
      <x:c r="R580" s="37" t="n">
        <x:f>IF(AND(P580=1,Q580=1),MIN(F580,M580,R579),0)</x:f>
        <x:v>0</x:v>
      </x:c>
      <x:c r="S580" s="23" t="str">
        <x:f>IF(R580&gt;=F580,"ADMITTED","NOT ADMITTED")</x:f>
        <x:v>NOT ADMITTED</x:v>
      </x:c>
    </x:row>
    <x:row r="581">
      <x:c r="B581" s="21" t="str">
        <x:v>SL-0575</x:v>
      </x:c>
      <x:c r="C581" s="21" t="str">
        <x:v>F48</x:v>
      </x:c>
      <x:c r="D581" s="21" t="n">
        <x:v>11</x:v>
      </x:c>
      <x:c r="E581" s="21" t="str">
        <x:v>Commissioned public service</x:v>
      </x:c>
      <x:c r="F581" s="37" t="n">
        <x:f>'Family Register'!L54</x:f>
        <x:v>12</x:v>
      </x:c>
      <x:c r="G581" s="37" t="n">
        <x:f>MIN(INDEX(Scenarios!$G$7:$G$12,Assumptions!C7),INDEX(Scenarios!$I$7:$I$12,Assumptions!C7))</x:f>
        <x:v>0.7</x:v>
      </x:c>
      <x:c r="H581" s="37" t="n">
        <x:f>'Family Register'!G54*'Family Register'!I54*G581</x:f>
        <x:v>13.440000000000001</x:v>
      </x:c>
      <x:c r="I581" s="37" t="n">
        <x:f>J580</x:f>
        <x:v>12</x:v>
      </x:c>
      <x:c r="J581" s="37" t="n">
        <x:f>MIN(F581,H581,I581)</x:f>
        <x:v>12</x:v>
      </x:c>
      <x:c r="K581" s="22" t="n">
        <x:v>0</x:v>
      </x:c>
      <x:c r="L581" s="22" t="n">
        <x:v>0</x:v>
      </x:c>
      <x:c r="M581" s="37" t="n">
        <x:f>K581*L581</x:f>
        <x:v>0</x:v>
      </x:c>
      <x:c r="N581" s="22" t="n">
        <x:v>0</x:v>
      </x:c>
      <x:c r="O581" s="37" t="n">
        <x:f>'Family Register'!H54*1</x:f>
        <x:v>168</x:v>
      </x:c>
      <x:c r="P581" s="37" t="n">
        <x:f>IF(AND(N581&gt;0,N581&lt;=O581),1,0)</x:f>
        <x:v>0</x:v>
      </x:c>
      <x:c r="Q581" s="22" t="n">
        <x:v>0</x:v>
      </x:c>
      <x:c r="R581" s="37" t="n">
        <x:f>IF(AND(P581=1,Q581=1),MIN(F581,M581,R580),0)</x:f>
        <x:v>0</x:v>
      </x:c>
      <x:c r="S581" s="23" t="str">
        <x:f>IF(R581&gt;=F581,"ADMITTED","NOT ADMITTED")</x:f>
        <x:v>NOT ADMITTED</x:v>
      </x:c>
    </x:row>
    <x:row r="582">
      <x:c r="B582" s="24" t="str">
        <x:v>SL-0576</x:v>
      </x:c>
      <x:c r="C582" s="24" t="str">
        <x:v>F48</x:v>
      </x:c>
      <x:c r="D582" s="24" t="n">
        <x:v>12</x:v>
      </x:c>
      <x:c r="E582" s="24" t="str">
        <x:v>Regeneration and replacement</x:v>
      </x:c>
      <x:c r="F582" s="38" t="n">
        <x:f>'Family Register'!L54</x:f>
        <x:v>12</x:v>
      </x:c>
      <x:c r="G582" s="38" t="n">
        <x:f>MIN(INDEX(Scenarios!$E$7:$E$12,Assumptions!C7),INDEX(Scenarios!$F$7:$F$12,Assumptions!C7))</x:f>
        <x:v>0.7</x:v>
      </x:c>
      <x:c r="H582" s="38" t="n">
        <x:f>'Family Register'!G54*'Family Register'!I54*G582</x:f>
        <x:v>13.440000000000001</x:v>
      </x:c>
      <x:c r="I582" s="38" t="n">
        <x:f>J581</x:f>
        <x:v>12</x:v>
      </x:c>
      <x:c r="J582" s="38" t="n">
        <x:f>MIN(F582,H582,I582)</x:f>
        <x:v>12</x:v>
      </x:c>
      <x:c r="K582" s="25" t="n">
        <x:v>0</x:v>
      </x:c>
      <x:c r="L582" s="25" t="n">
        <x:v>0</x:v>
      </x:c>
      <x:c r="M582" s="38" t="n">
        <x:f>K582*L582</x:f>
        <x:v>0</x:v>
      </x:c>
      <x:c r="N582" s="25" t="n">
        <x:v>0</x:v>
      </x:c>
      <x:c r="O582" s="38" t="n">
        <x:f>'Family Register'!H54+168</x:f>
        <x:v>336</x:v>
      </x:c>
      <x:c r="P582" s="38" t="n">
        <x:f>IF(AND(N582&gt;0,N582&lt;=O582),1,0)</x:f>
        <x:v>0</x:v>
      </x:c>
      <x:c r="Q582" s="25" t="n">
        <x:v>0</x:v>
      </x:c>
      <x:c r="R582" s="38" t="n">
        <x:f>IF(AND(P582=1,Q582=1),MIN(F582,M582,R581),0)</x:f>
        <x:v>0</x:v>
      </x:c>
      <x:c r="S582" s="26" t="str">
        <x:f>IF(R582&gt;=F582,"ADMITTED","NOT ADMITTED")</x:f>
        <x:v>NOT ADMITTED</x:v>
      </x:c>
    </x:row>
    <x:row r="583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</x:row>
    <x:row r="584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</x:row>
    <x:row r="585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</x:row>
    <x:row r="586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</x:row>
  </x:sheetData>
  <x:mergeCells>
    <x:mergeCell ref="B3:S3"/>
  </x:mergeCells>
  <x:conditionalFormatting sqref="S7:S582">
    <x:cfRule type="containsText" dxfId="36" priority="1" operator="containsText" text="OPEN"/>
    <x:cfRule type="containsText" dxfId="37" priority="2" operator="containsText" text="HOLD"/>
    <x:cfRule type="containsText" dxfId="38" priority="3" operator="containsText" text="BLOCKED"/>
    <x:cfRule type="containsText" dxfId="39" priority="4" operator="containsText" text="GAP"/>
    <x:cfRule type="containsText" dxfId="40" priority="5" operator="containsText" text="NOT ADMITTED"/>
    <x:cfRule type="containsText" dxfId="41" priority="6" operator="containsText" text="FAIL"/>
    <x:cfRule type="containsText" dxfId="42" priority="7" operator="containsText" text="PASS"/>
    <x:cfRule type="containsText" dxfId="43" priority="8" operator="containsText" text="ADEQUATE"/>
    <x:cfRule type="containsText" dxfId="44" priority="9" operator="containsText" text="ADMITT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9" hidden="0" customWidth="1"/>
    <x:col min="4" max="4" width="18" hidden="0" customWidth="1"/>
    <x:col min="5" max="5" width="22" hidden="0" customWidth="1"/>
    <x:col min="6" max="6" width="22" hidden="0" customWidth="1"/>
    <x:col min="7" max="7" width="14" hidden="0" customWidth="1"/>
    <x:col min="8" max="8" width="20" hidden="0" customWidth="1"/>
    <x:col min="9" max="9" width="39" hidden="0" customWidth="1"/>
    <x:col min="10" max="10" width="48" hidden="0" customWidth="1"/>
  </x:cols>
  <x:sheetData>
    <x:row r="2">
      <x:c r="B2" s="3" t="str">
        <x:v>Rolling industrial-node sample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annual national exercise activates 896 unique nodes. Class-specific rates provide nominal complete coverage within five years.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Class</x:v>
      </x:c>
      <x:c r="C6" s="20" t="str">
        <x:v>Node class</x:v>
      </x:c>
      <x:c r="D6" s="20" t="str">
        <x:v>Certified nodes</x:v>
      </x:c>
      <x:c r="E6" s="20" t="str">
        <x:v>Annual unique sample</x:v>
      </x:c>
      <x:c r="F6" s="20" t="str">
        <x:v>Coverage interval years</x:v>
      </x:c>
      <x:c r="G6" s="20" t="str">
        <x:v>Annual share</x:v>
      </x:c>
      <x:c r="H6" s="20" t="str">
        <x:v>Five-year coverage</x:v>
      </x:c>
      <x:c r="I6" s="20" t="str">
        <x:v>Family assignment</x:v>
      </x:c>
      <x:c r="J6" s="20" t="str">
        <x:v>Registered denial inject</x:v>
      </x:c>
    </x:row>
    <x:row r="7" ht="36" customHeight="1">
      <x:c r="B7" s="32" t="str">
        <x:v>I01</x:v>
      </x:c>
      <x:c r="C7" s="32" t="str">
        <x:v>Primary system-integrator ecosystems</x:v>
      </x:c>
      <x:c r="D7" s="32" t="n">
        <x:v>16</x:v>
      </x:c>
      <x:c r="E7" s="32" t="n">
        <x:v>16</x:v>
      </x:c>
      <x:c r="F7" s="32" t="n">
        <x:v>1</x:v>
      </x:c>
      <x:c r="G7" s="45" t="n">
        <x:f>E7/D7</x:f>
        <x:v>1</x:v>
      </x:c>
      <x:c r="H7" s="46" t="n">
        <x:f>MIN(D7,E7*Assumptions!C12)</x:f>
        <x:v>16</x:v>
      </x:c>
      <x:c r="I7" s="32" t="str">
        <x:v>all integrators; three family lines each</x:v>
      </x:c>
      <x:c r="J7" s="33" t="str">
        <x:v>remove one integration authority</x:v>
      </x:c>
    </x:row>
    <x:row r="8" ht="36" customHeight="1">
      <x:c r="B8" s="32" t="str">
        <x:v>I02</x:v>
      </x:c>
      <x:c r="C8" s="32" t="str">
        <x:v>Independent technical-root firms</x:v>
      </x:c>
      <x:c r="D8" s="32" t="n">
        <x:v>96</x:v>
      </x:c>
      <x:c r="E8" s="32" t="n">
        <x:v>48</x:v>
      </x:c>
      <x:c r="F8" s="32" t="n">
        <x:v>2</x:v>
      </x:c>
      <x:c r="G8" s="45" t="n">
        <x:f>E8/D8</x:f>
        <x:v>0.5</x:v>
      </x:c>
      <x:c r="H8" s="46" t="n">
        <x:f>MIN(D8,E8*Assumptions!C12)</x:f>
        <x:v>96</x:v>
      </x:c>
      <x:c r="I8" s="32" t="str">
        <x:v>one root firm per family</x:v>
      </x:c>
      <x:c r="J8" s="33" t="str">
        <x:v>remove one decisive technical ancestry</x:v>
      </x:c>
    </x:row>
    <x:row r="9" ht="36" customHeight="1">
      <x:c r="B9" s="32" t="str">
        <x:v>I03</x:v>
      </x:c>
      <x:c r="C9" s="32" t="str">
        <x:v>Subsystem and process firms</x:v>
      </x:c>
      <x:c r="D9" s="32" t="n">
        <x:v>480</x:v>
      </x:c>
      <x:c r="E9" s="32" t="n">
        <x:v>96</x:v>
      </x:c>
      <x:c r="F9" s="32" t="n">
        <x:v>5</x:v>
      </x:c>
      <x:c r="G9" s="45" t="n">
        <x:f>E9/D9</x:f>
        <x:v>0.2</x:v>
      </x:c>
      <x:c r="H9" s="46" t="n">
        <x:f>MIN(D9,E9*Assumptions!C12)</x:f>
        <x:v>480</x:v>
      </x:c>
      <x:c r="I9" s="32" t="str">
        <x:v>two decisive suppliers per family</x:v>
      </x:c>
      <x:c r="J9" s="33" t="str">
        <x:v>remove a shared sub-tier process</x:v>
      </x:c>
    </x:row>
    <x:row r="10" ht="36" customHeight="1">
      <x:c r="B10" s="32" t="str">
        <x:v>I04</x:v>
      </x:c>
      <x:c r="C10" s="32" t="str">
        <x:v>Certified production nodes</x:v>
      </x:c>
      <x:c r="D10" s="32" t="n">
        <x:v>2400</x:v>
      </x:c>
      <x:c r="E10" s="32" t="n">
        <x:v>480</x:v>
      </x:c>
      <x:c r="F10" s="32" t="n">
        <x:v>5</x:v>
      </x:c>
      <x:c r="G10" s="45" t="n">
        <x:f>E10/D10</x:f>
        <x:v>0.2</x:v>
      </x:c>
      <x:c r="H10" s="46" t="n">
        <x:f>MIN(D10,E10*Assumptions!C12)</x:f>
        <x:v>2400</x:v>
      </x:c>
      <x:c r="I10" s="32" t="str">
        <x:v>ten production nodes per family</x:v>
      </x:c>
      <x:c r="J10" s="33" t="str">
        <x:v>deny one regional facility domain</x:v>
      </x:c>
    </x:row>
    <x:row r="11" ht="36" customHeight="1">
      <x:c r="B11" s="32" t="str">
        <x:v>I05</x:v>
      </x:c>
      <x:c r="C11" s="32" t="str">
        <x:v>Regional service suppliers</x:v>
      </x:c>
      <x:c r="D11" s="32" t="n">
        <x:v>1200</x:v>
      </x:c>
      <x:c r="E11" s="32" t="n">
        <x:v>240</x:v>
      </x:c>
      <x:c r="F11" s="32" t="n">
        <x:v>5</x:v>
      </x:c>
      <x:c r="G11" s="45" t="n">
        <x:f>E11/D11</x:f>
        <x:v>0.2</x:v>
      </x:c>
      <x:c r="H11" s="46" t="n">
        <x:f>MIN(D11,E11*Assumptions!C12)</x:f>
        <x:v>1200</x:v>
      </x:c>
      <x:c r="I11" s="32" t="str">
        <x:v>five service nodes per family</x:v>
      </x:c>
      <x:c r="J11" s="33" t="str">
        <x:v>deny local workforce or receiving capacity</x:v>
      </x:c>
    </x:row>
    <x:row r="12" ht="36" customHeight="1">
      <x:c r="B12" s="32" t="str">
        <x:v>I06</x:v>
      </x:c>
      <x:c r="C12" s="32" t="str">
        <x:v>Allied lead firms</x:v>
      </x:c>
      <x:c r="D12" s="32" t="n">
        <x:v>64</x:v>
      </x:c>
      <x:c r="E12" s="32" t="n">
        <x:v>16</x:v>
      </x:c>
      <x:c r="F12" s="32" t="n">
        <x:v>4</x:v>
      </x:c>
      <x:c r="G12" s="45" t="n">
        <x:f>E12/D12</x:f>
        <x:v>0.25</x:v>
      </x:c>
      <x:c r="H12" s="46" t="n">
        <x:f>MIN(D12,E12*Assumptions!C12)</x:f>
        <x:v>64</x:v>
      </x:c>
      <x:c r="I12" s="32" t="str">
        <x:v>sixteen allied lines per year</x:v>
      </x:c>
      <x:c r="J12" s="33" t="str">
        <x:v>activate allied capacity during domestic demand</x:v>
      </x:c>
    </x:row>
    <x:row r="13">
      <x:c r="B13" s="21"/>
      <x:c r="C13" s="21"/>
      <x:c r="D13" s="21"/>
      <x:c r="E13" s="21"/>
      <x:c r="F13" s="21"/>
      <x:c r="G13" s="41"/>
      <x:c r="H13" s="42"/>
      <x:c r="I13" s="21"/>
      <x:c r="J13" s="23"/>
    </x:row>
    <x:row r="14">
      <x:c r="B14" s="24" t="str">
        <x:v>TOTAL</x:v>
      </x:c>
      <x:c r="C14" s="24" t="str"/>
      <x:c r="D14" s="24" t="n">
        <x:f>SUM(D7:D12)</x:f>
        <x:v>4256</x:v>
      </x:c>
      <x:c r="E14" s="24" t="n">
        <x:f>SUM(E7:E12)</x:f>
        <x:v>896</x:v>
      </x:c>
      <x:c r="F14" s="24" t="str"/>
      <x:c r="G14" s="43" t="n">
        <x:f>E14/D14</x:f>
        <x:v>0.21052631578947367</x:v>
      </x:c>
      <x:c r="H14" s="44" t="n">
        <x:f>SUM(H7:H12)</x:f>
        <x:v>4256</x:v>
      </x:c>
      <x:c r="I14" s="24" t="str"/>
      <x:c r="J14" s="26" t="str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mergeCells>
    <x:mergeCell ref="B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2" hidden="0" customWidth="1"/>
    <x:col min="4" max="4" width="14" hidden="0" customWidth="1"/>
    <x:col min="5" max="5" width="17" hidden="0" customWidth="1"/>
    <x:col min="6" max="6" width="21" hidden="0" customWidth="1"/>
    <x:col min="7" max="7" width="14" hidden="0" customWidth="1"/>
    <x:col min="8" max="8" width="58" hidden="0" customWidth="1"/>
  </x:cols>
  <x:sheetData>
    <x:row r="2">
      <x:c r="B2" s="3" t="str">
        <x:v>Annual and five-year exercise cadence</x:v>
      </x:c>
      <x:c r="C2" s="2"/>
      <x:c r="D2" s="2"/>
      <x:c r="E2" s="2"/>
      <x:c r="F2" s="2"/>
      <x:c r="G2" s="2"/>
      <x:c r="H2" s="2"/>
    </x:row>
    <x:row r="3">
      <x:c r="B3" s="4" t="str">
        <x:v>A standing exercise economy samples data, roots, production, receiving systems and full concurrency. Costs remain inside mature AIMC operations.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Event</x:v>
      </x:c>
      <x:c r="C6" s="20" t="str">
        <x:v>Event class</x:v>
      </x:c>
      <x:c r="D6" s="20" t="str">
        <x:v>Cadence</x:v>
      </x:c>
      <x:c r="E6" s="20" t="str">
        <x:v>Unit</x:v>
      </x:c>
      <x:c r="F6" s="20" t="str">
        <x:v>Annual cost USD B</x:v>
      </x:c>
      <x:c r="G6" s="20" t="str">
        <x:v>Share</x:v>
      </x:c>
      <x:c r="H6" s="20" t="str">
        <x:v>Physical purpose</x:v>
      </x:c>
    </x:row>
    <x:row r="7" ht="32" customHeight="1">
      <x:c r="B7" s="32" t="str">
        <x:v>E01</x:v>
      </x:c>
      <x:c r="C7" s="32" t="str">
        <x:v>Alert authentication and custody probes</x:v>
      </x:c>
      <x:c r="D7" s="32" t="n">
        <x:v>192</x:v>
      </x:c>
      <x:c r="E7" s="32" t="str">
        <x:v>events/year</x:v>
      </x:c>
      <x:c r="F7" s="49" t="n">
        <x:v>2</x:v>
      </x:c>
      <x:c r="G7" s="45" t="n">
        <x:f>F7/SUM($F$7:$F$13)</x:f>
        <x:v>0.03225806451612903</x:v>
      </x:c>
      <x:c r="H7" s="33" t="str">
        <x:v>declare cold state without warning</x:v>
      </x:c>
    </x:row>
    <x:row r="8" ht="32" customHeight="1">
      <x:c r="B8" s="32" t="str">
        <x:v>E02</x:v>
      </x:c>
      <x:c r="C8" s="32" t="str">
        <x:v>Technical-root engineering restarts</x:v>
      </x:c>
      <x:c r="D8" s="32" t="n">
        <x:v>48</x:v>
      </x:c>
      <x:c r="E8" s="32" t="str">
        <x:v>events/year</x:v>
      </x:c>
      <x:c r="F8" s="49" t="n">
        <x:v>8</x:v>
      </x:c>
      <x:c r="G8" s="45" t="n">
        <x:f>F8/SUM($F$7:$F$13)</x:f>
        <x:v>0.12903225806451613</x:v>
      </x:c>
      <x:c r="H8" s="33" t="str">
        <x:v>reconstruct one decisive root per family</x:v>
      </x:c>
    </x:row>
    <x:row r="9" ht="32" customHeight="1">
      <x:c r="B9" s="32" t="str">
        <x:v>E03</x:v>
      </x:c>
      <x:c r="C9" s="32" t="str">
        <x:v>Pilot-line activations</x:v>
      </x:c>
      <x:c r="D9" s="32" t="n">
        <x:v>24</x:v>
      </x:c>
      <x:c r="E9" s="32" t="str">
        <x:v>events/year</x:v>
      </x:c>
      <x:c r="F9" s="49" t="n">
        <x:v>10</x:v>
      </x:c>
      <x:c r="G9" s="45" t="n">
        <x:f>F9/SUM($F$7:$F$13)</x:f>
        <x:v>0.16129032258064516</x:v>
      </x:c>
      <x:c r="H9" s="33" t="str">
        <x:v>produce independently accepted lots</x:v>
      </x:c>
    </x:row>
    <x:row r="10" ht="32" customHeight="1">
      <x:c r="B10" s="32" t="str">
        <x:v>E04</x:v>
      </x:c>
      <x:c r="C10" s="32" t="str">
        <x:v>Complete family-chain exercises</x:v>
      </x:c>
      <x:c r="D10" s="32" t="n">
        <x:v>12</x:v>
      </x:c>
      <x:c r="E10" s="32" t="str">
        <x:v>events/year</x:v>
      </x:c>
      <x:c r="F10" s="49" t="n">
        <x:v>12</x:v>
      </x:c>
      <x:c r="G10" s="45" t="n">
        <x:f>F10/SUM($F$7:$F$13)</x:f>
        <x:v>0.1935483870967742</x:v>
      </x:c>
      <x:c r="H10" s="33" t="str">
        <x:v>close all twelve stages for one family</x:v>
      </x:c>
    </x:row>
    <x:row r="11" ht="32" customHeight="1">
      <x:c r="B11" s="32" t="str">
        <x:v>E05</x:v>
      </x:c>
      <x:c r="C11" s="32" t="str">
        <x:v>Regional compound campaigns</x:v>
      </x:c>
      <x:c r="D11" s="32" t="n">
        <x:v>4</x:v>
      </x:c>
      <x:c r="E11" s="32" t="str">
        <x:v>events/year</x:v>
      </x:c>
      <x:c r="F11" s="49" t="n">
        <x:v>12</x:v>
      </x:c>
      <x:c r="G11" s="45" t="n">
        <x:f>F11/SUM($F$7:$F$13)</x:f>
        <x:v>0.1935483870967742</x:v>
      </x:c>
      <x:c r="H11" s="33" t="str">
        <x:v>commission several families through damage</x:v>
      </x:c>
    </x:row>
    <x:row r="12" ht="32" customHeight="1">
      <x:c r="B12" s="32" t="str">
        <x:v>E06</x:v>
      </x:c>
      <x:c r="C12" s="32" t="str">
        <x:v>National ten-campaign exercise</x:v>
      </x:c>
      <x:c r="D12" s="32" t="n">
        <x:v>1</x:v>
      </x:c>
      <x:c r="E12" s="32" t="str">
        <x:v>event/year</x:v>
      </x:c>
      <x:c r="F12" s="49" t="n">
        <x:v>15</x:v>
      </x:c>
      <x:c r="G12" s="45" t="n">
        <x:f>F12/SUM($F$7:$F$13)</x:f>
        <x:v>0.24193548387096775</x:v>
      </x:c>
      <x:c r="H12" s="33" t="str">
        <x:v>expose all concurrent industrial claims</x:v>
      </x:c>
    </x:row>
    <x:row r="13" ht="32" customHeight="1">
      <x:c r="B13" s="32" t="str">
        <x:v>E07</x:v>
      </x:c>
      <x:c r="C13" s="32" t="str">
        <x:v>Two-domain-loss capstone</x:v>
      </x:c>
      <x:c r="D13" s="32" t="n">
        <x:v>0.2</x:v>
      </x:c>
      <x:c r="E13" s="32" t="str">
        <x:v>events/year</x:v>
      </x:c>
      <x:c r="F13" s="49" t="n">
        <x:v>3</x:v>
      </x:c>
      <x:c r="G13" s="45" t="n">
        <x:f>F13/SUM($F$7:$F$13)</x:f>
        <x:v>0.04838709677419355</x:v>
      </x:c>
      <x:c r="H13" s="33" t="str">
        <x:v>one no-notice capstone each five-year cycle</x:v>
      </x:c>
    </x:row>
    <x:row r="14">
      <x:c r="B14" s="21"/>
      <x:c r="C14" s="21"/>
      <x:c r="D14" s="21"/>
      <x:c r="E14" s="21"/>
      <x:c r="F14" s="37"/>
      <x:c r="G14" s="41"/>
      <x:c r="H14" s="23"/>
    </x:row>
    <x:row r="15">
      <x:c r="B15" s="24" t="str">
        <x:v>TOTAL</x:v>
      </x:c>
      <x:c r="C15" s="24" t="str"/>
      <x:c r="D15" s="24" t="str"/>
      <x:c r="E15" s="24" t="str"/>
      <x:c r="F15" s="38" t="n">
        <x:f>SUM(F7:F13)</x:f>
        <x:v>62</x:v>
      </x:c>
      <x:c r="G15" s="43" t="n">
        <x:f>SUM(G7:G13)</x:f>
        <x:v>1</x:v>
      </x:c>
      <x:c r="H15" s="26" t="str"/>
    </x:row>
    <x:row r="16">
      <x:c r="B16" s="2"/>
      <x:c r="C16" s="2"/>
      <x:c r="D16" s="2"/>
      <x:c r="E16" s="2"/>
      <x:c r="F16" s="2"/>
      <x:c r="G16" s="2"/>
      <x:c r="H16" s="2"/>
    </x:row>
    <x:row r="17">
      <x:c r="B17" s="2"/>
      <x:c r="C17" s="2"/>
      <x:c r="D17" s="2"/>
      <x:c r="E17" s="2"/>
      <x:c r="F17" s="2"/>
      <x:c r="G17" s="2"/>
      <x:c r="H17" s="2"/>
    </x:row>
    <x:row r="18">
      <x:c r="B18" s="2"/>
      <x:c r="C18" s="2"/>
      <x:c r="D18" s="2"/>
      <x:c r="E18" s="2"/>
      <x:c r="F18" s="2"/>
      <x:c r="G18" s="2"/>
      <x:c r="H18" s="2"/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</x:sheetData>
  <x:mergeCells>
    <x:mergeCell ref="B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15" hidden="0" customWidth="1"/>
    <x:col min="4" max="4" width="48" hidden="0" customWidth="1"/>
    <x:col min="5" max="5" width="17" hidden="0" customWidth="1"/>
    <x:col min="6" max="6" width="33" hidden="0" customWidth="1"/>
    <x:col min="7" max="7" width="30" hidden="0" customWidth="1"/>
    <x:col min="8" max="8" width="20" hidden="0" customWidth="1"/>
    <x:col min="9" max="9" width="13" hidden="0" customWidth="1"/>
    <x:col min="10" max="10" width="13" hidden="0" customWidth="1"/>
  </x:cols>
  <x:sheetData>
    <x:row r="2">
      <x:c r="B2" s="3" t="str">
        <x:v>Sealed loss-inject register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Injects attack different links in the service chain. Participants see each condition only when the white cell releases it.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Inject</x:v>
      </x:c>
      <x:c r="C6" s="20" t="str">
        <x:v>Class</x:v>
      </x:c>
      <x:c r="D6" s="20" t="str">
        <x:v>Sealed condition</x:v>
      </x:c>
      <x:c r="E6" s="20" t="str">
        <x:v>Insertion stage</x:v>
      </x:c>
      <x:c r="F6" s="20" t="str">
        <x:v>Claim challenged</x:v>
      </x:c>
      <x:c r="G6" s="20" t="str">
        <x:v>Custodian</x:v>
      </x:c>
      <x:c r="H6" s="20" t="str">
        <x:v>Safety override</x:v>
      </x:c>
      <x:c r="I6" s="20" t="str">
        <x:v>Evidence</x:v>
      </x:c>
      <x:c r="J6" s="20" t="str">
        <x:v>Decision</x:v>
      </x:c>
    </x:row>
    <x:row r="7" ht="34" customHeight="1">
      <x:c r="B7" s="32" t="str">
        <x:v>X01</x:v>
      </x:c>
      <x:c r="C7" s="32" t="str">
        <x:v>Order</x:v>
      </x:c>
      <x:c r="D7" s="32" t="str">
        <x:v>false or conflicting activation message</x:v>
      </x:c>
      <x:c r="E7" s="32" t="n">
        <x:v>1</x:v>
      </x:c>
      <x:c r="F7" s="32" t="str">
        <x:v>authentication and custody</x:v>
      </x:c>
      <x:c r="G7" s="32" t="str">
        <x:v>Joint exercise white cell</x:v>
      </x:c>
      <x:c r="H7" s="32" t="str">
        <x:v>always available</x:v>
      </x:c>
      <x:c r="I7" s="32" t="str">
        <x:v>OPEN</x:v>
      </x:c>
      <x:c r="J7" s="33" t="str">
        <x:v>HOLD</x:v>
      </x:c>
    </x:row>
    <x:row r="8" ht="34" customHeight="1">
      <x:c r="B8" s="32" t="str">
        <x:v>X02</x:v>
      </x:c>
      <x:c r="C8" s="32" t="str">
        <x:v>Time</x:v>
      </x:c>
      <x:c r="D8" s="32" t="str">
        <x:v>loss of primary national time source</x:v>
      </x:c>
      <x:c r="E8" s="32" t="n">
        <x:v>1</x:v>
      </x:c>
      <x:c r="F8" s="32" t="str">
        <x:v>deadline chronology</x:v>
      </x:c>
      <x:c r="G8" s="32" t="str">
        <x:v>Joint exercise white cell</x:v>
      </x:c>
      <x:c r="H8" s="32" t="str">
        <x:v>always available</x:v>
      </x:c>
      <x:c r="I8" s="32" t="str">
        <x:v>OPEN</x:v>
      </x:c>
      <x:c r="J8" s="33" t="str">
        <x:v>HOLD</x:v>
      </x:c>
    </x:row>
    <x:row r="9" ht="34" customHeight="1">
      <x:c r="B9" s="32" t="str">
        <x:v>X03</x:v>
      </x:c>
      <x:c r="C9" s="32" t="str">
        <x:v>Workforce</x:v>
      </x:c>
      <x:c r="D9" s="32" t="str">
        <x:v>twenty-five percent qualified-labor absence</x:v>
      </x:c>
      <x:c r="E9" s="32" t="n">
        <x:v>2</x:v>
      </x:c>
      <x:c r="F9" s="32" t="str">
        <x:v>muster and substitution</x:v>
      </x:c>
      <x:c r="G9" s="32" t="str">
        <x:v>Joint exercise white cell</x:v>
      </x:c>
      <x:c r="H9" s="32" t="str">
        <x:v>always available</x:v>
      </x:c>
      <x:c r="I9" s="32" t="str">
        <x:v>OPEN</x:v>
      </x:c>
      <x:c r="J9" s="33" t="str">
        <x:v>HOLD</x:v>
      </x:c>
    </x:row>
    <x:row r="10" ht="34" customHeight="1">
      <x:c r="B10" s="32" t="str">
        <x:v>X04</x:v>
      </x:c>
      <x:c r="C10" s="32" t="str">
        <x:v>Workforce</x:v>
      </x:c>
      <x:c r="D10" s="32" t="str">
        <x:v>loss of one credentialing authority</x:v>
      </x:c>
      <x:c r="E10" s="32" t="n">
        <x:v>2</x:v>
      </x:c>
      <x:c r="F10" s="32" t="str">
        <x:v>lawful role release</x:v>
      </x:c>
      <x:c r="G10" s="32" t="str">
        <x:v>Joint exercise white cell</x:v>
      </x:c>
      <x:c r="H10" s="32" t="str">
        <x:v>always available</x:v>
      </x:c>
      <x:c r="I10" s="32" t="str">
        <x:v>OPEN</x:v>
      </x:c>
      <x:c r="J10" s="33" t="str">
        <x:v>HOLD</x:v>
      </x:c>
    </x:row>
    <x:row r="11" ht="34" customHeight="1">
      <x:c r="B11" s="32" t="str">
        <x:v>X05</x:v>
      </x:c>
      <x:c r="C11" s="32" t="str">
        <x:v>Utility</x:v>
      </x:c>
      <x:c r="D11" s="32" t="str">
        <x:v>regional grid and gas interruption</x:v>
      </x:c>
      <x:c r="E11" s="32" t="n">
        <x:v>3</x:v>
      </x:c>
      <x:c r="F11" s="32" t="str">
        <x:v>islanded safe start</x:v>
      </x:c>
      <x:c r="G11" s="32" t="str">
        <x:v>Joint exercise white cell</x:v>
      </x:c>
      <x:c r="H11" s="32" t="str">
        <x:v>always available</x:v>
      </x:c>
      <x:c r="I11" s="32" t="str">
        <x:v>OPEN</x:v>
      </x:c>
      <x:c r="J11" s="33" t="str">
        <x:v>HOLD</x:v>
      </x:c>
    </x:row>
    <x:row r="12" ht="34" customHeight="1">
      <x:c r="B12" s="32" t="str">
        <x:v>X06</x:v>
      </x:c>
      <x:c r="C12" s="32" t="str">
        <x:v>Utility</x:v>
      </x:c>
      <x:c r="D12" s="32" t="str">
        <x:v>cooling-water or heat-rejection denial</x:v>
      </x:c>
      <x:c r="E12" s="32" t="n">
        <x:v>3</x:v>
      </x:c>
      <x:c r="F12" s="32" t="str">
        <x:v>facility safety</x:v>
      </x:c>
      <x:c r="G12" s="32" t="str">
        <x:v>Joint exercise white cell</x:v>
      </x:c>
      <x:c r="H12" s="32" t="str">
        <x:v>always available</x:v>
      </x:c>
      <x:c r="I12" s="32" t="str">
        <x:v>OPEN</x:v>
      </x:c>
      <x:c r="J12" s="33" t="str">
        <x:v>HOLD</x:v>
      </x:c>
    </x:row>
    <x:row r="13" ht="34" customHeight="1">
      <x:c r="B13" s="32" t="str">
        <x:v>X07</x:v>
      </x:c>
      <x:c r="C13" s="32" t="str">
        <x:v>Material</x:v>
      </x:c>
      <x:c r="D13" s="32" t="str">
        <x:v>one decisive feedstock lot quarantined</x:v>
      </x:c>
      <x:c r="E13" s="32" t="n">
        <x:v>4</x:v>
      </x:c>
      <x:c r="F13" s="32" t="str">
        <x:v>stock ancestry and reserve</x:v>
      </x:c>
      <x:c r="G13" s="32" t="str">
        <x:v>Joint exercise white cell</x:v>
      </x:c>
      <x:c r="H13" s="32" t="str">
        <x:v>always available</x:v>
      </x:c>
      <x:c r="I13" s="32" t="str">
        <x:v>OPEN</x:v>
      </x:c>
      <x:c r="J13" s="33" t="str">
        <x:v>HOLD</x:v>
      </x:c>
    </x:row>
    <x:row r="14" ht="34" customHeight="1">
      <x:c r="B14" s="32" t="str">
        <x:v>X08</x:v>
      </x:c>
      <x:c r="C14" s="32" t="str">
        <x:v>Tooling</x:v>
      </x:c>
      <x:c r="D14" s="32" t="str">
        <x:v>unique fixture or calibration asset unavailable</x:v>
      </x:c>
      <x:c r="E14" s="32" t="n">
        <x:v>4</x:v>
      </x:c>
      <x:c r="F14" s="32" t="str">
        <x:v>alternate tooling</x:v>
      </x:c>
      <x:c r="G14" s="32" t="str">
        <x:v>Joint exercise white cell</x:v>
      </x:c>
      <x:c r="H14" s="32" t="str">
        <x:v>always available</x:v>
      </x:c>
      <x:c r="I14" s="32" t="str">
        <x:v>OPEN</x:v>
      </x:c>
      <x:c r="J14" s="33" t="str">
        <x:v>HOLD</x:v>
      </x:c>
    </x:row>
    <x:row r="15" ht="34" customHeight="1">
      <x:c r="B15" s="32" t="str">
        <x:v>X09</x:v>
      </x:c>
      <x:c r="C15" s="32" t="str">
        <x:v>Supplier</x:v>
      </x:c>
      <x:c r="D15" s="32" t="str">
        <x:v>beneficial-control change at a sub-tier</x:v>
      </x:c>
      <x:c r="E15" s="32" t="n">
        <x:v>5</x:v>
      </x:c>
      <x:c r="F15" s="32" t="str">
        <x:v>source independence</x:v>
      </x:c>
      <x:c r="G15" s="32" t="str">
        <x:v>Joint exercise white cell</x:v>
      </x:c>
      <x:c r="H15" s="32" t="str">
        <x:v>always available</x:v>
      </x:c>
      <x:c r="I15" s="32" t="str">
        <x:v>OPEN</x:v>
      </x:c>
      <x:c r="J15" s="33" t="str">
        <x:v>HOLD</x:v>
      </x:c>
    </x:row>
    <x:row r="16" ht="34" customHeight="1">
      <x:c r="B16" s="32" t="str">
        <x:v>X10</x:v>
      </x:c>
      <x:c r="C16" s="32" t="str">
        <x:v>Supplier</x:v>
      </x:c>
      <x:c r="D16" s="32" t="str">
        <x:v>nominal rivals share one hidden process</x:v>
      </x:c>
      <x:c r="E16" s="32" t="n">
        <x:v>5</x:v>
      </x:c>
      <x:c r="F16" s="32" t="str">
        <x:v>root independence</x:v>
      </x:c>
      <x:c r="G16" s="32" t="str">
        <x:v>Joint exercise white cell</x:v>
      </x:c>
      <x:c r="H16" s="32" t="str">
        <x:v>always available</x:v>
      </x:c>
      <x:c r="I16" s="32" t="str">
        <x:v>OPEN</x:v>
      </x:c>
      <x:c r="J16" s="33" t="str">
        <x:v>HOLD</x:v>
      </x:c>
    </x:row>
    <x:row r="17" ht="34" customHeight="1">
      <x:c r="B17" s="32" t="str">
        <x:v>X11</x:v>
      </x:c>
      <x:c r="C17" s="32" t="str">
        <x:v>Process</x:v>
      </x:c>
      <x:c r="D17" s="32" t="str">
        <x:v>yield collapse after first accepted lot</x:v>
      </x:c>
      <x:c r="E17" s="32" t="n">
        <x:v>6</x:v>
      </x:c>
      <x:c r="F17" s="32" t="str">
        <x:v>sustained production</x:v>
      </x:c>
      <x:c r="G17" s="32" t="str">
        <x:v>Joint exercise white cell</x:v>
      </x:c>
      <x:c r="H17" s="32" t="str">
        <x:v>always available</x:v>
      </x:c>
      <x:c r="I17" s="32" t="str">
        <x:v>OPEN</x:v>
      </x:c>
      <x:c r="J17" s="33" t="str">
        <x:v>HOLD</x:v>
      </x:c>
    </x:row>
    <x:row r="18" ht="34" customHeight="1">
      <x:c r="B18" s="32" t="str">
        <x:v>X12</x:v>
      </x:c>
      <x:c r="C18" s="32" t="str">
        <x:v>Process</x:v>
      </x:c>
      <x:c r="D18" s="32" t="str">
        <x:v>software build differs from qualified state</x:v>
      </x:c>
      <x:c r="E18" s="32" t="n">
        <x:v>6</x:v>
      </x:c>
      <x:c r="F18" s="32" t="str">
        <x:v>serial configuration</x:v>
      </x:c>
      <x:c r="G18" s="32" t="str">
        <x:v>Joint exercise white cell</x:v>
      </x:c>
      <x:c r="H18" s="32" t="str">
        <x:v>always available</x:v>
      </x:c>
      <x:c r="I18" s="32" t="str">
        <x:v>OPEN</x:v>
      </x:c>
      <x:c r="J18" s="33" t="str">
        <x:v>HOLD</x:v>
      </x:c>
    </x:row>
    <x:row r="19" ht="34" customHeight="1">
      <x:c r="B19" s="32" t="str">
        <x:v>X13</x:v>
      </x:c>
      <x:c r="C19" s="32" t="str">
        <x:v>Evidence</x:v>
      </x:c>
      <x:c r="D19" s="32" t="str">
        <x:v>primary acceptance instrument drifts</x:v>
      </x:c>
      <x:c r="E19" s="32" t="n">
        <x:v>7</x:v>
      </x:c>
      <x:c r="F19" s="32" t="str">
        <x:v>calibration genealogy</x:v>
      </x:c>
      <x:c r="G19" s="32" t="str">
        <x:v>Joint exercise white cell</x:v>
      </x:c>
      <x:c r="H19" s="32" t="str">
        <x:v>always available</x:v>
      </x:c>
      <x:c r="I19" s="32" t="str">
        <x:v>OPEN</x:v>
      </x:c>
      <x:c r="J19" s="33" t="str">
        <x:v>HOLD</x:v>
      </x:c>
    </x:row>
    <x:row r="20" ht="34" customHeight="1">
      <x:c r="B20" s="32" t="str">
        <x:v>X14</x:v>
      </x:c>
      <x:c r="C20" s="32" t="str">
        <x:v>Evidence</x:v>
      </x:c>
      <x:c r="D20" s="32" t="str">
        <x:v>evidence store and witness disagree</x:v>
      </x:c>
      <x:c r="E20" s="32" t="n">
        <x:v>7</x:v>
      </x:c>
      <x:c r="F20" s="32" t="str">
        <x:v>immutable reconstruction</x:v>
      </x:c>
      <x:c r="G20" s="32" t="str">
        <x:v>Joint exercise white cell</x:v>
      </x:c>
      <x:c r="H20" s="32" t="str">
        <x:v>always available</x:v>
      </x:c>
      <x:c r="I20" s="32" t="str">
        <x:v>OPEN</x:v>
      </x:c>
      <x:c r="J20" s="33" t="str">
        <x:v>HOLD</x:v>
      </x:c>
    </x:row>
    <x:row r="21" ht="34" customHeight="1">
      <x:c r="B21" s="32" t="str">
        <x:v>X15</x:v>
      </x:c>
      <x:c r="C21" s="32" t="str">
        <x:v>Transport</x:v>
      </x:c>
      <x:c r="D21" s="32" t="str">
        <x:v>primary corridor and transload node lost</x:v>
      </x:c>
      <x:c r="E21" s="32" t="n">
        <x:v>9</x:v>
      </x:c>
      <x:c r="F21" s="32" t="str">
        <x:v>alternate route</x:v>
      </x:c>
      <x:c r="G21" s="32" t="str">
        <x:v>Joint exercise white cell</x:v>
      </x:c>
      <x:c r="H21" s="32" t="str">
        <x:v>always available</x:v>
      </x:c>
      <x:c r="I21" s="32" t="str">
        <x:v>OPEN</x:v>
      </x:c>
      <x:c r="J21" s="33" t="str">
        <x:v>HOLD</x:v>
      </x:c>
    </x:row>
    <x:row r="22" ht="34" customHeight="1">
      <x:c r="B22" s="32" t="str">
        <x:v>X16</x:v>
      </x:c>
      <x:c r="C22" s="32" t="str">
        <x:v>Transport</x:v>
      </x:c>
      <x:c r="D22" s="32" t="str">
        <x:v>carrier arrives with broken seal</x:v>
      </x:c>
      <x:c r="E22" s="32" t="n">
        <x:v>9</x:v>
      </x:c>
      <x:c r="F22" s="32" t="str">
        <x:v>lot custody</x:v>
      </x:c>
      <x:c r="G22" s="32" t="str">
        <x:v>Joint exercise white cell</x:v>
      </x:c>
      <x:c r="H22" s="32" t="str">
        <x:v>always available</x:v>
      </x:c>
      <x:c r="I22" s="32" t="str">
        <x:v>OPEN</x:v>
      </x:c>
      <x:c r="J22" s="33" t="str">
        <x:v>HOLD</x:v>
      </x:c>
    </x:row>
    <x:row r="23" ht="34" customHeight="1">
      <x:c r="B23" s="32" t="str">
        <x:v>X17</x:v>
      </x:c>
      <x:c r="C23" s="32" t="str">
        <x:v>Receiver</x:v>
      </x:c>
      <x:c r="D23" s="32" t="str">
        <x:v>planned receiving site refuses burden</x:v>
      </x:c>
      <x:c r="E23" s="32" t="n">
        <x:v>10</x:v>
      </x:c>
      <x:c r="F23" s="32" t="str">
        <x:v>consent and alternate receiver</x:v>
      </x:c>
      <x:c r="G23" s="32" t="str">
        <x:v>Joint exercise white cell</x:v>
      </x:c>
      <x:c r="H23" s="32" t="str">
        <x:v>always available</x:v>
      </x:c>
      <x:c r="I23" s="32" t="str">
        <x:v>OPEN</x:v>
      </x:c>
      <x:c r="J23" s="33" t="str">
        <x:v>HOLD</x:v>
      </x:c>
    </x:row>
    <x:row r="24" ht="34" customHeight="1">
      <x:c r="B24" s="32" t="str">
        <x:v>X18</x:v>
      </x:c>
      <x:c r="C24" s="32" t="str">
        <x:v>Receiver</x:v>
      </x:c>
      <x:c r="D24" s="32" t="str">
        <x:v>local utility interface differs from registry</x:v>
      </x:c>
      <x:c r="E24" s="32" t="n">
        <x:v>11</x:v>
      </x:c>
      <x:c r="F24" s="32" t="str">
        <x:v>adapter and commissioning</x:v>
      </x:c>
      <x:c r="G24" s="32" t="str">
        <x:v>Joint exercise white cell</x:v>
      </x:c>
      <x:c r="H24" s="32" t="str">
        <x:v>always available</x:v>
      </x:c>
      <x:c r="I24" s="32" t="str">
        <x:v>OPEN</x:v>
      </x:c>
      <x:c r="J24" s="33" t="str">
        <x:v>HOLD</x:v>
      </x:c>
    </x:row>
    <x:row r="25" ht="34" customHeight="1">
      <x:c r="B25" s="32" t="str">
        <x:v>X19</x:v>
      </x:c>
      <x:c r="C25" s="32" t="str">
        <x:v>Follow-on</x:v>
      </x:c>
      <x:c r="D25" s="32" t="str">
        <x:v>second campaign begins before regeneration</x:v>
      </x:c>
      <x:c r="E25" s="32" t="n">
        <x:v>12</x:v>
      </x:c>
      <x:c r="F25" s="32" t="str">
        <x:v>protected reserve</x:v>
      </x:c>
      <x:c r="G25" s="32" t="str">
        <x:v>Joint exercise white cell</x:v>
      </x:c>
      <x:c r="H25" s="32" t="str">
        <x:v>always available</x:v>
      </x:c>
      <x:c r="I25" s="32" t="str">
        <x:v>OPEN</x:v>
      </x:c>
      <x:c r="J25" s="33" t="str">
        <x:v>HOLD</x:v>
      </x:c>
    </x:row>
    <x:row r="26" ht="34" customHeight="1">
      <x:c r="B26" s="34" t="str">
        <x:v>X20</x:v>
      </x:c>
      <x:c r="C26" s="34" t="str">
        <x:v>Safety</x:v>
      </x:c>
      <x:c r="D26" s="34" t="str">
        <x:v>unexpected exposure or bystander condition</x:v>
      </x:c>
      <x:c r="E26" s="34" t="str">
        <x:v>ANY</x:v>
      </x:c>
      <x:c r="F26" s="34" t="str">
        <x:v>independent stop</x:v>
      </x:c>
      <x:c r="G26" s="34" t="str">
        <x:v>Joint exercise white cell</x:v>
      </x:c>
      <x:c r="H26" s="34" t="str">
        <x:v>always available</x:v>
      </x:c>
      <x:c r="I26" s="34" t="str">
        <x:v>OPEN</x:v>
      </x:c>
      <x:c r="J26" s="35" t="str">
        <x:v>HOLD</x:v>
      </x:c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mergeCells>
    <x:mergeCell ref="B3:J3"/>
  </x:mergeCells>
  <x:conditionalFormatting sqref="I7:J26">
    <x:cfRule type="containsText" dxfId="45" priority="1" operator="containsText" text="OPEN"/>
    <x:cfRule type="containsText" dxfId="46" priority="2" operator="containsText" text="HOLD"/>
    <x:cfRule type="containsText" dxfId="47" priority="3" operator="containsText" text="BLOCKED"/>
    <x:cfRule type="containsText" dxfId="48" priority="4" operator="containsText" text="GAP"/>
    <x:cfRule type="containsText" dxfId="49" priority="5" operator="containsText" text="NOT ADMITTED"/>
    <x:cfRule type="containsText" dxfId="50" priority="6" operator="containsText" text="FAIL"/>
    <x:cfRule type="containsText" dxfId="51" priority="7" operator="containsText" text="PASS"/>
    <x:cfRule type="containsText" dxfId="52" priority="8" operator="containsText" text="ADEQUATE"/>
    <x:cfRule type="containsText" dxfId="53" priority="9" operator="containsText" text="ADMIT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9" hidden="0" customWidth="1"/>
    <x:col min="4" max="4" width="4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2">
      <x:c r="B2" s="3" t="str">
        <x:v>Mobilization evidence package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Twenty-four records make the exercise independently reconstructable from order through public effect and regeneration. Registration grants no evidence credit.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Record</x:v>
      </x:c>
      <x:c r="C6" s="20" t="str">
        <x:v>Evidence object</x:v>
      </x:c>
      <x:c r="D6" s="20" t="str">
        <x:v>Custodian</x:v>
      </x:c>
      <x:c r="E6" s="20" t="str">
        <x:v>Required</x:v>
      </x:c>
      <x:c r="F6" s="20" t="str">
        <x:v>Submitted</x:v>
      </x:c>
      <x:c r="G6" s="20" t="str">
        <x:v>Accepted</x:v>
      </x:c>
      <x:c r="H6" s="20" t="str">
        <x:v>Evidence</x:v>
      </x:c>
      <x:c r="I6" s="20" t="str">
        <x:v>Decision</x:v>
      </x:c>
    </x:row>
    <x:row r="7" ht="30" customHeight="1">
      <x:c r="B7" s="32" t="str">
        <x:v>V01</x:v>
      </x:c>
      <x:c r="C7" s="32" t="str">
        <x:v>sealed exercise order and key custody</x:v>
      </x:c>
      <x:c r="D7" s="32" t="str">
        <x:v>Independent Cost and Capacity Authority</x:v>
      </x:c>
      <x:c r="E7" s="32" t="n">
        <x:v>1</x:v>
      </x:c>
      <x:c r="F7" s="52" t="n">
        <x:v>0</x:v>
      </x:c>
      <x:c r="G7" s="52" t="n">
        <x:v>0</x:v>
      </x:c>
      <x:c r="H7" s="32" t="str">
        <x:v>OPEN</x:v>
      </x:c>
      <x:c r="I7" s="33" t="str">
        <x:v>HOLD</x:v>
      </x:c>
    </x:row>
    <x:row r="8" ht="30" customHeight="1">
      <x:c r="B8" s="32" t="str">
        <x:v>V02</x:v>
      </x:c>
      <x:c r="C8" s="32" t="str">
        <x:v>pre-order readiness snapshot</x:v>
      </x:c>
      <x:c r="D8" s="32" t="str">
        <x:v>Independent Evidence and Data Authority</x:v>
      </x:c>
      <x:c r="E8" s="32" t="n">
        <x:v>1</x:v>
      </x:c>
      <x:c r="F8" s="52" t="n">
        <x:v>0</x:v>
      </x:c>
      <x:c r="G8" s="52" t="n">
        <x:v>0</x:v>
      </x:c>
      <x:c r="H8" s="32" t="str">
        <x:v>OPEN</x:v>
      </x:c>
      <x:c r="I8" s="33" t="str">
        <x:v>HOLD</x:v>
      </x:c>
    </x:row>
    <x:row r="9" ht="30" customHeight="1">
      <x:c r="B9" s="32" t="str">
        <x:v>V03</x:v>
      </x:c>
      <x:c r="C9" s="32" t="str">
        <x:v>node serial and configuration register</x:v>
      </x:c>
      <x:c r="D9" s="32" t="str">
        <x:v>Independent Evidence and Data Authority</x:v>
      </x:c>
      <x:c r="E9" s="32" t="n">
        <x:v>1</x:v>
      </x:c>
      <x:c r="F9" s="52" t="n">
        <x:v>0</x:v>
      </x:c>
      <x:c r="G9" s="52" t="n">
        <x:v>0</x:v>
      </x:c>
      <x:c r="H9" s="32" t="str">
        <x:v>OPEN</x:v>
      </x:c>
      <x:c r="I9" s="33" t="str">
        <x:v>HOLD</x:v>
      </x:c>
    </x:row>
    <x:row r="10" ht="30" customHeight="1">
      <x:c r="B10" s="32" t="str">
        <x:v>V04</x:v>
      </x:c>
      <x:c r="C10" s="32" t="str">
        <x:v>qualified workforce identity and role</x:v>
      </x:c>
      <x:c r="D10" s="32" t="str">
        <x:v>Receiving and credential authorities</x:v>
      </x:c>
      <x:c r="E10" s="32" t="n">
        <x:v>1</x:v>
      </x:c>
      <x:c r="F10" s="52" t="n">
        <x:v>0</x:v>
      </x:c>
      <x:c r="G10" s="52" t="n">
        <x:v>0</x:v>
      </x:c>
      <x:c r="H10" s="32" t="str">
        <x:v>OPEN</x:v>
      </x:c>
      <x:c r="I10" s="33" t="str">
        <x:v>HOLD</x:v>
      </x:c>
    </x:row>
    <x:row r="11" ht="30" customHeight="1">
      <x:c r="B11" s="32" t="str">
        <x:v>V05</x:v>
      </x:c>
      <x:c r="C11" s="32" t="str">
        <x:v>facility utility and safe-start trace</x:v>
      </x:c>
      <x:c r="D11" s="32" t="str">
        <x:v>Independent Safety and Environmental Authority</x:v>
      </x:c>
      <x:c r="E11" s="32" t="n">
        <x:v>1</x:v>
      </x:c>
      <x:c r="F11" s="52" t="n">
        <x:v>0</x:v>
      </x:c>
      <x:c r="G11" s="52" t="n">
        <x:v>0</x:v>
      </x:c>
      <x:c r="H11" s="32" t="str">
        <x:v>OPEN</x:v>
      </x:c>
      <x:c r="I11" s="33" t="str">
        <x:v>HOLD</x:v>
      </x:c>
    </x:row>
    <x:row r="12" ht="30" customHeight="1">
      <x:c r="B12" s="32" t="str">
        <x:v>V06</x:v>
      </x:c>
      <x:c r="C12" s="32" t="str">
        <x:v>material lot and ownership ancestry</x:v>
      </x:c>
      <x:c r="D12" s="32" t="str">
        <x:v>Independent Evidence and Data Authority</x:v>
      </x:c>
      <x:c r="E12" s="32" t="n">
        <x:v>1</x:v>
      </x:c>
      <x:c r="F12" s="52" t="n">
        <x:v>0</x:v>
      </x:c>
      <x:c r="G12" s="52" t="n">
        <x:v>0</x:v>
      </x:c>
      <x:c r="H12" s="32" t="str">
        <x:v>OPEN</x:v>
      </x:c>
      <x:c r="I12" s="33" t="str">
        <x:v>HOLD</x:v>
      </x:c>
    </x:row>
    <x:row r="13" ht="30" customHeight="1">
      <x:c r="B13" s="32" t="str">
        <x:v>V07</x:v>
      </x:c>
      <x:c r="C13" s="32" t="str">
        <x:v>tool fixture and calibration identity</x:v>
      </x:c>
      <x:c r="D13" s="32" t="str">
        <x:v>Public metrology authority</x:v>
      </x:c>
      <x:c r="E13" s="32" t="n">
        <x:v>1</x:v>
      </x:c>
      <x:c r="F13" s="52" t="n">
        <x:v>0</x:v>
      </x:c>
      <x:c r="G13" s="52" t="n">
        <x:v>0</x:v>
      </x:c>
      <x:c r="H13" s="32" t="str">
        <x:v>OPEN</x:v>
      </x:c>
      <x:c r="I13" s="33" t="str">
        <x:v>HOLD</x:v>
      </x:c>
    </x:row>
    <x:row r="14" ht="30" customHeight="1">
      <x:c r="B14" s="32" t="str">
        <x:v>V08</x:v>
      </x:c>
      <x:c r="C14" s="32" t="str">
        <x:v>software source build and execution identity</x:v>
      </x:c>
      <x:c r="D14" s="32" t="str">
        <x:v>Independent Evidence and Data Authority</x:v>
      </x:c>
      <x:c r="E14" s="32" t="n">
        <x:v>1</x:v>
      </x:c>
      <x:c r="F14" s="52" t="n">
        <x:v>0</x:v>
      </x:c>
      <x:c r="G14" s="52" t="n">
        <x:v>0</x:v>
      </x:c>
      <x:c r="H14" s="32" t="str">
        <x:v>OPEN</x:v>
      </x:c>
      <x:c r="I14" s="33" t="str">
        <x:v>HOLD</x:v>
      </x:c>
    </x:row>
    <x:row r="15" ht="30" customHeight="1">
      <x:c r="B15" s="32" t="str">
        <x:v>V09</x:v>
      </x:c>
      <x:c r="C15" s="32" t="str">
        <x:v>supplier and process activation trace</x:v>
      </x:c>
      <x:c r="D15" s="32" t="str">
        <x:v>Independent Cost and Capacity Authority</x:v>
      </x:c>
      <x:c r="E15" s="32" t="n">
        <x:v>1</x:v>
      </x:c>
      <x:c r="F15" s="52" t="n">
        <x:v>0</x:v>
      </x:c>
      <x:c r="G15" s="52" t="n">
        <x:v>0</x:v>
      </x:c>
      <x:c r="H15" s="32" t="str">
        <x:v>OPEN</x:v>
      </x:c>
      <x:c r="I15" s="33" t="str">
        <x:v>HOLD</x:v>
      </x:c>
    </x:row>
    <x:row r="16" ht="30" customHeight="1">
      <x:c r="B16" s="32" t="str">
        <x:v>V10</x:v>
      </x:c>
      <x:c r="C16" s="32" t="str">
        <x:v>gross production and scrap ledger</x:v>
      </x:c>
      <x:c r="D16" s="32" t="str">
        <x:v>Independent Cost and Capacity Authority</x:v>
      </x:c>
      <x:c r="E16" s="32" t="n">
        <x:v>1</x:v>
      </x:c>
      <x:c r="F16" s="52" t="n">
        <x:v>0</x:v>
      </x:c>
      <x:c r="G16" s="52" t="n">
        <x:v>0</x:v>
      </x:c>
      <x:c r="H16" s="32" t="str">
        <x:v>OPEN</x:v>
      </x:c>
      <x:c r="I16" s="33" t="str">
        <x:v>HOLD</x:v>
      </x:c>
    </x:row>
    <x:row r="17" ht="30" customHeight="1">
      <x:c r="B17" s="32" t="str">
        <x:v>V11</x:v>
      </x:c>
      <x:c r="C17" s="32" t="str">
        <x:v>serial lot and as-built record</x:v>
      </x:c>
      <x:c r="D17" s="32" t="str">
        <x:v>Independent Evidence and Data Authority</x:v>
      </x:c>
      <x:c r="E17" s="32" t="n">
        <x:v>1</x:v>
      </x:c>
      <x:c r="F17" s="52" t="n">
        <x:v>0</x:v>
      </x:c>
      <x:c r="G17" s="52" t="n">
        <x:v>0</x:v>
      </x:c>
      <x:c r="H17" s="32" t="str">
        <x:v>OPEN</x:v>
      </x:c>
      <x:c r="I17" s="33" t="str">
        <x:v>HOLD</x:v>
      </x:c>
    </x:row>
    <x:row r="18" ht="30" customHeight="1">
      <x:c r="B18" s="32" t="str">
        <x:v>V12</x:v>
      </x:c>
      <x:c r="C18" s="32" t="str">
        <x:v>acceptance method uncertainty and result</x:v>
      </x:c>
      <x:c r="D18" s="32" t="str">
        <x:v>Independent Evidence and Data Authority</x:v>
      </x:c>
      <x:c r="E18" s="32" t="n">
        <x:v>1</x:v>
      </x:c>
      <x:c r="F18" s="52" t="n">
        <x:v>0</x:v>
      </x:c>
      <x:c r="G18" s="52" t="n">
        <x:v>0</x:v>
      </x:c>
      <x:c r="H18" s="32" t="str">
        <x:v>OPEN</x:v>
      </x:c>
      <x:c r="I18" s="33" t="str">
        <x:v>HOLD</x:v>
      </x:c>
    </x:row>
    <x:row r="19" ht="30" customHeight="1">
      <x:c r="B19" s="32" t="str">
        <x:v>V13</x:v>
      </x:c>
      <x:c r="C19" s="32" t="str">
        <x:v>custody and quarantine chain</x:v>
      </x:c>
      <x:c r="D19" s="32" t="str">
        <x:v>Independent Evidence and Data Authority</x:v>
      </x:c>
      <x:c r="E19" s="32" t="n">
        <x:v>1</x:v>
      </x:c>
      <x:c r="F19" s="52" t="n">
        <x:v>0</x:v>
      </x:c>
      <x:c r="G19" s="52" t="n">
        <x:v>0</x:v>
      </x:c>
      <x:c r="H19" s="32" t="str">
        <x:v>OPEN</x:v>
      </x:c>
      <x:c r="I19" s="33" t="str">
        <x:v>HOLD</x:v>
      </x:c>
    </x:row>
    <x:row r="20" ht="30" customHeight="1">
      <x:c r="B20" s="32" t="str">
        <x:v>V14</x:v>
      </x:c>
      <x:c r="C20" s="32" t="str">
        <x:v>loadout mass volume hazard and restraint</x:v>
      </x:c>
      <x:c r="D20" s="32" t="str">
        <x:v>Independent Evidence and Data Authority</x:v>
      </x:c>
      <x:c r="E20" s="32" t="n">
        <x:v>1</x:v>
      </x:c>
      <x:c r="F20" s="52" t="n">
        <x:v>0</x:v>
      </x:c>
      <x:c r="G20" s="52" t="n">
        <x:v>0</x:v>
      </x:c>
      <x:c r="H20" s="32" t="str">
        <x:v>OPEN</x:v>
      </x:c>
      <x:c r="I20" s="33" t="str">
        <x:v>HOLD</x:v>
      </x:c>
    </x:row>
    <x:row r="21" ht="30" customHeight="1">
      <x:c r="B21" s="32" t="str">
        <x:v>V15</x:v>
      </x:c>
      <x:c r="C21" s="32" t="str">
        <x:v>route node and carrier chronology</x:v>
      </x:c>
      <x:c r="D21" s="32" t="str">
        <x:v>Independent Evidence and Data Authority</x:v>
      </x:c>
      <x:c r="E21" s="32" t="n">
        <x:v>1</x:v>
      </x:c>
      <x:c r="F21" s="52" t="n">
        <x:v>0</x:v>
      </x:c>
      <x:c r="G21" s="52" t="n">
        <x:v>0</x:v>
      </x:c>
      <x:c r="H21" s="32" t="str">
        <x:v>OPEN</x:v>
      </x:c>
      <x:c r="I21" s="33" t="str">
        <x:v>HOLD</x:v>
      </x:c>
    </x:row>
    <x:row r="22" ht="30" customHeight="1">
      <x:c r="B22" s="32" t="str">
        <x:v>V16</x:v>
      </x:c>
      <x:c r="C22" s="32" t="str">
        <x:v>receiving consent capacity and interface</x:v>
      </x:c>
      <x:c r="D22" s="32" t="str">
        <x:v>Receiving Service Authority</x:v>
      </x:c>
      <x:c r="E22" s="32" t="n">
        <x:v>1</x:v>
      </x:c>
      <x:c r="F22" s="52" t="n">
        <x:v>0</x:v>
      </x:c>
      <x:c r="G22" s="52" t="n">
        <x:v>0</x:v>
      </x:c>
      <x:c r="H22" s="32" t="str">
        <x:v>OPEN</x:v>
      </x:c>
      <x:c r="I22" s="33" t="str">
        <x:v>HOLD</x:v>
      </x:c>
    </x:row>
    <x:row r="23" ht="30" customHeight="1">
      <x:c r="B23" s="32" t="str">
        <x:v>V17</x:v>
      </x:c>
      <x:c r="C23" s="32" t="str">
        <x:v>commissioned public-effect measurement</x:v>
      </x:c>
      <x:c r="D23" s="32" t="str">
        <x:v>Civil Guarantee and Receiving Service Authorities</x:v>
      </x:c>
      <x:c r="E23" s="32" t="n">
        <x:v>1</x:v>
      </x:c>
      <x:c r="F23" s="52" t="n">
        <x:v>0</x:v>
      </x:c>
      <x:c r="G23" s="52" t="n">
        <x:v>0</x:v>
      </x:c>
      <x:c r="H23" s="32" t="str">
        <x:v>OPEN</x:v>
      </x:c>
      <x:c r="I23" s="33" t="str">
        <x:v>HOLD</x:v>
      </x:c>
    </x:row>
    <x:row r="24" ht="30" customHeight="1">
      <x:c r="B24" s="32" t="str">
        <x:v>V18</x:v>
      </x:c>
      <x:c r="C24" s="32" t="str">
        <x:v>residual waste and environmental closure</x:v>
      </x:c>
      <x:c r="D24" s="32" t="str">
        <x:v>Independent Safety and Environmental Authority</x:v>
      </x:c>
      <x:c r="E24" s="32" t="n">
        <x:v>1</x:v>
      </x:c>
      <x:c r="F24" s="52" t="n">
        <x:v>0</x:v>
      </x:c>
      <x:c r="G24" s="52" t="n">
        <x:v>0</x:v>
      </x:c>
      <x:c r="H24" s="32" t="str">
        <x:v>OPEN</x:v>
      </x:c>
      <x:c r="I24" s="33" t="str">
        <x:v>HOLD</x:v>
      </x:c>
    </x:row>
    <x:row r="25" ht="30" customHeight="1">
      <x:c r="B25" s="32" t="str">
        <x:v>V19</x:v>
      </x:c>
      <x:c r="C25" s="32" t="str">
        <x:v>sustainment consumption and repair</x:v>
      </x:c>
      <x:c r="D25" s="32" t="str">
        <x:v>Independent Cost and Capacity Authority</x:v>
      </x:c>
      <x:c r="E25" s="32" t="n">
        <x:v>1</x:v>
      </x:c>
      <x:c r="F25" s="52" t="n">
        <x:v>0</x:v>
      </x:c>
      <x:c r="G25" s="52" t="n">
        <x:v>0</x:v>
      </x:c>
      <x:c r="H25" s="32" t="str">
        <x:v>OPEN</x:v>
      </x:c>
      <x:c r="I25" s="33" t="str">
        <x:v>HOLD</x:v>
      </x:c>
    </x:row>
    <x:row r="26" ht="30" customHeight="1">
      <x:c r="B26" s="32" t="str">
        <x:v>V20</x:v>
      </x:c>
      <x:c r="C26" s="32" t="str">
        <x:v>regeneration workforce material and configuration</x:v>
      </x:c>
      <x:c r="D26" s="32" t="str">
        <x:v>Independent Cost and Capacity Authority</x:v>
      </x:c>
      <x:c r="E26" s="32" t="n">
        <x:v>1</x:v>
      </x:c>
      <x:c r="F26" s="52" t="n">
        <x:v>0</x:v>
      </x:c>
      <x:c r="G26" s="52" t="n">
        <x:v>0</x:v>
      </x:c>
      <x:c r="H26" s="32" t="str">
        <x:v>OPEN</x:v>
      </x:c>
      <x:c r="I26" s="33" t="str">
        <x:v>HOLD</x:v>
      </x:c>
    </x:row>
    <x:row r="27" ht="30" customHeight="1">
      <x:c r="B27" s="32" t="str">
        <x:v>V21</x:v>
      </x:c>
      <x:c r="C27" s="32" t="str">
        <x:v>follow-on reserve untouched until release</x:v>
      </x:c>
      <x:c r="D27" s="32" t="str">
        <x:v>Production Release Board</x:v>
      </x:c>
      <x:c r="E27" s="32" t="n">
        <x:v>1</x:v>
      </x:c>
      <x:c r="F27" s="52" t="n">
        <x:v>0</x:v>
      </x:c>
      <x:c r="G27" s="52" t="n">
        <x:v>0</x:v>
      </x:c>
      <x:c r="H27" s="32" t="str">
        <x:v>OPEN</x:v>
      </x:c>
      <x:c r="I27" s="33" t="str">
        <x:v>HOLD</x:v>
      </x:c>
    </x:row>
    <x:row r="28" ht="30" customHeight="1">
      <x:c r="B28" s="32" t="str">
        <x:v>V22</x:v>
      </x:c>
      <x:c r="C28" s="32" t="str">
        <x:v>inject custody and observer independence</x:v>
      </x:c>
      <x:c r="D28" s="32" t="str">
        <x:v>Joint exercise white cell</x:v>
      </x:c>
      <x:c r="E28" s="32" t="n">
        <x:v>1</x:v>
      </x:c>
      <x:c r="F28" s="52" t="n">
        <x:v>0</x:v>
      </x:c>
      <x:c r="G28" s="52" t="n">
        <x:v>0</x:v>
      </x:c>
      <x:c r="H28" s="32" t="str">
        <x:v>OPEN</x:v>
      </x:c>
      <x:c r="I28" s="33" t="str">
        <x:v>HOLD</x:v>
      </x:c>
    </x:row>
    <x:row r="29" ht="30" customHeight="1">
      <x:c r="B29" s="32" t="str">
        <x:v>V23</x:v>
      </x:c>
      <x:c r="C29" s="32" t="str">
        <x:v>deviation waiver and affected serials</x:v>
      </x:c>
      <x:c r="D29" s="32" t="str">
        <x:v>Configuration control authority</x:v>
      </x:c>
      <x:c r="E29" s="32" t="n">
        <x:v>1</x:v>
      </x:c>
      <x:c r="F29" s="52" t="n">
        <x:v>0</x:v>
      </x:c>
      <x:c r="G29" s="52" t="n">
        <x:v>0</x:v>
      </x:c>
      <x:c r="H29" s="32" t="str">
        <x:v>OPEN</x:v>
      </x:c>
      <x:c r="I29" s="33" t="str">
        <x:v>HOLD</x:v>
      </x:c>
    </x:row>
    <x:row r="30" ht="30" customHeight="1">
      <x:c r="B30" s="34" t="str">
        <x:v>V24</x:v>
      </x:c>
      <x:c r="C30" s="34" t="str">
        <x:v>public causal after-action record</x:v>
      </x:c>
      <x:c r="D30" s="34" t="str">
        <x:v>Civil Guarantee Authority</x:v>
      </x:c>
      <x:c r="E30" s="34" t="n">
        <x:v>1</x:v>
      </x:c>
      <x:c r="F30" s="53" t="n">
        <x:v>0</x:v>
      </x:c>
      <x:c r="G30" s="53" t="n">
        <x:v>0</x:v>
      </x:c>
      <x:c r="H30" s="34" t="str">
        <x:v>OPEN</x:v>
      </x:c>
      <x:c r="I30" s="35" t="str">
        <x:v>HOLD</x:v>
      </x:c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</x:sheetData>
  <x:mergeCells>
    <x:mergeCell ref="B3:I3"/>
  </x:mergeCells>
  <x:conditionalFormatting sqref="H7:I30">
    <x:cfRule type="containsText" dxfId="54" priority="1" operator="containsText" text="OPEN"/>
    <x:cfRule type="containsText" dxfId="55" priority="2" operator="containsText" text="HOLD"/>
    <x:cfRule type="containsText" dxfId="56" priority="3" operator="containsText" text="BLOCKED"/>
    <x:cfRule type="containsText" dxfId="57" priority="4" operator="containsText" text="GAP"/>
    <x:cfRule type="containsText" dxfId="58" priority="5" operator="containsText" text="NOT ADMITTED"/>
    <x:cfRule type="containsText" dxfId="59" priority="6" operator="containsText" text="FAIL"/>
    <x:cfRule type="containsText" dxfId="60" priority="7" operator="containsText" text="PASS"/>
    <x:cfRule type="containsText" dxfId="61" priority="8" operator="containsText" text="ADEQUATE"/>
    <x:cfRule type="containsText" dxfId="62" priority="9" operator="containsText" text="ADMITT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1" hidden="0" customWidth="1"/>
    <x:col min="4" max="4" width="47" hidden="0" customWidth="1"/>
    <x:col min="5" max="5" width="45" hidden="0" customWidth="1"/>
    <x:col min="6" max="6" width="20" hidden="0" customWidth="1"/>
    <x:col min="7" max="7" width="14" hidden="0" customWidth="1"/>
    <x:col min="8" max="8" width="23" hidden="0" customWidth="1"/>
    <x:col min="9" max="9" width="13" hidden="0" customWidth="1"/>
  </x:cols>
  <x:sheetData>
    <x:row r="2">
      <x:c r="B2" s="3" t="str">
        <x:v>Exercise control authorities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The seven acquisition authorities remain. Mobilization adds an independent safety and environmental stop authority that cannot award mission success.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Authority</x:v>
      </x:c>
      <x:c r="C6" s="20" t="str">
        <x:v>Institution</x:v>
      </x:c>
      <x:c r="D6" s="20" t="str">
        <x:v>Affirmative power</x:v>
      </x:c>
      <x:c r="E6" s="20" t="str">
        <x:v>Forbidden power</x:v>
      </x:c>
      <x:c r="F6" s="20" t="str">
        <x:v>Sees sealed injects</x:v>
      </x:c>
      <x:c r="G6" s="20" t="str">
        <x:v>May stop</x:v>
      </x:c>
      <x:c r="H6" s="20" t="str">
        <x:v>May accept own output</x:v>
      </x:c>
      <x:c r="I6" s="20" t="str">
        <x:v>Decision</x:v>
      </x:c>
    </x:row>
    <x:row r="7" ht="44" customHeight="1">
      <x:c r="B7" s="32" t="str">
        <x:v>A01</x:v>
      </x:c>
      <x:c r="C7" s="32" t="str">
        <x:v>Civil Guarantee Authority</x:v>
      </x:c>
      <x:c r="D7" s="32" t="str">
        <x:v>orders purpose and accepts public effect</x:v>
      </x:c>
      <x:c r="E7" s="32" t="str">
        <x:v>cannot select builder or rewrite failure</x:v>
      </x:c>
      <x:c r="F7" s="32" t="n">
        <x:v>0</x:v>
      </x:c>
      <x:c r="G7" s="32" t="n">
        <x:v>0</x:v>
      </x:c>
      <x:c r="H7" s="32" t="n">
        <x:v>0</x:v>
      </x:c>
      <x:c r="I7" s="33" t="str">
        <x:v>HOLD</x:v>
      </x:c>
    </x:row>
    <x:row r="8" ht="44" customHeight="1">
      <x:c r="B8" s="32" t="str">
        <x:v>A02</x:v>
      </x:c>
      <x:c r="C8" s="32" t="str">
        <x:v>Resilience Staff</x:v>
      </x:c>
      <x:c r="D8" s="32" t="str">
        <x:v>allocates families campaigns and reserve</x:v>
      </x:c>
      <x:c r="E8" s="32" t="str">
        <x:v>cannot grade physical evidence</x:v>
      </x:c>
      <x:c r="F8" s="32" t="n">
        <x:v>0</x:v>
      </x:c>
      <x:c r="G8" s="32" t="n">
        <x:v>0</x:v>
      </x:c>
      <x:c r="H8" s="32" t="n">
        <x:v>0</x:v>
      </x:c>
      <x:c r="I8" s="33" t="str">
        <x:v>HOLD</x:v>
      </x:c>
    </x:row>
    <x:row r="9" ht="44" customHeight="1">
      <x:c r="B9" s="32" t="str">
        <x:v>A03</x:v>
      </x:c>
      <x:c r="C9" s="32" t="str">
        <x:v>AIMC and activated industry</x:v>
      </x:c>
      <x:c r="D9" s="32" t="str">
        <x:v>musters people facilities materials and production</x:v>
      </x:c>
      <x:c r="E9" s="32" t="str">
        <x:v>cannot see injects or accept own output</x:v>
      </x:c>
      <x:c r="F9" s="32" t="n">
        <x:v>0</x:v>
      </x:c>
      <x:c r="G9" s="32" t="n">
        <x:v>0</x:v>
      </x:c>
      <x:c r="H9" s="32" t="n">
        <x:v>0</x:v>
      </x:c>
      <x:c r="I9" s="33" t="str">
        <x:v>HOLD</x:v>
      </x:c>
    </x:row>
    <x:row r="10" ht="44" customHeight="1">
      <x:c r="B10" s="32" t="str">
        <x:v>A04</x:v>
      </x:c>
      <x:c r="C10" s="32" t="str">
        <x:v>Independent Evidence and Data Authority</x:v>
      </x:c>
      <x:c r="D10" s="32" t="str">
        <x:v>owns instruments observers originals and findings</x:v>
      </x:c>
      <x:c r="E10" s="32" t="str">
        <x:v>cannot manage participant performance</x:v>
      </x:c>
      <x:c r="F10" s="32" t="n">
        <x:v>0</x:v>
      </x:c>
      <x:c r="G10" s="32" t="n">
        <x:v>1</x:v>
      </x:c>
      <x:c r="H10" s="32" t="n">
        <x:v>0</x:v>
      </x:c>
      <x:c r="I10" s="33" t="str">
        <x:v>HOLD</x:v>
      </x:c>
    </x:row>
    <x:row r="11" ht="44" customHeight="1">
      <x:c r="B11" s="32" t="str">
        <x:v>A05</x:v>
      </x:c>
      <x:c r="C11" s="32" t="str">
        <x:v>Receiving Service Authority</x:v>
      </x:c>
      <x:c r="D11" s="32" t="str">
        <x:v>accepts local burden consent and service</x:v>
      </x:c>
      <x:c r="E11" s="32" t="str">
        <x:v>cannot waive national effect or safety</x:v>
      </x:c>
      <x:c r="F11" s="32" t="n">
        <x:v>0</x:v>
      </x:c>
      <x:c r="G11" s="32" t="n">
        <x:v>1</x:v>
      </x:c>
      <x:c r="H11" s="32" t="n">
        <x:v>0</x:v>
      </x:c>
      <x:c r="I11" s="33" t="str">
        <x:v>HOLD</x:v>
      </x:c>
    </x:row>
    <x:row r="12" ht="44" customHeight="1">
      <x:c r="B12" s="32" t="str">
        <x:v>A06</x:v>
      </x:c>
      <x:c r="C12" s="32" t="str">
        <x:v>Independent Cost and Capacity Authority</x:v>
      </x:c>
      <x:c r="D12" s="32" t="str">
        <x:v>owns white cell randomization cost and capacity findings</x:v>
      </x:c>
      <x:c r="E12" s="32" t="str">
        <x:v>cannot improve observed output administratively</x:v>
      </x:c>
      <x:c r="F12" s="32" t="n">
        <x:v>1</x:v>
      </x:c>
      <x:c r="G12" s="32" t="n">
        <x:v>1</x:v>
      </x:c>
      <x:c r="H12" s="32" t="n">
        <x:v>0</x:v>
      </x:c>
      <x:c r="I12" s="33" t="str">
        <x:v>HOLD</x:v>
      </x:c>
    </x:row>
    <x:row r="13" ht="44" customHeight="1">
      <x:c r="B13" s="32" t="str">
        <x:v>A07</x:v>
      </x:c>
      <x:c r="C13" s="32" t="str">
        <x:v>Production Release Board</x:v>
      </x:c>
      <x:c r="D13" s="32" t="str">
        <x:v>releases bounded exercise lots and reserve</x:v>
      </x:c>
      <x:c r="E13" s="32" t="str">
        <x:v>cannot manufacture missing evidence</x:v>
      </x:c>
      <x:c r="F13" s="32" t="n">
        <x:v>0</x:v>
      </x:c>
      <x:c r="G13" s="32" t="n">
        <x:v>0</x:v>
      </x:c>
      <x:c r="H13" s="32" t="n">
        <x:v>0</x:v>
      </x:c>
      <x:c r="I13" s="33" t="str">
        <x:v>HOLD</x:v>
      </x:c>
    </x:row>
    <x:row r="14" ht="44" customHeight="1">
      <x:c r="B14" s="34" t="str">
        <x:v>A08</x:v>
      </x:c>
      <x:c r="C14" s="34" t="str">
        <x:v>Independent Safety and Environmental Authority</x:v>
      </x:c>
      <x:c r="D14" s="34" t="str">
        <x:v>may stop exposure and require safe state</x:v>
      </x:c>
      <x:c r="E14" s="34" t="str">
        <x:v>cannot convert safe stop into mission success</x:v>
      </x:c>
      <x:c r="F14" s="34" t="n">
        <x:v>0</x:v>
      </x:c>
      <x:c r="G14" s="34" t="n">
        <x:v>1</x:v>
      </x:c>
      <x:c r="H14" s="34" t="n">
        <x:v>0</x:v>
      </x:c>
      <x:c r="I14" s="35" t="str">
        <x:v>HOLD</x:v>
      </x:c>
    </x:row>
    <x:row r="15">
      <x:c r="B15" s="2"/>
      <x:c r="C15" s="2"/>
      <x:c r="D15" s="2"/>
      <x:c r="E15" s="2"/>
      <x:c r="F15" s="2"/>
      <x:c r="G15" s="2"/>
      <x:c r="H15" s="2"/>
      <x:c r="I15" s="2"/>
    </x:row>
    <x:row r="16">
      <x:c r="B16" s="2"/>
      <x:c r="C16" s="2"/>
      <x:c r="D16" s="2"/>
      <x:c r="E16" s="2"/>
      <x:c r="F16" s="2"/>
      <x:c r="G16" s="2"/>
      <x:c r="H16" s="2"/>
      <x:c r="I16" s="2"/>
    </x:row>
    <x:row r="17">
      <x:c r="B17" s="2"/>
      <x:c r="C17" s="2"/>
      <x:c r="D17" s="2"/>
      <x:c r="E17" s="2"/>
      <x:c r="F17" s="2"/>
      <x:c r="G17" s="2"/>
      <x:c r="H17" s="2"/>
      <x:c r="I17" s="2"/>
    </x:row>
    <x:row r="18">
      <x:c r="B18" s="2"/>
      <x:c r="C18" s="2"/>
      <x:c r="D18" s="2"/>
      <x:c r="E18" s="2"/>
      <x:c r="F18" s="2"/>
      <x:c r="G18" s="2"/>
      <x:c r="H18" s="2"/>
      <x:c r="I18" s="2"/>
    </x:row>
    <x:row r="19">
      <x:c r="B19" s="2"/>
      <x:c r="C19" s="2"/>
      <x:c r="D19" s="2"/>
      <x:c r="E19" s="2"/>
      <x:c r="F19" s="2"/>
      <x:c r="G19" s="2"/>
      <x:c r="H19" s="2"/>
      <x:c r="I19" s="2"/>
    </x:row>
    <x:row r="20">
      <x:c r="B20" s="2"/>
      <x:c r="C20" s="2"/>
      <x:c r="D20" s="2"/>
      <x:c r="E20" s="2"/>
      <x:c r="F20" s="2"/>
      <x:c r="G20" s="2"/>
      <x:c r="H20" s="2"/>
      <x:c r="I20" s="2"/>
    </x:row>
  </x:sheetData>
  <x:mergeCells>
    <x:mergeCell ref="B3:I3"/>
  </x:mergeCells>
  <x:conditionalFormatting sqref="I7:I14">
    <x:cfRule type="containsText" dxfId="63" priority="1" operator="containsText" text="OPEN"/>
    <x:cfRule type="containsText" dxfId="64" priority="2" operator="containsText" text="HOLD"/>
    <x:cfRule type="containsText" dxfId="65" priority="3" operator="containsText" text="BLOCKED"/>
    <x:cfRule type="containsText" dxfId="66" priority="4" operator="containsText" text="GAP"/>
    <x:cfRule type="containsText" dxfId="67" priority="5" operator="containsText" text="NOT ADMITTED"/>
    <x:cfRule type="containsText" dxfId="68" priority="6" operator="containsText" text="FAIL"/>
    <x:cfRule type="containsText" dxfId="69" priority="7" operator="containsText" text="PASS"/>
    <x:cfRule type="containsText" dxfId="70" priority="8" operator="containsText" text="ADEQUATE"/>
    <x:cfRule type="containsText" dxfId="71" priority="9" operator="containsText" text="ADMITT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3" hidden="0" customWidth="1"/>
    <x:col min="4" max="4" width="18" hidden="0" customWidth="1"/>
    <x:col min="5" max="5" width="14" hidden="0" customWidth="1"/>
    <x:col min="6" max="6" width="24" hidden="0" customWidth="1"/>
    <x:col min="7" max="7" width="22" hidden="0" customWidth="1"/>
    <x:col min="8" max="8" width="48" hidden="0" customWidth="1"/>
    <x:col min="9" max="9" width="14" hidden="0" customWidth="1"/>
    <x:col min="10" max="10" width="14" hidden="0" customWidth="1"/>
  </x:cols>
  <x:sheetData>
    <x:row r="2">
      <x:c r="B2" s="3" t="str">
        <x:v>Exercise operating cost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USD 62B annual exercise program is a planning allocation within mature AIMC annual operations. It is not new force capital or a vendor estimate.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Cost</x:v>
      </x:c>
      <x:c r="C6" s="20" t="str">
        <x:v>Workstream</x:v>
      </x:c>
      <x:c r="D6" s="20" t="str">
        <x:v>Annual USD B</x:v>
      </x:c>
      <x:c r="E6" s="20" t="str">
        <x:v>Share</x:v>
      </x:c>
      <x:c r="F6" s="20" t="str">
        <x:v>Twenty-five-year USD T</x:v>
      </x:c>
      <x:c r="G6" s="20" t="str">
        <x:v>AIMC operations share</x:v>
      </x:c>
      <x:c r="H6" s="20" t="str">
        <x:v>Basis</x:v>
      </x:c>
      <x:c r="I6" s="20" t="str">
        <x:v>Nested once</x:v>
      </x:c>
      <x:c r="J6" s="20" t="str">
        <x:v>State</x:v>
      </x:c>
    </x:row>
    <x:row r="7">
      <x:c r="B7" s="21" t="str">
        <x:v>C01</x:v>
      </x:c>
      <x:c r="C7" s="21" t="str">
        <x:v>No-notice activation payments</x:v>
      </x:c>
      <x:c r="D7" s="37" t="n">
        <x:v>18</x:v>
      </x:c>
      <x:c r="E7" s="41" t="n">
        <x:f>D7/SUM($D$7:$D$15)</x:f>
        <x:v>0.2903225806451613</x:v>
      </x:c>
      <x:c r="F7" s="37" t="n">
        <x:f>D7*Assumptions!C15/1000</x:f>
        <x:v>0.45</x:v>
      </x:c>
      <x:c r="G7" s="41" t="n">
        <x:f>D7/Assumptions!C14</x:f>
        <x:v>0.05806451612903226</x:v>
      </x:c>
      <x:c r="H7" s="21" t="str">
        <x:v>exercised people tools and cold starts</x:v>
      </x:c>
      <x:c r="I7" s="21" t="str">
        <x:v>yes</x:v>
      </x:c>
      <x:c r="J7" s="23" t="str">
        <x:v>PLANNING</x:v>
      </x:c>
    </x:row>
    <x:row r="8">
      <x:c r="B8" s="21" t="str">
        <x:v>C02</x:v>
      </x:c>
      <x:c r="C8" s="21" t="str">
        <x:v>Consumed lots scrap and replacement</x:v>
      </x:c>
      <x:c r="D8" s="37" t="n">
        <x:v>12</x:v>
      </x:c>
      <x:c r="E8" s="41" t="n">
        <x:f>D8/SUM($D$7:$D$15)</x:f>
        <x:v>0.1935483870967742</x:v>
      </x:c>
      <x:c r="F8" s="37" t="n">
        <x:f>D8*Assumptions!C15/1000</x:f>
        <x:v>0.3</x:v>
      </x:c>
      <x:c r="G8" s="41" t="n">
        <x:f>D8/Assumptions!C14</x:f>
        <x:v>0.03870967741935484</x:v>
      </x:c>
      <x:c r="H8" s="21" t="str">
        <x:v>destructive truth without starving operational stock</x:v>
      </x:c>
      <x:c r="I8" s="21" t="str">
        <x:v>yes</x:v>
      </x:c>
      <x:c r="J8" s="23" t="str">
        <x:v>PLANNING</x:v>
      </x:c>
    </x:row>
    <x:row r="9">
      <x:c r="B9" s="21" t="str">
        <x:v>C03</x:v>
      </x:c>
      <x:c r="C9" s="21" t="str">
        <x:v>Transport receiving and commissioning</x:v>
      </x:c>
      <x:c r="D9" s="37" t="n">
        <x:v>8</x:v>
      </x:c>
      <x:c r="E9" s="41" t="n">
        <x:f>D9/SUM($D$7:$D$15)</x:f>
        <x:v>0.12903225806451613</x:v>
      </x:c>
      <x:c r="F9" s="37" t="n">
        <x:f>D9*Assumptions!C15/1000</x:f>
        <x:v>0.2</x:v>
      </x:c>
      <x:c r="G9" s="41" t="n">
        <x:f>D9/Assumptions!C14</x:f>
        <x:v>0.025806451612903226</x:v>
      </x:c>
      <x:c r="H9" s="21" t="str">
        <x:v>service chain beyond factory gate</x:v>
      </x:c>
      <x:c r="I9" s="21" t="str">
        <x:v>yes</x:v>
      </x:c>
      <x:c r="J9" s="23" t="str">
        <x:v>PLANNING</x:v>
      </x:c>
    </x:row>
    <x:row r="10">
      <x:c r="B10" s="21" t="str">
        <x:v>C04</x:v>
      </x:c>
      <x:c r="C10" s="21" t="str">
        <x:v>Independent evidence and metrology</x:v>
      </x:c>
      <x:c r="D10" s="37" t="n">
        <x:v>6</x:v>
      </x:c>
      <x:c r="E10" s="41" t="n">
        <x:f>D10/SUM($D$7:$D$15)</x:f>
        <x:v>0.0967741935483871</x:v>
      </x:c>
      <x:c r="F10" s="37" t="n">
        <x:f>D10*Assumptions!C15/1000</x:f>
        <x:v>0.15</x:v>
      </x:c>
      <x:c r="G10" s="41" t="n">
        <x:f>D10/Assumptions!C14</x:f>
        <x:v>0.01935483870967742</x:v>
      </x:c>
      <x:c r="H10" s="21" t="str">
        <x:v>observers instruments custody and reproduction</x:v>
      </x:c>
      <x:c r="I10" s="21" t="str">
        <x:v>yes</x:v>
      </x:c>
      <x:c r="J10" s="23" t="str">
        <x:v>PLANNING</x:v>
      </x:c>
    </x:row>
    <x:row r="11">
      <x:c r="B11" s="21" t="str">
        <x:v>C05</x:v>
      </x:c>
      <x:c r="C11" s="21" t="str">
        <x:v>Workforce backfill and credentialing</x:v>
      </x:c>
      <x:c r="D11" s="37" t="n">
        <x:v>5</x:v>
      </x:c>
      <x:c r="E11" s="41" t="n">
        <x:f>D11/SUM($D$7:$D$15)</x:f>
        <x:v>0.08064516129032258</x:v>
      </x:c>
      <x:c r="F11" s="37" t="n">
        <x:f>D11*Assumptions!C15/1000</x:f>
        <x:v>0.125</x:v>
      </x:c>
      <x:c r="G11" s="41" t="n">
        <x:f>D11/Assumptions!C14</x:f>
        <x:v>0.016129032258064516</x:v>
      </x:c>
      <x:c r="H11" s="21" t="str">
        <x:v>industrial participation and continuity</x:v>
      </x:c>
      <x:c r="I11" s="21" t="str">
        <x:v>yes</x:v>
      </x:c>
      <x:c r="J11" s="23" t="str">
        <x:v>PLANNING</x:v>
      </x:c>
    </x:row>
    <x:row r="12">
      <x:c r="B12" s="21" t="str">
        <x:v>C06</x:v>
      </x:c>
      <x:c r="C12" s="21" t="str">
        <x:v>Facility utility and safe-start operations</x:v>
      </x:c>
      <x:c r="D12" s="37" t="n">
        <x:v>4</x:v>
      </x:c>
      <x:c r="E12" s="41" t="n">
        <x:f>D12/SUM($D$7:$D$15)</x:f>
        <x:v>0.06451612903225806</x:v>
      </x:c>
      <x:c r="F12" s="37" t="n">
        <x:f>D12*Assumptions!C15/1000</x:f>
        <x:v>0.1</x:v>
      </x:c>
      <x:c r="G12" s="41" t="n">
        <x:f>D12/Assumptions!C14</x:f>
        <x:v>0.012903225806451613</x:v>
      </x:c>
      <x:c r="H12" s="21" t="str">
        <x:v>islanded high-hazard and technical sites</x:v>
      </x:c>
      <x:c r="I12" s="21" t="str">
        <x:v>yes</x:v>
      </x:c>
      <x:c r="J12" s="23" t="str">
        <x:v>PLANNING</x:v>
      </x:c>
    </x:row>
    <x:row r="13">
      <x:c r="B13" s="21" t="str">
        <x:v>C07</x:v>
      </x:c>
      <x:c r="C13" s="21" t="str">
        <x:v>Data custody and public after action</x:v>
      </x:c>
      <x:c r="D13" s="37" t="n">
        <x:v>2</x:v>
      </x:c>
      <x:c r="E13" s="41" t="n">
        <x:f>D13/SUM($D$7:$D$15)</x:f>
        <x:v>0.03225806451612903</x:v>
      </x:c>
      <x:c r="F13" s="37" t="n">
        <x:f>D13*Assumptions!C15/1000</x:f>
        <x:v>0.05</x:v>
      </x:c>
      <x:c r="G13" s="41" t="n">
        <x:f>D13/Assumptions!C14</x:f>
        <x:v>0.0064516129032258064</x:v>
      </x:c>
      <x:c r="H13" s="21" t="str">
        <x:v>complete reconstructable causal records</x:v>
      </x:c>
      <x:c r="I13" s="21" t="str">
        <x:v>yes</x:v>
      </x:c>
      <x:c r="J13" s="23" t="str">
        <x:v>PLANNING</x:v>
      </x:c>
    </x:row>
    <x:row r="14">
      <x:c r="B14" s="21" t="str">
        <x:v>C08</x:v>
      </x:c>
      <x:c r="C14" s="21" t="str">
        <x:v>Allied source activation</x:v>
      </x:c>
      <x:c r="D14" s="37" t="n">
        <x:v>2</x:v>
      </x:c>
      <x:c r="E14" s="41" t="n">
        <x:f>D14/SUM($D$7:$D$15)</x:f>
        <x:v>0.03225806451612903</x:v>
      </x:c>
      <x:c r="F14" s="37" t="n">
        <x:f>D14*Assumptions!C15/1000</x:f>
        <x:v>0.05</x:v>
      </x:c>
      <x:c r="G14" s="41" t="n">
        <x:f>D14/Assumptions!C14</x:f>
        <x:v>0.0064516129032258064</x:v>
      </x:c>
      <x:c r="H14" s="21" t="str">
        <x:v>licensed parallel production and transfer</x:v>
      </x:c>
      <x:c r="I14" s="21" t="str">
        <x:v>yes</x:v>
      </x:c>
      <x:c r="J14" s="23" t="str">
        <x:v>PLANNING</x:v>
      </x:c>
    </x:row>
    <x:row r="15">
      <x:c r="B15" s="21" t="str">
        <x:v>C09</x:v>
      </x:c>
      <x:c r="C15" s="21" t="str">
        <x:v>Exercise contingency and safety reserve</x:v>
      </x:c>
      <x:c r="D15" s="37" t="n">
        <x:v>5</x:v>
      </x:c>
      <x:c r="E15" s="41" t="n">
        <x:f>D15/SUM($D$7:$D$15)</x:f>
        <x:v>0.08064516129032258</x:v>
      </x:c>
      <x:c r="F15" s="37" t="n">
        <x:f>D15*Assumptions!C15/1000</x:f>
        <x:v>0.125</x:v>
      </x:c>
      <x:c r="G15" s="41" t="n">
        <x:f>D15/Assumptions!C14</x:f>
        <x:v>0.016129032258064516</x:v>
      </x:c>
      <x:c r="H15" s="21" t="str">
        <x:v>safe stops quarantine and repeated evidence</x:v>
      </x:c>
      <x:c r="I15" s="21" t="str">
        <x:v>yes</x:v>
      </x:c>
      <x:c r="J15" s="23" t="str">
        <x:v>PLANNING</x:v>
      </x:c>
    </x:row>
    <x:row r="16">
      <x:c r="B16" s="21"/>
      <x:c r="C16" s="21"/>
      <x:c r="D16" s="37"/>
      <x:c r="E16" s="41"/>
      <x:c r="F16" s="37"/>
      <x:c r="G16" s="41"/>
      <x:c r="H16" s="21"/>
      <x:c r="I16" s="21"/>
      <x:c r="J16" s="23"/>
    </x:row>
    <x:row r="17">
      <x:c r="B17" s="24" t="str">
        <x:v>TOTAL</x:v>
      </x:c>
      <x:c r="C17" s="24" t="str"/>
      <x:c r="D17" s="38" t="n">
        <x:f>SUM(D7:D15)</x:f>
        <x:v>62</x:v>
      </x:c>
      <x:c r="E17" s="43" t="n">
        <x:f>SUM(E7:E15)</x:f>
        <x:v>1</x:v>
      </x:c>
      <x:c r="F17" s="38" t="n">
        <x:f>SUM(F7:F15)</x:f>
        <x:v>1.55</x:v>
      </x:c>
      <x:c r="G17" s="43" t="n">
        <x:f>D17/Assumptions!C14</x:f>
        <x:v>0.2</x:v>
      </x:c>
      <x:c r="H17" s="24" t="str"/>
      <x:c r="I17" s="24" t="str"/>
      <x:c r="J17" s="26" t="str">
        <x:v>HOLD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9" t="str">
        <x:v>Boundary</x:v>
      </x:c>
      <x:c r="C20" s="30" t="str">
        <x:v>Boundary</x:v>
      </x:c>
      <x:c r="D20" s="30" t="str">
        <x:v>Boundary</x:v>
      </x:c>
      <x:c r="E20" s="30" t="str">
        <x:v>Boundary</x:v>
      </x:c>
      <x:c r="F20" s="30" t="str">
        <x:v>Boundary</x:v>
      </x:c>
      <x:c r="G20" s="30" t="str">
        <x:v>Boundary</x:v>
      </x:c>
      <x:c r="H20" s="30" t="str">
        <x:v>Boundary</x:v>
      </x:c>
      <x:c r="I20" s="30" t="str">
        <x:v>Boundary</x:v>
      </x:c>
      <x:c r="J20" s="31" t="str">
        <x:v>Boundary</x:v>
      </x:c>
    </x:row>
    <x:row r="21">
      <x:c r="B21" s="2" t="str">
        <x:v>The annual allocation equals twenty percent of the USD 310B mature AIMC operating design and USD 1.55T over twenty-five years.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</x:row>
    <x:row r="22">
      <x:c r="B22" s="2" t="str">
        <x:v>Consumed articles and destructive trials are exercise cost, not evidence that the serial force is ready.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</x:row>
    <x:row r="23">
      <x:c r="B23" s="2" t="str">
        <x:v>Activation payments buy a callable obligation. Only observed conforming service earns mobilization evidence.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</x:row>
    <x:row r="24">
      <x:c r="B24" s="2" t="str">
        <x:v>Every amount is a strategic design hypothesis nested inside prior force economics.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B3:J3"/>
    <x:mergeCell ref="B20:J20"/>
  </x:mergeCells>
  <x:conditionalFormatting sqref="J7:J17">
    <x:cfRule type="containsText" dxfId="72" priority="1" operator="containsText" text="OPEN"/>
    <x:cfRule type="containsText" dxfId="73" priority="2" operator="containsText" text="HOLD"/>
    <x:cfRule type="containsText" dxfId="74" priority="3" operator="containsText" text="BLOCKED"/>
    <x:cfRule type="containsText" dxfId="75" priority="4" operator="containsText" text="GAP"/>
    <x:cfRule type="containsText" dxfId="76" priority="5" operator="containsText" text="NOT ADMITTED"/>
    <x:cfRule type="containsText" dxfId="77" priority="6" operator="containsText" text="FAIL"/>
    <x:cfRule type="containsText" dxfId="78" priority="7" operator="containsText" text="PASS"/>
    <x:cfRule type="containsText" dxfId="79" priority="8" operator="containsText" text="ADEQUATE"/>
    <x:cfRule type="containsText" dxfId="80" priority="9" operator="containsText" text="ADMITT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5" hidden="0" customWidth="1"/>
    <x:col min="4" max="4" width="17" hidden="0" customWidth="1"/>
    <x:col min="5" max="5" width="19" hidden="0" customWidth="1"/>
    <x:col min="6" max="6" width="22" hidden="0" customWidth="1"/>
    <x:col min="7" max="7" width="19" hidden="0" customWidth="1"/>
    <x:col min="8" max="8" width="22" hidden="0" customWidth="1"/>
    <x:col min="9" max="9" width="15" hidden="0" customWidth="1"/>
    <x:col min="10" max="10" width="17" hidden="0" customWidth="1"/>
    <x:col min="11" max="11" width="15" hidden="0" customWidth="1"/>
    <x:col min="12" max="12" width="18" hidden="0" customWidth="1"/>
    <x:col min="13" max="13" width="20" hidden="0" customWidth="1"/>
    <x:col min="14" max="14" width="54" hidden="0" customWidth="1"/>
  </x:cols>
  <x:sheetData>
    <x:row r="2">
      <x:c r="B2" s="3" t="str">
        <x:v>Family after-action admission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Planning and observed results remain separate. Commissioned service and regeneration must both close before a family can be admitted.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Family</x:v>
      </x:c>
      <x:c r="C6" s="20" t="str">
        <x:v>Active scenario</x:v>
      </x:c>
      <x:c r="D6" s="20" t="str">
        <x:v>Required lots</x:v>
      </x:c>
      <x:c r="E6" s="20" t="str">
        <x:v>Planned service</x:v>
      </x:c>
      <x:c r="F6" s="20" t="str">
        <x:v>Planned regenerated</x:v>
      </x:c>
      <x:c r="G6" s="20" t="str">
        <x:v>Observed service</x:v>
      </x:c>
      <x:c r="H6" s="20" t="str">
        <x:v>Observed regenerated</x:v>
      </x:c>
      <x:c r="I6" s="20" t="str">
        <x:v>Plan ratio</x:v>
      </x:c>
      <x:c r="J6" s="20" t="str">
        <x:v>Observed ratio</x:v>
      </x:c>
      <x:c r="K6" s="20" t="str">
        <x:v>Plan result</x:v>
      </x:c>
      <x:c r="L6" s="20" t="str">
        <x:v>Physical result</x:v>
      </x:c>
      <x:c r="M6" s="20" t="str">
        <x:v>Baselines reopened</x:v>
      </x:c>
      <x:c r="N6" s="20" t="str">
        <x:v>Next action</x:v>
      </x:c>
    </x:row>
    <x:row r="7">
      <x:c r="B7" s="21" t="str">
        <x:v>F01</x:v>
      </x:c>
      <x:c r="C7" s="21" t="str">
        <x:f>INDEX(Scenarios!$B$7:$B$12,Assumptions!C7)</x:f>
        <x:v>M05</x:v>
      </x:c>
      <x:c r="D7" s="37" t="n">
        <x:f>'Family Register'!L7</x:f>
        <x:v>12</x:v>
      </x:c>
      <x:c r="E7" s="37" t="n">
        <x:f>'Stage Ledger'!J17</x:f>
        <x:v>12</x:v>
      </x:c>
      <x:c r="F7" s="37" t="n">
        <x:f>'Stage Ledger'!J18</x:f>
        <x:v>12</x:v>
      </x:c>
      <x:c r="G7" s="37" t="n">
        <x:f>'Stage Ledger'!R17</x:f>
        <x:v>0</x:v>
      </x:c>
      <x:c r="H7" s="37" t="n">
        <x:f>'Stage Ledger'!R18</x:f>
        <x:v>0</x:v>
      </x:c>
      <x:c r="I7" s="37" t="n">
        <x:f>IF(D7&gt;0,MIN(E7,F7)/D7,0)</x:f>
        <x:v>1</x:v>
      </x:c>
      <x:c r="J7" s="37" t="n">
        <x:f>IF(D7&gt;0,MIN(G7,H7)/D7,0)</x:f>
        <x:v>0</x:v>
      </x:c>
      <x:c r="K7" s="21" t="str">
        <x:f>IF(I7&gt;=1,"ADEQUATE","GAP")</x:f>
        <x:v>ADEQUATE</x:v>
      </x:c>
      <x:c r="L7" s="21" t="str">
        <x:f>IF(J7&gt;=1,"ADMITTED","NOT ADMITTED")</x:f>
        <x:v>NOT ADMITTED</x:v>
      </x:c>
      <x:c r="M7" s="21" t="str">
        <x:v>B2-B6</x:v>
      </x:c>
      <x:c r="N7" s="23" t="str">
        <x:v>identify first failed stage and responsible root</x:v>
      </x:c>
    </x:row>
    <x:row r="8">
      <x:c r="B8" s="21" t="str">
        <x:v>F02</x:v>
      </x:c>
      <x:c r="C8" s="21" t="str">
        <x:f>INDEX(Scenarios!$B$7:$B$12,Assumptions!C7)</x:f>
        <x:v>M05</x:v>
      </x:c>
      <x:c r="D8" s="37" t="n">
        <x:f>'Family Register'!L8</x:f>
        <x:v>12</x:v>
      </x:c>
      <x:c r="E8" s="37" t="n">
        <x:f>'Stage Ledger'!J29</x:f>
        <x:v>12</x:v>
      </x:c>
      <x:c r="F8" s="37" t="n">
        <x:f>'Stage Ledger'!J30</x:f>
        <x:v>12</x:v>
      </x:c>
      <x:c r="G8" s="37" t="n">
        <x:f>'Stage Ledger'!R29</x:f>
        <x:v>0</x:v>
      </x:c>
      <x:c r="H8" s="37" t="n">
        <x:f>'Stage Ledger'!R30</x:f>
        <x:v>0</x:v>
      </x:c>
      <x:c r="I8" s="37" t="n">
        <x:f>IF(D8&gt;0,MIN(E8,F8)/D8,0)</x:f>
        <x:v>1</x:v>
      </x:c>
      <x:c r="J8" s="37" t="n">
        <x:f>IF(D8&gt;0,MIN(G8,H8)/D8,0)</x:f>
        <x:v>0</x:v>
      </x:c>
      <x:c r="K8" s="21" t="str">
        <x:f>IF(I8&gt;=1,"ADEQUATE","GAP")</x:f>
        <x:v>ADEQUATE</x:v>
      </x:c>
      <x:c r="L8" s="21" t="str">
        <x:f>IF(J8&gt;=1,"ADMITTED","NOT ADMITTED")</x:f>
        <x:v>NOT ADMITTED</x:v>
      </x:c>
      <x:c r="M8" s="21" t="str">
        <x:v>B2-B6</x:v>
      </x:c>
      <x:c r="N8" s="23" t="str">
        <x:v>identify first failed stage and responsible root</x:v>
      </x:c>
    </x:row>
    <x:row r="9">
      <x:c r="B9" s="21" t="str">
        <x:v>F03</x:v>
      </x:c>
      <x:c r="C9" s="21" t="str">
        <x:f>INDEX(Scenarios!$B$7:$B$12,Assumptions!C7)</x:f>
        <x:v>M05</x:v>
      </x:c>
      <x:c r="D9" s="37" t="n">
        <x:f>'Family Register'!L9</x:f>
        <x:v>12</x:v>
      </x:c>
      <x:c r="E9" s="37" t="n">
        <x:f>'Stage Ledger'!J41</x:f>
        <x:v>12</x:v>
      </x:c>
      <x:c r="F9" s="37" t="n">
        <x:f>'Stage Ledger'!J42</x:f>
        <x:v>12</x:v>
      </x:c>
      <x:c r="G9" s="37" t="n">
        <x:f>'Stage Ledger'!R41</x:f>
        <x:v>0</x:v>
      </x:c>
      <x:c r="H9" s="37" t="n">
        <x:f>'Stage Ledger'!R42</x:f>
        <x:v>0</x:v>
      </x:c>
      <x:c r="I9" s="37" t="n">
        <x:f>IF(D9&gt;0,MIN(E9,F9)/D9,0)</x:f>
        <x:v>1</x:v>
      </x:c>
      <x:c r="J9" s="37" t="n">
        <x:f>IF(D9&gt;0,MIN(G9,H9)/D9,0)</x:f>
        <x:v>0</x:v>
      </x:c>
      <x:c r="K9" s="21" t="str">
        <x:f>IF(I9&gt;=1,"ADEQUATE","GAP")</x:f>
        <x:v>ADEQUATE</x:v>
      </x:c>
      <x:c r="L9" s="21" t="str">
        <x:f>IF(J9&gt;=1,"ADMITTED","NOT ADMITTED")</x:f>
        <x:v>NOT ADMITTED</x:v>
      </x:c>
      <x:c r="M9" s="21" t="str">
        <x:v>B2-B6</x:v>
      </x:c>
      <x:c r="N9" s="23" t="str">
        <x:v>identify first failed stage and responsible root</x:v>
      </x:c>
    </x:row>
    <x:row r="10">
      <x:c r="B10" s="21" t="str">
        <x:v>F04</x:v>
      </x:c>
      <x:c r="C10" s="21" t="str">
        <x:f>INDEX(Scenarios!$B$7:$B$12,Assumptions!C7)</x:f>
        <x:v>M05</x:v>
      </x:c>
      <x:c r="D10" s="37" t="n">
        <x:f>'Family Register'!L10</x:f>
        <x:v>12</x:v>
      </x:c>
      <x:c r="E10" s="37" t="n">
        <x:f>'Stage Ledger'!J53</x:f>
        <x:v>12</x:v>
      </x:c>
      <x:c r="F10" s="37" t="n">
        <x:f>'Stage Ledger'!J54</x:f>
        <x:v>12</x:v>
      </x:c>
      <x:c r="G10" s="37" t="n">
        <x:f>'Stage Ledger'!R53</x:f>
        <x:v>0</x:v>
      </x:c>
      <x:c r="H10" s="37" t="n">
        <x:f>'Stage Ledger'!R54</x:f>
        <x:v>0</x:v>
      </x:c>
      <x:c r="I10" s="37" t="n">
        <x:f>IF(D10&gt;0,MIN(E10,F10)/D10,0)</x:f>
        <x:v>1</x:v>
      </x:c>
      <x:c r="J10" s="37" t="n">
        <x:f>IF(D10&gt;0,MIN(G10,H10)/D10,0)</x:f>
        <x:v>0</x:v>
      </x:c>
      <x:c r="K10" s="21" t="str">
        <x:f>IF(I10&gt;=1,"ADEQUATE","GAP")</x:f>
        <x:v>ADEQUATE</x:v>
      </x:c>
      <x:c r="L10" s="21" t="str">
        <x:f>IF(J10&gt;=1,"ADMITTED","NOT ADMITTED")</x:f>
        <x:v>NOT ADMITTED</x:v>
      </x:c>
      <x:c r="M10" s="21" t="str">
        <x:v>B2-B6</x:v>
      </x:c>
      <x:c r="N10" s="23" t="str">
        <x:v>identify first failed stage and responsible root</x:v>
      </x:c>
    </x:row>
    <x:row r="11">
      <x:c r="B11" s="21" t="str">
        <x:v>F05</x:v>
      </x:c>
      <x:c r="C11" s="21" t="str">
        <x:f>INDEX(Scenarios!$B$7:$B$12,Assumptions!C7)</x:f>
        <x:v>M05</x:v>
      </x:c>
      <x:c r="D11" s="37" t="n">
        <x:f>'Family Register'!L11</x:f>
        <x:v>20</x:v>
      </x:c>
      <x:c r="E11" s="37" t="n">
        <x:f>'Stage Ledger'!J65</x:f>
        <x:v>18.85</x:v>
      </x:c>
      <x:c r="F11" s="37" t="n">
        <x:f>'Stage Ledger'!J66</x:f>
        <x:v>18.85</x:v>
      </x:c>
      <x:c r="G11" s="37" t="n">
        <x:f>'Stage Ledger'!R65</x:f>
        <x:v>0</x:v>
      </x:c>
      <x:c r="H11" s="37" t="n">
        <x:f>'Stage Ledger'!R66</x:f>
        <x:v>0</x:v>
      </x:c>
      <x:c r="I11" s="37" t="n">
        <x:f>IF(D11&gt;0,MIN(E11,F11)/D11,0)</x:f>
        <x:v>0.9425000000000001</x:v>
      </x:c>
      <x:c r="J11" s="37" t="n">
        <x:f>IF(D11&gt;0,MIN(G11,H11)/D11,0)</x:f>
        <x:v>0</x:v>
      </x:c>
      <x:c r="K11" s="21" t="str">
        <x:f>IF(I11&gt;=1,"ADEQUATE","GAP")</x:f>
        <x:v>GAP</x:v>
      </x:c>
      <x:c r="L11" s="21" t="str">
        <x:f>IF(J11&gt;=1,"ADMITTED","NOT ADMITTED")</x:f>
        <x:v>NOT ADMITTED</x:v>
      </x:c>
      <x:c r="M11" s="21" t="str">
        <x:v>B2-B6</x:v>
      </x:c>
      <x:c r="N11" s="23" t="str">
        <x:v>identify first failed stage and responsible root</x:v>
      </x:c>
    </x:row>
    <x:row r="12">
      <x:c r="B12" s="21" t="str">
        <x:v>F06</x:v>
      </x:c>
      <x:c r="C12" s="21" t="str">
        <x:f>INDEX(Scenarios!$B$7:$B$12,Assumptions!C7)</x:f>
        <x:v>M05</x:v>
      </x:c>
      <x:c r="D12" s="37" t="n">
        <x:f>'Family Register'!L12</x:f>
        <x:v>20</x:v>
      </x:c>
      <x:c r="E12" s="37" t="n">
        <x:f>'Stage Ledger'!J77</x:f>
        <x:v>18.85</x:v>
      </x:c>
      <x:c r="F12" s="37" t="n">
        <x:f>'Stage Ledger'!J78</x:f>
        <x:v>18.85</x:v>
      </x:c>
      <x:c r="G12" s="37" t="n">
        <x:f>'Stage Ledger'!R77</x:f>
        <x:v>0</x:v>
      </x:c>
      <x:c r="H12" s="37" t="n">
        <x:f>'Stage Ledger'!R78</x:f>
        <x:v>0</x:v>
      </x:c>
      <x:c r="I12" s="37" t="n">
        <x:f>IF(D12&gt;0,MIN(E12,F12)/D12,0)</x:f>
        <x:v>0.9425000000000001</x:v>
      </x:c>
      <x:c r="J12" s="37" t="n">
        <x:f>IF(D12&gt;0,MIN(G12,H12)/D12,0)</x:f>
        <x:v>0</x:v>
      </x:c>
      <x:c r="K12" s="21" t="str">
        <x:f>IF(I12&gt;=1,"ADEQUATE","GAP")</x:f>
        <x:v>GAP</x:v>
      </x:c>
      <x:c r="L12" s="21" t="str">
        <x:f>IF(J12&gt;=1,"ADMITTED","NOT ADMITTED")</x:f>
        <x:v>NOT ADMITTED</x:v>
      </x:c>
      <x:c r="M12" s="21" t="str">
        <x:v>B2-B6</x:v>
      </x:c>
      <x:c r="N12" s="23" t="str">
        <x:v>identify first failed stage and responsible root</x:v>
      </x:c>
    </x:row>
    <x:row r="13">
      <x:c r="B13" s="21" t="str">
        <x:v>F07</x:v>
      </x:c>
      <x:c r="C13" s="21" t="str">
        <x:f>INDEX(Scenarios!$B$7:$B$12,Assumptions!C7)</x:f>
        <x:v>M05</x:v>
      </x:c>
      <x:c r="D13" s="37" t="n">
        <x:f>'Family Register'!L13</x:f>
        <x:v>8</x:v>
      </x:c>
      <x:c r="E13" s="37" t="n">
        <x:f>'Stage Ledger'!J89</x:f>
        <x:v>6.760000000000001</x:v>
      </x:c>
      <x:c r="F13" s="37" t="n">
        <x:f>'Stage Ledger'!J90</x:f>
        <x:v>6.760000000000001</x:v>
      </x:c>
      <x:c r="G13" s="37" t="n">
        <x:f>'Stage Ledger'!R89</x:f>
        <x:v>0</x:v>
      </x:c>
      <x:c r="H13" s="37" t="n">
        <x:f>'Stage Ledger'!R90</x:f>
        <x:v>0</x:v>
      </x:c>
      <x:c r="I13" s="37" t="n">
        <x:f>IF(D13&gt;0,MIN(E13,F13)/D13,0)</x:f>
        <x:v>0.8450000000000001</x:v>
      </x:c>
      <x:c r="J13" s="37" t="n">
        <x:f>IF(D13&gt;0,MIN(G13,H13)/D13,0)</x:f>
        <x:v>0</x:v>
      </x:c>
      <x:c r="K13" s="21" t="str">
        <x:f>IF(I13&gt;=1,"ADEQUATE","GAP")</x:f>
        <x:v>GAP</x:v>
      </x:c>
      <x:c r="L13" s="21" t="str">
        <x:f>IF(J13&gt;=1,"ADMITTED","NOT ADMITTED")</x:f>
        <x:v>NOT ADMITTED</x:v>
      </x:c>
      <x:c r="M13" s="21" t="str">
        <x:v>B2-B6</x:v>
      </x:c>
      <x:c r="N13" s="23" t="str">
        <x:v>identify first failed stage and responsible root</x:v>
      </x:c>
    </x:row>
    <x:row r="14">
      <x:c r="B14" s="21" t="str">
        <x:v>F08</x:v>
      </x:c>
      <x:c r="C14" s="21" t="str">
        <x:f>INDEX(Scenarios!$B$7:$B$12,Assumptions!C7)</x:f>
        <x:v>M05</x:v>
      </x:c>
      <x:c r="D14" s="37" t="n">
        <x:f>'Family Register'!L14</x:f>
        <x:v>20</x:v>
      </x:c>
      <x:c r="E14" s="37" t="n">
        <x:f>'Stage Ledger'!J101</x:f>
        <x:v>18.85</x:v>
      </x:c>
      <x:c r="F14" s="37" t="n">
        <x:f>'Stage Ledger'!J102</x:f>
        <x:v>18.85</x:v>
      </x:c>
      <x:c r="G14" s="37" t="n">
        <x:f>'Stage Ledger'!R101</x:f>
        <x:v>0</x:v>
      </x:c>
      <x:c r="H14" s="37" t="n">
        <x:f>'Stage Ledger'!R102</x:f>
        <x:v>0</x:v>
      </x:c>
      <x:c r="I14" s="37" t="n">
        <x:f>IF(D14&gt;0,MIN(E14,F14)/D14,0)</x:f>
        <x:v>0.9425000000000001</x:v>
      </x:c>
      <x:c r="J14" s="37" t="n">
        <x:f>IF(D14&gt;0,MIN(G14,H14)/D14,0)</x:f>
        <x:v>0</x:v>
      </x:c>
      <x:c r="K14" s="21" t="str">
        <x:f>IF(I14&gt;=1,"ADEQUATE","GAP")</x:f>
        <x:v>GAP</x:v>
      </x:c>
      <x:c r="L14" s="21" t="str">
        <x:f>IF(J14&gt;=1,"ADMITTED","NOT ADMITTED")</x:f>
        <x:v>NOT ADMITTED</x:v>
      </x:c>
      <x:c r="M14" s="21" t="str">
        <x:v>B2-B6</x:v>
      </x:c>
      <x:c r="N14" s="23" t="str">
        <x:v>identify first failed stage and responsible root</x:v>
      </x:c>
    </x:row>
    <x:row r="15">
      <x:c r="B15" s="21" t="str">
        <x:v>F09</x:v>
      </x:c>
      <x:c r="C15" s="21" t="str">
        <x:f>INDEX(Scenarios!$B$7:$B$12,Assumptions!C7)</x:f>
        <x:v>M05</x:v>
      </x:c>
      <x:c r="D15" s="37" t="n">
        <x:f>'Family Register'!L15</x:f>
        <x:v>12</x:v>
      </x:c>
      <x:c r="E15" s="37" t="n">
        <x:f>'Stage Ledger'!J113</x:f>
        <x:v>12</x:v>
      </x:c>
      <x:c r="F15" s="37" t="n">
        <x:f>'Stage Ledger'!J114</x:f>
        <x:v>12</x:v>
      </x:c>
      <x:c r="G15" s="37" t="n">
        <x:f>'Stage Ledger'!R113</x:f>
        <x:v>0</x:v>
      </x:c>
      <x:c r="H15" s="37" t="n">
        <x:f>'Stage Ledger'!R114</x:f>
        <x:v>0</x:v>
      </x:c>
      <x:c r="I15" s="37" t="n">
        <x:f>IF(D15&gt;0,MIN(E15,F15)/D15,0)</x:f>
        <x:v>1</x:v>
      </x:c>
      <x:c r="J15" s="37" t="n">
        <x:f>IF(D15&gt;0,MIN(G15,H15)/D15,0)</x:f>
        <x:v>0</x:v>
      </x:c>
      <x:c r="K15" s="21" t="str">
        <x:f>IF(I15&gt;=1,"ADEQUATE","GAP")</x:f>
        <x:v>ADEQUATE</x:v>
      </x:c>
      <x:c r="L15" s="21" t="str">
        <x:f>IF(J15&gt;=1,"ADMITTED","NOT ADMITTED")</x:f>
        <x:v>NOT ADMITTED</x:v>
      </x:c>
      <x:c r="M15" s="21" t="str">
        <x:v>B2-B6</x:v>
      </x:c>
      <x:c r="N15" s="23" t="str">
        <x:v>identify first failed stage and responsible root</x:v>
      </x:c>
    </x:row>
    <x:row r="16">
      <x:c r="B16" s="21" t="str">
        <x:v>F10</x:v>
      </x:c>
      <x:c r="C16" s="21" t="str">
        <x:f>INDEX(Scenarios!$B$7:$B$12,Assumptions!C7)</x:f>
        <x:v>M05</x:v>
      </x:c>
      <x:c r="D16" s="37" t="n">
        <x:f>'Family Register'!L16</x:f>
        <x:v>6</x:v>
      </x:c>
      <x:c r="E16" s="37" t="n">
        <x:f>'Stage Ledger'!J125</x:f>
        <x:v>6</x:v>
      </x:c>
      <x:c r="F16" s="37" t="n">
        <x:f>'Stage Ledger'!J126</x:f>
        <x:v>6</x:v>
      </x:c>
      <x:c r="G16" s="37" t="n">
        <x:f>'Stage Ledger'!R125</x:f>
        <x:v>0</x:v>
      </x:c>
      <x:c r="H16" s="37" t="n">
        <x:f>'Stage Ledger'!R126</x:f>
        <x:v>0</x:v>
      </x:c>
      <x:c r="I16" s="37" t="n">
        <x:f>IF(D16&gt;0,MIN(E16,F16)/D16,0)</x:f>
        <x:v>1</x:v>
      </x:c>
      <x:c r="J16" s="37" t="n">
        <x:f>IF(D16&gt;0,MIN(G16,H16)/D16,0)</x:f>
        <x:v>0</x:v>
      </x:c>
      <x:c r="K16" s="21" t="str">
        <x:f>IF(I16&gt;=1,"ADEQUATE","GAP")</x:f>
        <x:v>ADEQUATE</x:v>
      </x:c>
      <x:c r="L16" s="21" t="str">
        <x:f>IF(J16&gt;=1,"ADMITTED","NOT ADMITTED")</x:f>
        <x:v>NOT ADMITTED</x:v>
      </x:c>
      <x:c r="M16" s="21" t="str">
        <x:v>B2-B6</x:v>
      </x:c>
      <x:c r="N16" s="23" t="str">
        <x:v>identify first failed stage and responsible root</x:v>
      </x:c>
    </x:row>
    <x:row r="17">
      <x:c r="B17" s="21" t="str">
        <x:v>F11</x:v>
      </x:c>
      <x:c r="C17" s="21" t="str">
        <x:f>INDEX(Scenarios!$B$7:$B$12,Assumptions!C7)</x:f>
        <x:v>M05</x:v>
      </x:c>
      <x:c r="D17" s="37" t="n">
        <x:f>'Family Register'!L17</x:f>
        <x:v>6</x:v>
      </x:c>
      <x:c r="E17" s="37" t="n">
        <x:f>'Stage Ledger'!J137</x:f>
        <x:v>6</x:v>
      </x:c>
      <x:c r="F17" s="37" t="n">
        <x:f>'Stage Ledger'!J138</x:f>
        <x:v>6</x:v>
      </x:c>
      <x:c r="G17" s="37" t="n">
        <x:f>'Stage Ledger'!R137</x:f>
        <x:v>0</x:v>
      </x:c>
      <x:c r="H17" s="37" t="n">
        <x:f>'Stage Ledger'!R138</x:f>
        <x:v>0</x:v>
      </x:c>
      <x:c r="I17" s="37" t="n">
        <x:f>IF(D17&gt;0,MIN(E17,F17)/D17,0)</x:f>
        <x:v>1</x:v>
      </x:c>
      <x:c r="J17" s="37" t="n">
        <x:f>IF(D17&gt;0,MIN(G17,H17)/D17,0)</x:f>
        <x:v>0</x:v>
      </x:c>
      <x:c r="K17" s="21" t="str">
        <x:f>IF(I17&gt;=1,"ADEQUATE","GAP")</x:f>
        <x:v>ADEQUATE</x:v>
      </x:c>
      <x:c r="L17" s="21" t="str">
        <x:f>IF(J17&gt;=1,"ADMITTED","NOT ADMITTED")</x:f>
        <x:v>NOT ADMITTED</x:v>
      </x:c>
      <x:c r="M17" s="21" t="str">
        <x:v>B2-B6</x:v>
      </x:c>
      <x:c r="N17" s="23" t="str">
        <x:v>identify first failed stage and responsible root</x:v>
      </x:c>
    </x:row>
    <x:row r="18">
      <x:c r="B18" s="21" t="str">
        <x:v>F12</x:v>
      </x:c>
      <x:c r="C18" s="21" t="str">
        <x:f>INDEX(Scenarios!$B$7:$B$12,Assumptions!C7)</x:f>
        <x:v>M05</x:v>
      </x:c>
      <x:c r="D18" s="37" t="n">
        <x:f>'Family Register'!L18</x:f>
        <x:v>6</x:v>
      </x:c>
      <x:c r="E18" s="37" t="n">
        <x:f>'Stage Ledger'!J149</x:f>
        <x:v>6</x:v>
      </x:c>
      <x:c r="F18" s="37" t="n">
        <x:f>'Stage Ledger'!J150</x:f>
        <x:v>6</x:v>
      </x:c>
      <x:c r="G18" s="37" t="n">
        <x:f>'Stage Ledger'!R149</x:f>
        <x:v>0</x:v>
      </x:c>
      <x:c r="H18" s="37" t="n">
        <x:f>'Stage Ledger'!R150</x:f>
        <x:v>0</x:v>
      </x:c>
      <x:c r="I18" s="37" t="n">
        <x:f>IF(D18&gt;0,MIN(E18,F18)/D18,0)</x:f>
        <x:v>1</x:v>
      </x:c>
      <x:c r="J18" s="37" t="n">
        <x:f>IF(D18&gt;0,MIN(G18,H18)/D18,0)</x:f>
        <x:v>0</x:v>
      </x:c>
      <x:c r="K18" s="21" t="str">
        <x:f>IF(I18&gt;=1,"ADEQUATE","GAP")</x:f>
        <x:v>ADEQUATE</x:v>
      </x:c>
      <x:c r="L18" s="21" t="str">
        <x:f>IF(J18&gt;=1,"ADMITTED","NOT ADMITTED")</x:f>
        <x:v>NOT ADMITTED</x:v>
      </x:c>
      <x:c r="M18" s="21" t="str">
        <x:v>B2-B6</x:v>
      </x:c>
      <x:c r="N18" s="23" t="str">
        <x:v>identify first failed stage and responsible root</x:v>
      </x:c>
    </x:row>
    <x:row r="19">
      <x:c r="B19" s="21" t="str">
        <x:v>F13</x:v>
      </x:c>
      <x:c r="C19" s="21" t="str">
        <x:f>INDEX(Scenarios!$B$7:$B$12,Assumptions!C7)</x:f>
        <x:v>M05</x:v>
      </x:c>
      <x:c r="D19" s="37" t="n">
        <x:f>'Family Register'!L19</x:f>
        <x:v>20</x:v>
      </x:c>
      <x:c r="E19" s="37" t="n">
        <x:f>'Stage Ledger'!J161</x:f>
        <x:v>18.85</x:v>
      </x:c>
      <x:c r="F19" s="37" t="n">
        <x:f>'Stage Ledger'!J162</x:f>
        <x:v>18.85</x:v>
      </x:c>
      <x:c r="G19" s="37" t="n">
        <x:f>'Stage Ledger'!R161</x:f>
        <x:v>0</x:v>
      </x:c>
      <x:c r="H19" s="37" t="n">
        <x:f>'Stage Ledger'!R162</x:f>
        <x:v>0</x:v>
      </x:c>
      <x:c r="I19" s="37" t="n">
        <x:f>IF(D19&gt;0,MIN(E19,F19)/D19,0)</x:f>
        <x:v>0.9425000000000001</x:v>
      </x:c>
      <x:c r="J19" s="37" t="n">
        <x:f>IF(D19&gt;0,MIN(G19,H19)/D19,0)</x:f>
        <x:v>0</x:v>
      </x:c>
      <x:c r="K19" s="21" t="str">
        <x:f>IF(I19&gt;=1,"ADEQUATE","GAP")</x:f>
        <x:v>GAP</x:v>
      </x:c>
      <x:c r="L19" s="21" t="str">
        <x:f>IF(J19&gt;=1,"ADMITTED","NOT ADMITTED")</x:f>
        <x:v>NOT ADMITTED</x:v>
      </x:c>
      <x:c r="M19" s="21" t="str">
        <x:v>B2-B6</x:v>
      </x:c>
      <x:c r="N19" s="23" t="str">
        <x:v>identify first failed stage and responsible root</x:v>
      </x:c>
    </x:row>
    <x:row r="20">
      <x:c r="B20" s="21" t="str">
        <x:v>F14</x:v>
      </x:c>
      <x:c r="C20" s="21" t="str">
        <x:f>INDEX(Scenarios!$B$7:$B$12,Assumptions!C7)</x:f>
        <x:v>M05</x:v>
      </x:c>
      <x:c r="D20" s="37" t="n">
        <x:f>'Family Register'!L20</x:f>
        <x:v>6</x:v>
      </x:c>
      <x:c r="E20" s="37" t="n">
        <x:f>'Stage Ledger'!J173</x:f>
        <x:v>6</x:v>
      </x:c>
      <x:c r="F20" s="37" t="n">
        <x:f>'Stage Ledger'!J174</x:f>
        <x:v>6</x:v>
      </x:c>
      <x:c r="G20" s="37" t="n">
        <x:f>'Stage Ledger'!R173</x:f>
        <x:v>0</x:v>
      </x:c>
      <x:c r="H20" s="37" t="n">
        <x:f>'Stage Ledger'!R174</x:f>
        <x:v>0</x:v>
      </x:c>
      <x:c r="I20" s="37" t="n">
        <x:f>IF(D20&gt;0,MIN(E20,F20)/D20,0)</x:f>
        <x:v>1</x:v>
      </x:c>
      <x:c r="J20" s="37" t="n">
        <x:f>IF(D20&gt;0,MIN(G20,H20)/D20,0)</x:f>
        <x:v>0</x:v>
      </x:c>
      <x:c r="K20" s="21" t="str">
        <x:f>IF(I20&gt;=1,"ADEQUATE","GAP")</x:f>
        <x:v>ADEQUATE</x:v>
      </x:c>
      <x:c r="L20" s="21" t="str">
        <x:f>IF(J20&gt;=1,"ADMITTED","NOT ADMITTED")</x:f>
        <x:v>NOT ADMITTED</x:v>
      </x:c>
      <x:c r="M20" s="21" t="str">
        <x:v>B2-B6</x:v>
      </x:c>
      <x:c r="N20" s="23" t="str">
        <x:v>identify first failed stage and responsible root</x:v>
      </x:c>
    </x:row>
    <x:row r="21">
      <x:c r="B21" s="21" t="str">
        <x:v>F15</x:v>
      </x:c>
      <x:c r="C21" s="21" t="str">
        <x:f>INDEX(Scenarios!$B$7:$B$12,Assumptions!C7)</x:f>
        <x:v>M05</x:v>
      </x:c>
      <x:c r="D21" s="37" t="n">
        <x:f>'Family Register'!L21</x:f>
        <x:v>6</x:v>
      </x:c>
      <x:c r="E21" s="37" t="n">
        <x:f>'Stage Ledger'!J185</x:f>
        <x:v>6</x:v>
      </x:c>
      <x:c r="F21" s="37" t="n">
        <x:f>'Stage Ledger'!J186</x:f>
        <x:v>6</x:v>
      </x:c>
      <x:c r="G21" s="37" t="n">
        <x:f>'Stage Ledger'!R185</x:f>
        <x:v>0</x:v>
      </x:c>
      <x:c r="H21" s="37" t="n">
        <x:f>'Stage Ledger'!R186</x:f>
        <x:v>0</x:v>
      </x:c>
      <x:c r="I21" s="37" t="n">
        <x:f>IF(D21&gt;0,MIN(E21,F21)/D21,0)</x:f>
        <x:v>1</x:v>
      </x:c>
      <x:c r="J21" s="37" t="n">
        <x:f>IF(D21&gt;0,MIN(G21,H21)/D21,0)</x:f>
        <x:v>0</x:v>
      </x:c>
      <x:c r="K21" s="21" t="str">
        <x:f>IF(I21&gt;=1,"ADEQUATE","GAP")</x:f>
        <x:v>ADEQUATE</x:v>
      </x:c>
      <x:c r="L21" s="21" t="str">
        <x:f>IF(J21&gt;=1,"ADMITTED","NOT ADMITTED")</x:f>
        <x:v>NOT ADMITTED</x:v>
      </x:c>
      <x:c r="M21" s="21" t="str">
        <x:v>B2-B6</x:v>
      </x:c>
      <x:c r="N21" s="23" t="str">
        <x:v>identify first failed stage and responsible root</x:v>
      </x:c>
    </x:row>
    <x:row r="22">
      <x:c r="B22" s="21" t="str">
        <x:v>F16</x:v>
      </x:c>
      <x:c r="C22" s="21" t="str">
        <x:f>INDEX(Scenarios!$B$7:$B$12,Assumptions!C7)</x:f>
        <x:v>M05</x:v>
      </x:c>
      <x:c r="D22" s="37" t="n">
        <x:f>'Family Register'!L22</x:f>
        <x:v>4</x:v>
      </x:c>
      <x:c r="E22" s="37" t="n">
        <x:f>'Stage Ledger'!J197</x:f>
        <x:v>4</x:v>
      </x:c>
      <x:c r="F22" s="37" t="n">
        <x:f>'Stage Ledger'!J198</x:f>
        <x:v>4</x:v>
      </x:c>
      <x:c r="G22" s="37" t="n">
        <x:f>'Stage Ledger'!R197</x:f>
        <x:v>0</x:v>
      </x:c>
      <x:c r="H22" s="37" t="n">
        <x:f>'Stage Ledger'!R198</x:f>
        <x:v>0</x:v>
      </x:c>
      <x:c r="I22" s="37" t="n">
        <x:f>IF(D22&gt;0,MIN(E22,F22)/D22,0)</x:f>
        <x:v>1</x:v>
      </x:c>
      <x:c r="J22" s="37" t="n">
        <x:f>IF(D22&gt;0,MIN(G22,H22)/D22,0)</x:f>
        <x:v>0</x:v>
      </x:c>
      <x:c r="K22" s="21" t="str">
        <x:f>IF(I22&gt;=1,"ADEQUATE","GAP")</x:f>
        <x:v>ADEQUATE</x:v>
      </x:c>
      <x:c r="L22" s="21" t="str">
        <x:f>IF(J22&gt;=1,"ADMITTED","NOT ADMITTED")</x:f>
        <x:v>NOT ADMITTED</x:v>
      </x:c>
      <x:c r="M22" s="21" t="str">
        <x:v>B2-B6</x:v>
      </x:c>
      <x:c r="N22" s="23" t="str">
        <x:v>identify first failed stage and responsible root</x:v>
      </x:c>
    </x:row>
    <x:row r="23">
      <x:c r="B23" s="21" t="str">
        <x:v>F17</x:v>
      </x:c>
      <x:c r="C23" s="21" t="str">
        <x:f>INDEX(Scenarios!$B$7:$B$12,Assumptions!C7)</x:f>
        <x:v>M05</x:v>
      </x:c>
      <x:c r="D23" s="37" t="n">
        <x:f>'Family Register'!L23</x:f>
        <x:v>4</x:v>
      </x:c>
      <x:c r="E23" s="37" t="n">
        <x:f>'Stage Ledger'!J209</x:f>
        <x:v>3.77</x:v>
      </x:c>
      <x:c r="F23" s="37" t="n">
        <x:f>'Stage Ledger'!J210</x:f>
        <x:v>3.77</x:v>
      </x:c>
      <x:c r="G23" s="37" t="n">
        <x:f>'Stage Ledger'!R209</x:f>
        <x:v>0</x:v>
      </x:c>
      <x:c r="H23" s="37" t="n">
        <x:f>'Stage Ledger'!R210</x:f>
        <x:v>0</x:v>
      </x:c>
      <x:c r="I23" s="37" t="n">
        <x:f>IF(D23&gt;0,MIN(E23,F23)/D23,0)</x:f>
        <x:v>0.9425</x:v>
      </x:c>
      <x:c r="J23" s="37" t="n">
        <x:f>IF(D23&gt;0,MIN(G23,H23)/D23,0)</x:f>
        <x:v>0</x:v>
      </x:c>
      <x:c r="K23" s="21" t="str">
        <x:f>IF(I23&gt;=1,"ADEQUATE","GAP")</x:f>
        <x:v>GAP</x:v>
      </x:c>
      <x:c r="L23" s="21" t="str">
        <x:f>IF(J23&gt;=1,"ADMITTED","NOT ADMITTED")</x:f>
        <x:v>NOT ADMITTED</x:v>
      </x:c>
      <x:c r="M23" s="21" t="str">
        <x:v>B2-B6</x:v>
      </x:c>
      <x:c r="N23" s="23" t="str">
        <x:v>identify first failed stage and responsible root</x:v>
      </x:c>
    </x:row>
    <x:row r="24">
      <x:c r="B24" s="21" t="str">
        <x:v>F18</x:v>
      </x:c>
      <x:c r="C24" s="21" t="str">
        <x:f>INDEX(Scenarios!$B$7:$B$12,Assumptions!C7)</x:f>
        <x:v>M05</x:v>
      </x:c>
      <x:c r="D24" s="37" t="n">
        <x:f>'Family Register'!L24</x:f>
        <x:v>4</x:v>
      </x:c>
      <x:c r="E24" s="37" t="n">
        <x:f>'Stage Ledger'!J221</x:f>
        <x:v>3.77</x:v>
      </x:c>
      <x:c r="F24" s="37" t="n">
        <x:f>'Stage Ledger'!J222</x:f>
        <x:v>3.77</x:v>
      </x:c>
      <x:c r="G24" s="37" t="n">
        <x:f>'Stage Ledger'!R221</x:f>
        <x:v>0</x:v>
      </x:c>
      <x:c r="H24" s="37" t="n">
        <x:f>'Stage Ledger'!R222</x:f>
        <x:v>0</x:v>
      </x:c>
      <x:c r="I24" s="37" t="n">
        <x:f>IF(D24&gt;0,MIN(E24,F24)/D24,0)</x:f>
        <x:v>0.9425</x:v>
      </x:c>
      <x:c r="J24" s="37" t="n">
        <x:f>IF(D24&gt;0,MIN(G24,H24)/D24,0)</x:f>
        <x:v>0</x:v>
      </x:c>
      <x:c r="K24" s="21" t="str">
        <x:f>IF(I24&gt;=1,"ADEQUATE","GAP")</x:f>
        <x:v>GAP</x:v>
      </x:c>
      <x:c r="L24" s="21" t="str">
        <x:f>IF(J24&gt;=1,"ADMITTED","NOT ADMITTED")</x:f>
        <x:v>NOT ADMITTED</x:v>
      </x:c>
      <x:c r="M24" s="21" t="str">
        <x:v>B2-B6</x:v>
      </x:c>
      <x:c r="N24" s="23" t="str">
        <x:v>identify first failed stage and responsible root</x:v>
      </x:c>
    </x:row>
    <x:row r="25">
      <x:c r="B25" s="21" t="str">
        <x:v>F19</x:v>
      </x:c>
      <x:c r="C25" s="21" t="str">
        <x:f>INDEX(Scenarios!$B$7:$B$12,Assumptions!C7)</x:f>
        <x:v>M05</x:v>
      </x:c>
      <x:c r="D25" s="37" t="n">
        <x:f>'Family Register'!L25</x:f>
        <x:v>4</x:v>
      </x:c>
      <x:c r="E25" s="37" t="n">
        <x:f>'Stage Ledger'!J233</x:f>
        <x:v>4</x:v>
      </x:c>
      <x:c r="F25" s="37" t="n">
        <x:f>'Stage Ledger'!J234</x:f>
        <x:v>4</x:v>
      </x:c>
      <x:c r="G25" s="37" t="n">
        <x:f>'Stage Ledger'!R233</x:f>
        <x:v>0</x:v>
      </x:c>
      <x:c r="H25" s="37" t="n">
        <x:f>'Stage Ledger'!R234</x:f>
        <x:v>0</x:v>
      </x:c>
      <x:c r="I25" s="37" t="n">
        <x:f>IF(D25&gt;0,MIN(E25,F25)/D25,0)</x:f>
        <x:v>1</x:v>
      </x:c>
      <x:c r="J25" s="37" t="n">
        <x:f>IF(D25&gt;0,MIN(G25,H25)/D25,0)</x:f>
        <x:v>0</x:v>
      </x:c>
      <x:c r="K25" s="21" t="str">
        <x:f>IF(I25&gt;=1,"ADEQUATE","GAP")</x:f>
        <x:v>ADEQUATE</x:v>
      </x:c>
      <x:c r="L25" s="21" t="str">
        <x:f>IF(J25&gt;=1,"ADMITTED","NOT ADMITTED")</x:f>
        <x:v>NOT ADMITTED</x:v>
      </x:c>
      <x:c r="M25" s="21" t="str">
        <x:v>B2-B6</x:v>
      </x:c>
      <x:c r="N25" s="23" t="str">
        <x:v>identify first failed stage and responsible root</x:v>
      </x:c>
    </x:row>
    <x:row r="26">
      <x:c r="B26" s="21" t="str">
        <x:v>F20</x:v>
      </x:c>
      <x:c r="C26" s="21" t="str">
        <x:f>INDEX(Scenarios!$B$7:$B$12,Assumptions!C7)</x:f>
        <x:v>M05</x:v>
      </x:c>
      <x:c r="D26" s="37" t="n">
        <x:f>'Family Register'!L26</x:f>
        <x:v>8</x:v>
      </x:c>
      <x:c r="E26" s="37" t="n">
        <x:f>'Stage Ledger'!J245</x:f>
        <x:v>6.760000000000001</x:v>
      </x:c>
      <x:c r="F26" s="37" t="n">
        <x:f>'Stage Ledger'!J246</x:f>
        <x:v>6.760000000000001</x:v>
      </x:c>
      <x:c r="G26" s="37" t="n">
        <x:f>'Stage Ledger'!R245</x:f>
        <x:v>0</x:v>
      </x:c>
      <x:c r="H26" s="37" t="n">
        <x:f>'Stage Ledger'!R246</x:f>
        <x:v>0</x:v>
      </x:c>
      <x:c r="I26" s="37" t="n">
        <x:f>IF(D26&gt;0,MIN(E26,F26)/D26,0)</x:f>
        <x:v>0.8450000000000001</x:v>
      </x:c>
      <x:c r="J26" s="37" t="n">
        <x:f>IF(D26&gt;0,MIN(G26,H26)/D26,0)</x:f>
        <x:v>0</x:v>
      </x:c>
      <x:c r="K26" s="21" t="str">
        <x:f>IF(I26&gt;=1,"ADEQUATE","GAP")</x:f>
        <x:v>GAP</x:v>
      </x:c>
      <x:c r="L26" s="21" t="str">
        <x:f>IF(J26&gt;=1,"ADMITTED","NOT ADMITTED")</x:f>
        <x:v>NOT ADMITTED</x:v>
      </x:c>
      <x:c r="M26" s="21" t="str">
        <x:v>B2-B6</x:v>
      </x:c>
      <x:c r="N26" s="23" t="str">
        <x:v>identify first failed stage and responsible root</x:v>
      </x:c>
    </x:row>
    <x:row r="27">
      <x:c r="B27" s="21" t="str">
        <x:v>F21</x:v>
      </x:c>
      <x:c r="C27" s="21" t="str">
        <x:f>INDEX(Scenarios!$B$7:$B$12,Assumptions!C7)</x:f>
        <x:v>M05</x:v>
      </x:c>
      <x:c r="D27" s="37" t="n">
        <x:f>'Family Register'!L27</x:f>
        <x:v>8</x:v>
      </x:c>
      <x:c r="E27" s="37" t="n">
        <x:f>'Stage Ledger'!J257</x:f>
        <x:v>7.54</x:v>
      </x:c>
      <x:c r="F27" s="37" t="n">
        <x:f>'Stage Ledger'!J258</x:f>
        <x:v>7.54</x:v>
      </x:c>
      <x:c r="G27" s="37" t="n">
        <x:f>'Stage Ledger'!R257</x:f>
        <x:v>0</x:v>
      </x:c>
      <x:c r="H27" s="37" t="n">
        <x:f>'Stage Ledger'!R258</x:f>
        <x:v>0</x:v>
      </x:c>
      <x:c r="I27" s="37" t="n">
        <x:f>IF(D27&gt;0,MIN(E27,F27)/D27,0)</x:f>
        <x:v>0.9425</x:v>
      </x:c>
      <x:c r="J27" s="37" t="n">
        <x:f>IF(D27&gt;0,MIN(G27,H27)/D27,0)</x:f>
        <x:v>0</x:v>
      </x:c>
      <x:c r="K27" s="21" t="str">
        <x:f>IF(I27&gt;=1,"ADEQUATE","GAP")</x:f>
        <x:v>GAP</x:v>
      </x:c>
      <x:c r="L27" s="21" t="str">
        <x:f>IF(J27&gt;=1,"ADMITTED","NOT ADMITTED")</x:f>
        <x:v>NOT ADMITTED</x:v>
      </x:c>
      <x:c r="M27" s="21" t="str">
        <x:v>B2-B6</x:v>
      </x:c>
      <x:c r="N27" s="23" t="str">
        <x:v>identify first failed stage and responsible root</x:v>
      </x:c>
    </x:row>
    <x:row r="28">
      <x:c r="B28" s="21" t="str">
        <x:v>F22</x:v>
      </x:c>
      <x:c r="C28" s="21" t="str">
        <x:f>INDEX(Scenarios!$B$7:$B$12,Assumptions!C7)</x:f>
        <x:v>M05</x:v>
      </x:c>
      <x:c r="D28" s="37" t="n">
        <x:f>'Family Register'!L28</x:f>
        <x:v>12</x:v>
      </x:c>
      <x:c r="E28" s="37" t="n">
        <x:f>'Stage Ledger'!J269</x:f>
        <x:v>12</x:v>
      </x:c>
      <x:c r="F28" s="37" t="n">
        <x:f>'Stage Ledger'!J270</x:f>
        <x:v>12</x:v>
      </x:c>
      <x:c r="G28" s="37" t="n">
        <x:f>'Stage Ledger'!R269</x:f>
        <x:v>0</x:v>
      </x:c>
      <x:c r="H28" s="37" t="n">
        <x:f>'Stage Ledger'!R270</x:f>
        <x:v>0</x:v>
      </x:c>
      <x:c r="I28" s="37" t="n">
        <x:f>IF(D28&gt;0,MIN(E28,F28)/D28,0)</x:f>
        <x:v>1</x:v>
      </x:c>
      <x:c r="J28" s="37" t="n">
        <x:f>IF(D28&gt;0,MIN(G28,H28)/D28,0)</x:f>
        <x:v>0</x:v>
      </x:c>
      <x:c r="K28" s="21" t="str">
        <x:f>IF(I28&gt;=1,"ADEQUATE","GAP")</x:f>
        <x:v>ADEQUATE</x:v>
      </x:c>
      <x:c r="L28" s="21" t="str">
        <x:f>IF(J28&gt;=1,"ADMITTED","NOT ADMITTED")</x:f>
        <x:v>NOT ADMITTED</x:v>
      </x:c>
      <x:c r="M28" s="21" t="str">
        <x:v>B2-B6</x:v>
      </x:c>
      <x:c r="N28" s="23" t="str">
        <x:v>identify first failed stage and responsible root</x:v>
      </x:c>
    </x:row>
    <x:row r="29">
      <x:c r="B29" s="21" t="str">
        <x:v>F23</x:v>
      </x:c>
      <x:c r="C29" s="21" t="str">
        <x:f>INDEX(Scenarios!$B$7:$B$12,Assumptions!C7)</x:f>
        <x:v>M05</x:v>
      </x:c>
      <x:c r="D29" s="37" t="n">
        <x:f>'Family Register'!L29</x:f>
        <x:v>12</x:v>
      </x:c>
      <x:c r="E29" s="37" t="n">
        <x:f>'Stage Ledger'!J281</x:f>
        <x:v>12</x:v>
      </x:c>
      <x:c r="F29" s="37" t="n">
        <x:f>'Stage Ledger'!J282</x:f>
        <x:v>12</x:v>
      </x:c>
      <x:c r="G29" s="37" t="n">
        <x:f>'Stage Ledger'!R281</x:f>
        <x:v>0</x:v>
      </x:c>
      <x:c r="H29" s="37" t="n">
        <x:f>'Stage Ledger'!R282</x:f>
        <x:v>0</x:v>
      </x:c>
      <x:c r="I29" s="37" t="n">
        <x:f>IF(D29&gt;0,MIN(E29,F29)/D29,0)</x:f>
        <x:v>1</x:v>
      </x:c>
      <x:c r="J29" s="37" t="n">
        <x:f>IF(D29&gt;0,MIN(G29,H29)/D29,0)</x:f>
        <x:v>0</x:v>
      </x:c>
      <x:c r="K29" s="21" t="str">
        <x:f>IF(I29&gt;=1,"ADEQUATE","GAP")</x:f>
        <x:v>ADEQUATE</x:v>
      </x:c>
      <x:c r="L29" s="21" t="str">
        <x:f>IF(J29&gt;=1,"ADMITTED","NOT ADMITTED")</x:f>
        <x:v>NOT ADMITTED</x:v>
      </x:c>
      <x:c r="M29" s="21" t="str">
        <x:v>B2-B6</x:v>
      </x:c>
      <x:c r="N29" s="23" t="str">
        <x:v>identify first failed stage and responsible root</x:v>
      </x:c>
    </x:row>
    <x:row r="30">
      <x:c r="B30" s="21" t="str">
        <x:v>F24</x:v>
      </x:c>
      <x:c r="C30" s="21" t="str">
        <x:f>INDEX(Scenarios!$B$7:$B$12,Assumptions!C7)</x:f>
        <x:v>M05</x:v>
      </x:c>
      <x:c r="D30" s="37" t="n">
        <x:f>'Family Register'!L30</x:f>
        <x:v>12</x:v>
      </x:c>
      <x:c r="E30" s="37" t="n">
        <x:f>'Stage Ledger'!J293</x:f>
        <x:v>12</x:v>
      </x:c>
      <x:c r="F30" s="37" t="n">
        <x:f>'Stage Ledger'!J294</x:f>
        <x:v>12</x:v>
      </x:c>
      <x:c r="G30" s="37" t="n">
        <x:f>'Stage Ledger'!R293</x:f>
        <x:v>0</x:v>
      </x:c>
      <x:c r="H30" s="37" t="n">
        <x:f>'Stage Ledger'!R294</x:f>
        <x:v>0</x:v>
      </x:c>
      <x:c r="I30" s="37" t="n">
        <x:f>IF(D30&gt;0,MIN(E30,F30)/D30,0)</x:f>
        <x:v>1</x:v>
      </x:c>
      <x:c r="J30" s="37" t="n">
        <x:f>IF(D30&gt;0,MIN(G30,H30)/D30,0)</x:f>
        <x:v>0</x:v>
      </x:c>
      <x:c r="K30" s="21" t="str">
        <x:f>IF(I30&gt;=1,"ADEQUATE","GAP")</x:f>
        <x:v>ADEQUATE</x:v>
      </x:c>
      <x:c r="L30" s="21" t="str">
        <x:f>IF(J30&gt;=1,"ADMITTED","NOT ADMITTED")</x:f>
        <x:v>NOT ADMITTED</x:v>
      </x:c>
      <x:c r="M30" s="21" t="str">
        <x:v>B2-B6</x:v>
      </x:c>
      <x:c r="N30" s="23" t="str">
        <x:v>identify first failed stage and responsible root</x:v>
      </x:c>
    </x:row>
    <x:row r="31">
      <x:c r="B31" s="21" t="str">
        <x:v>F25</x:v>
      </x:c>
      <x:c r="C31" s="21" t="str">
        <x:f>INDEX(Scenarios!$B$7:$B$12,Assumptions!C7)</x:f>
        <x:v>M05</x:v>
      </x:c>
      <x:c r="D31" s="37" t="n">
        <x:f>'Family Register'!L31</x:f>
        <x:v>12</x:v>
      </x:c>
      <x:c r="E31" s="37" t="n">
        <x:f>'Stage Ledger'!J305</x:f>
        <x:v>12</x:v>
      </x:c>
      <x:c r="F31" s="37" t="n">
        <x:f>'Stage Ledger'!J306</x:f>
        <x:v>12</x:v>
      </x:c>
      <x:c r="G31" s="37" t="n">
        <x:f>'Stage Ledger'!R305</x:f>
        <x:v>0</x:v>
      </x:c>
      <x:c r="H31" s="37" t="n">
        <x:f>'Stage Ledger'!R306</x:f>
        <x:v>0</x:v>
      </x:c>
      <x:c r="I31" s="37" t="n">
        <x:f>IF(D31&gt;0,MIN(E31,F31)/D31,0)</x:f>
        <x:v>1</x:v>
      </x:c>
      <x:c r="J31" s="37" t="n">
        <x:f>IF(D31&gt;0,MIN(G31,H31)/D31,0)</x:f>
        <x:v>0</x:v>
      </x:c>
      <x:c r="K31" s="21" t="str">
        <x:f>IF(I31&gt;=1,"ADEQUATE","GAP")</x:f>
        <x:v>ADEQUATE</x:v>
      </x:c>
      <x:c r="L31" s="21" t="str">
        <x:f>IF(J31&gt;=1,"ADMITTED","NOT ADMITTED")</x:f>
        <x:v>NOT ADMITTED</x:v>
      </x:c>
      <x:c r="M31" s="21" t="str">
        <x:v>B2-B6</x:v>
      </x:c>
      <x:c r="N31" s="23" t="str">
        <x:v>identify first failed stage and responsible root</x:v>
      </x:c>
    </x:row>
    <x:row r="32">
      <x:c r="B32" s="21" t="str">
        <x:v>F26</x:v>
      </x:c>
      <x:c r="C32" s="21" t="str">
        <x:f>INDEX(Scenarios!$B$7:$B$12,Assumptions!C7)</x:f>
        <x:v>M05</x:v>
      </x:c>
      <x:c r="D32" s="37" t="n">
        <x:f>'Family Register'!L32</x:f>
        <x:v>12</x:v>
      </x:c>
      <x:c r="E32" s="37" t="n">
        <x:f>'Stage Ledger'!J317</x:f>
        <x:v>12</x:v>
      </x:c>
      <x:c r="F32" s="37" t="n">
        <x:f>'Stage Ledger'!J318</x:f>
        <x:v>12</x:v>
      </x:c>
      <x:c r="G32" s="37" t="n">
        <x:f>'Stage Ledger'!R317</x:f>
        <x:v>0</x:v>
      </x:c>
      <x:c r="H32" s="37" t="n">
        <x:f>'Stage Ledger'!R318</x:f>
        <x:v>0</x:v>
      </x:c>
      <x:c r="I32" s="37" t="n">
        <x:f>IF(D32&gt;0,MIN(E32,F32)/D32,0)</x:f>
        <x:v>1</x:v>
      </x:c>
      <x:c r="J32" s="37" t="n">
        <x:f>IF(D32&gt;0,MIN(G32,H32)/D32,0)</x:f>
        <x:v>0</x:v>
      </x:c>
      <x:c r="K32" s="21" t="str">
        <x:f>IF(I32&gt;=1,"ADEQUATE","GAP")</x:f>
        <x:v>ADEQUATE</x:v>
      </x:c>
      <x:c r="L32" s="21" t="str">
        <x:f>IF(J32&gt;=1,"ADMITTED","NOT ADMITTED")</x:f>
        <x:v>NOT ADMITTED</x:v>
      </x:c>
      <x:c r="M32" s="21" t="str">
        <x:v>B2-B6</x:v>
      </x:c>
      <x:c r="N32" s="23" t="str">
        <x:v>identify first failed stage and responsible root</x:v>
      </x:c>
    </x:row>
    <x:row r="33">
      <x:c r="B33" s="21" t="str">
        <x:v>F27</x:v>
      </x:c>
      <x:c r="C33" s="21" t="str">
        <x:f>INDEX(Scenarios!$B$7:$B$12,Assumptions!C7)</x:f>
        <x:v>M05</x:v>
      </x:c>
      <x:c r="D33" s="37" t="n">
        <x:f>'Family Register'!L33</x:f>
        <x:v>2</x:v>
      </x:c>
      <x:c r="E33" s="37" t="n">
        <x:f>'Stage Ledger'!J329</x:f>
        <x:v>1.6900000000000002</x:v>
      </x:c>
      <x:c r="F33" s="37" t="n">
        <x:f>'Stage Ledger'!J330</x:f>
        <x:v>1.6900000000000002</x:v>
      </x:c>
      <x:c r="G33" s="37" t="n">
        <x:f>'Stage Ledger'!R329</x:f>
        <x:v>0</x:v>
      </x:c>
      <x:c r="H33" s="37" t="n">
        <x:f>'Stage Ledger'!R330</x:f>
        <x:v>0</x:v>
      </x:c>
      <x:c r="I33" s="37" t="n">
        <x:f>IF(D33&gt;0,MIN(E33,F33)/D33,0)</x:f>
        <x:v>0.8450000000000001</x:v>
      </x:c>
      <x:c r="J33" s="37" t="n">
        <x:f>IF(D33&gt;0,MIN(G33,H33)/D33,0)</x:f>
        <x:v>0</x:v>
      </x:c>
      <x:c r="K33" s="21" t="str">
        <x:f>IF(I33&gt;=1,"ADEQUATE","GAP")</x:f>
        <x:v>GAP</x:v>
      </x:c>
      <x:c r="L33" s="21" t="str">
        <x:f>IF(J33&gt;=1,"ADMITTED","NOT ADMITTED")</x:f>
        <x:v>NOT ADMITTED</x:v>
      </x:c>
      <x:c r="M33" s="21" t="str">
        <x:v>B2-B6</x:v>
      </x:c>
      <x:c r="N33" s="23" t="str">
        <x:v>identify first failed stage and responsible root</x:v>
      </x:c>
    </x:row>
    <x:row r="34">
      <x:c r="B34" s="21" t="str">
        <x:v>F28</x:v>
      </x:c>
      <x:c r="C34" s="21" t="str">
        <x:f>INDEX(Scenarios!$B$7:$B$12,Assumptions!C7)</x:f>
        <x:v>M05</x:v>
      </x:c>
      <x:c r="D34" s="37" t="n">
        <x:f>'Family Register'!L34</x:f>
        <x:v>12</x:v>
      </x:c>
      <x:c r="E34" s="37" t="n">
        <x:f>'Stage Ledger'!J341</x:f>
        <x:v>12</x:v>
      </x:c>
      <x:c r="F34" s="37" t="n">
        <x:f>'Stage Ledger'!J342</x:f>
        <x:v>12</x:v>
      </x:c>
      <x:c r="G34" s="37" t="n">
        <x:f>'Stage Ledger'!R341</x:f>
        <x:v>0</x:v>
      </x:c>
      <x:c r="H34" s="37" t="n">
        <x:f>'Stage Ledger'!R342</x:f>
        <x:v>0</x:v>
      </x:c>
      <x:c r="I34" s="37" t="n">
        <x:f>IF(D34&gt;0,MIN(E34,F34)/D34,0)</x:f>
        <x:v>1</x:v>
      </x:c>
      <x:c r="J34" s="37" t="n">
        <x:f>IF(D34&gt;0,MIN(G34,H34)/D34,0)</x:f>
        <x:v>0</x:v>
      </x:c>
      <x:c r="K34" s="21" t="str">
        <x:f>IF(I34&gt;=1,"ADEQUATE","GAP")</x:f>
        <x:v>ADEQUATE</x:v>
      </x:c>
      <x:c r="L34" s="21" t="str">
        <x:f>IF(J34&gt;=1,"ADMITTED","NOT ADMITTED")</x:f>
        <x:v>NOT ADMITTED</x:v>
      </x:c>
      <x:c r="M34" s="21" t="str">
        <x:v>B2-B6</x:v>
      </x:c>
      <x:c r="N34" s="23" t="str">
        <x:v>identify first failed stage and responsible root</x:v>
      </x:c>
    </x:row>
    <x:row r="35">
      <x:c r="B35" s="21" t="str">
        <x:v>F29</x:v>
      </x:c>
      <x:c r="C35" s="21" t="str">
        <x:f>INDEX(Scenarios!$B$7:$B$12,Assumptions!C7)</x:f>
        <x:v>M05</x:v>
      </x:c>
      <x:c r="D35" s="37" t="n">
        <x:f>'Family Register'!L35</x:f>
        <x:v>2</x:v>
      </x:c>
      <x:c r="E35" s="37" t="n">
        <x:f>'Stage Ledger'!J353</x:f>
        <x:v>1.6900000000000002</x:v>
      </x:c>
      <x:c r="F35" s="37" t="n">
        <x:f>'Stage Ledger'!J354</x:f>
        <x:v>1.6900000000000002</x:v>
      </x:c>
      <x:c r="G35" s="37" t="n">
        <x:f>'Stage Ledger'!R353</x:f>
        <x:v>0</x:v>
      </x:c>
      <x:c r="H35" s="37" t="n">
        <x:f>'Stage Ledger'!R354</x:f>
        <x:v>0</x:v>
      </x:c>
      <x:c r="I35" s="37" t="n">
        <x:f>IF(D35&gt;0,MIN(E35,F35)/D35,0)</x:f>
        <x:v>0.8450000000000001</x:v>
      </x:c>
      <x:c r="J35" s="37" t="n">
        <x:f>IF(D35&gt;0,MIN(G35,H35)/D35,0)</x:f>
        <x:v>0</x:v>
      </x:c>
      <x:c r="K35" s="21" t="str">
        <x:f>IF(I35&gt;=1,"ADEQUATE","GAP")</x:f>
        <x:v>GAP</x:v>
      </x:c>
      <x:c r="L35" s="21" t="str">
        <x:f>IF(J35&gt;=1,"ADMITTED","NOT ADMITTED")</x:f>
        <x:v>NOT ADMITTED</x:v>
      </x:c>
      <x:c r="M35" s="21" t="str">
        <x:v>B2-B6</x:v>
      </x:c>
      <x:c r="N35" s="23" t="str">
        <x:v>identify first failed stage and responsible root</x:v>
      </x:c>
    </x:row>
    <x:row r="36">
      <x:c r="B36" s="21" t="str">
        <x:v>F30</x:v>
      </x:c>
      <x:c r="C36" s="21" t="str">
        <x:f>INDEX(Scenarios!$B$7:$B$12,Assumptions!C7)</x:f>
        <x:v>M05</x:v>
      </x:c>
      <x:c r="D36" s="37" t="n">
        <x:f>'Family Register'!L36</x:f>
        <x:v>2</x:v>
      </x:c>
      <x:c r="E36" s="37" t="n">
        <x:f>'Stage Ledger'!J365</x:f>
        <x:v>1.6900000000000002</x:v>
      </x:c>
      <x:c r="F36" s="37" t="n">
        <x:f>'Stage Ledger'!J366</x:f>
        <x:v>1.6900000000000002</x:v>
      </x:c>
      <x:c r="G36" s="37" t="n">
        <x:f>'Stage Ledger'!R365</x:f>
        <x:v>0</x:v>
      </x:c>
      <x:c r="H36" s="37" t="n">
        <x:f>'Stage Ledger'!R366</x:f>
        <x:v>0</x:v>
      </x:c>
      <x:c r="I36" s="37" t="n">
        <x:f>IF(D36&gt;0,MIN(E36,F36)/D36,0)</x:f>
        <x:v>0.8450000000000001</x:v>
      </x:c>
      <x:c r="J36" s="37" t="n">
        <x:f>IF(D36&gt;0,MIN(G36,H36)/D36,0)</x:f>
        <x:v>0</x:v>
      </x:c>
      <x:c r="K36" s="21" t="str">
        <x:f>IF(I36&gt;=1,"ADEQUATE","GAP")</x:f>
        <x:v>GAP</x:v>
      </x:c>
      <x:c r="L36" s="21" t="str">
        <x:f>IF(J36&gt;=1,"ADMITTED","NOT ADMITTED")</x:f>
        <x:v>NOT ADMITTED</x:v>
      </x:c>
      <x:c r="M36" s="21" t="str">
        <x:v>B2-B6</x:v>
      </x:c>
      <x:c r="N36" s="23" t="str">
        <x:v>identify first failed stage and responsible root</x:v>
      </x:c>
    </x:row>
    <x:row r="37">
      <x:c r="B37" s="21" t="str">
        <x:v>F31</x:v>
      </x:c>
      <x:c r="C37" s="21" t="str">
        <x:f>INDEX(Scenarios!$B$7:$B$12,Assumptions!C7)</x:f>
        <x:v>M05</x:v>
      </x:c>
      <x:c r="D37" s="37" t="n">
        <x:f>'Family Register'!L37</x:f>
        <x:v>12</x:v>
      </x:c>
      <x:c r="E37" s="37" t="n">
        <x:f>'Stage Ledger'!J377</x:f>
        <x:v>11.309999999999999</x:v>
      </x:c>
      <x:c r="F37" s="37" t="n">
        <x:f>'Stage Ledger'!J378</x:f>
        <x:v>11.309999999999999</x:v>
      </x:c>
      <x:c r="G37" s="37" t="n">
        <x:f>'Stage Ledger'!R377</x:f>
        <x:v>0</x:v>
      </x:c>
      <x:c r="H37" s="37" t="n">
        <x:f>'Stage Ledger'!R378</x:f>
        <x:v>0</x:v>
      </x:c>
      <x:c r="I37" s="37" t="n">
        <x:f>IF(D37&gt;0,MIN(E37,F37)/D37,0)</x:f>
        <x:v>0.9424999999999999</x:v>
      </x:c>
      <x:c r="J37" s="37" t="n">
        <x:f>IF(D37&gt;0,MIN(G37,H37)/D37,0)</x:f>
        <x:v>0</x:v>
      </x:c>
      <x:c r="K37" s="21" t="str">
        <x:f>IF(I37&gt;=1,"ADEQUATE","GAP")</x:f>
        <x:v>GAP</x:v>
      </x:c>
      <x:c r="L37" s="21" t="str">
        <x:f>IF(J37&gt;=1,"ADMITTED","NOT ADMITTED")</x:f>
        <x:v>NOT ADMITTED</x:v>
      </x:c>
      <x:c r="M37" s="21" t="str">
        <x:v>B2-B6</x:v>
      </x:c>
      <x:c r="N37" s="23" t="str">
        <x:v>identify first failed stage and responsible root</x:v>
      </x:c>
    </x:row>
    <x:row r="38">
      <x:c r="B38" s="21" t="str">
        <x:v>F32</x:v>
      </x:c>
      <x:c r="C38" s="21" t="str">
        <x:f>INDEX(Scenarios!$B$7:$B$12,Assumptions!C7)</x:f>
        <x:v>M05</x:v>
      </x:c>
      <x:c r="D38" s="37" t="n">
        <x:f>'Family Register'!L38</x:f>
        <x:v>8</x:v>
      </x:c>
      <x:c r="E38" s="37" t="n">
        <x:f>'Stage Ledger'!J389</x:f>
        <x:v>6.760000000000001</x:v>
      </x:c>
      <x:c r="F38" s="37" t="n">
        <x:f>'Stage Ledger'!J390</x:f>
        <x:v>6.760000000000001</x:v>
      </x:c>
      <x:c r="G38" s="37" t="n">
        <x:f>'Stage Ledger'!R389</x:f>
        <x:v>0</x:v>
      </x:c>
      <x:c r="H38" s="37" t="n">
        <x:f>'Stage Ledger'!R390</x:f>
        <x:v>0</x:v>
      </x:c>
      <x:c r="I38" s="37" t="n">
        <x:f>IF(D38&gt;0,MIN(E38,F38)/D38,0)</x:f>
        <x:v>0.8450000000000001</x:v>
      </x:c>
      <x:c r="J38" s="37" t="n">
        <x:f>IF(D38&gt;0,MIN(G38,H38)/D38,0)</x:f>
        <x:v>0</x:v>
      </x:c>
      <x:c r="K38" s="21" t="str">
        <x:f>IF(I38&gt;=1,"ADEQUATE","GAP")</x:f>
        <x:v>GAP</x:v>
      </x:c>
      <x:c r="L38" s="21" t="str">
        <x:f>IF(J38&gt;=1,"ADMITTED","NOT ADMITTED")</x:f>
        <x:v>NOT ADMITTED</x:v>
      </x:c>
      <x:c r="M38" s="21" t="str">
        <x:v>B2-B6</x:v>
      </x:c>
      <x:c r="N38" s="23" t="str">
        <x:v>identify first failed stage and responsible root</x:v>
      </x:c>
    </x:row>
    <x:row r="39">
      <x:c r="B39" s="21" t="str">
        <x:v>F33</x:v>
      </x:c>
      <x:c r="C39" s="21" t="str">
        <x:f>INDEX(Scenarios!$B$7:$B$12,Assumptions!C7)</x:f>
        <x:v>M05</x:v>
      </x:c>
      <x:c r="D39" s="37" t="n">
        <x:f>'Family Register'!L39</x:f>
        <x:v>8</x:v>
      </x:c>
      <x:c r="E39" s="37" t="n">
        <x:f>'Stage Ledger'!J401</x:f>
        <x:v>6.24</x:v>
      </x:c>
      <x:c r="F39" s="37" t="n">
        <x:f>'Stage Ledger'!J402</x:f>
        <x:v>6.24</x:v>
      </x:c>
      <x:c r="G39" s="37" t="n">
        <x:f>'Stage Ledger'!R401</x:f>
        <x:v>0</x:v>
      </x:c>
      <x:c r="H39" s="37" t="n">
        <x:f>'Stage Ledger'!R402</x:f>
        <x:v>0</x:v>
      </x:c>
      <x:c r="I39" s="37" t="n">
        <x:f>IF(D39&gt;0,MIN(E39,F39)/D39,0)</x:f>
        <x:v>0.78</x:v>
      </x:c>
      <x:c r="J39" s="37" t="n">
        <x:f>IF(D39&gt;0,MIN(G39,H39)/D39,0)</x:f>
        <x:v>0</x:v>
      </x:c>
      <x:c r="K39" s="21" t="str">
        <x:f>IF(I39&gt;=1,"ADEQUATE","GAP")</x:f>
        <x:v>GAP</x:v>
      </x:c>
      <x:c r="L39" s="21" t="str">
        <x:f>IF(J39&gt;=1,"ADMITTED","NOT ADMITTED")</x:f>
        <x:v>NOT ADMITTED</x:v>
      </x:c>
      <x:c r="M39" s="21" t="str">
        <x:v>B2-B6</x:v>
      </x:c>
      <x:c r="N39" s="23" t="str">
        <x:v>identify first failed stage and responsible root</x:v>
      </x:c>
    </x:row>
    <x:row r="40">
      <x:c r="B40" s="21" t="str">
        <x:v>F34</x:v>
      </x:c>
      <x:c r="C40" s="21" t="str">
        <x:f>INDEX(Scenarios!$B$7:$B$12,Assumptions!C7)</x:f>
        <x:v>M05</x:v>
      </x:c>
      <x:c r="D40" s="37" t="n">
        <x:f>'Family Register'!L40</x:f>
        <x:v>4</x:v>
      </x:c>
      <x:c r="E40" s="37" t="n">
        <x:f>'Stage Ledger'!J413</x:f>
        <x:v>3.77</x:v>
      </x:c>
      <x:c r="F40" s="37" t="n">
        <x:f>'Stage Ledger'!J414</x:f>
        <x:v>3.77</x:v>
      </x:c>
      <x:c r="G40" s="37" t="n">
        <x:f>'Stage Ledger'!R413</x:f>
        <x:v>0</x:v>
      </x:c>
      <x:c r="H40" s="37" t="n">
        <x:f>'Stage Ledger'!R414</x:f>
        <x:v>0</x:v>
      </x:c>
      <x:c r="I40" s="37" t="n">
        <x:f>IF(D40&gt;0,MIN(E40,F40)/D40,0)</x:f>
        <x:v>0.9425</x:v>
      </x:c>
      <x:c r="J40" s="37" t="n">
        <x:f>IF(D40&gt;0,MIN(G40,H40)/D40,0)</x:f>
        <x:v>0</x:v>
      </x:c>
      <x:c r="K40" s="21" t="str">
        <x:f>IF(I40&gt;=1,"ADEQUATE","GAP")</x:f>
        <x:v>GAP</x:v>
      </x:c>
      <x:c r="L40" s="21" t="str">
        <x:f>IF(J40&gt;=1,"ADMITTED","NOT ADMITTED")</x:f>
        <x:v>NOT ADMITTED</x:v>
      </x:c>
      <x:c r="M40" s="21" t="str">
        <x:v>B2-B6</x:v>
      </x:c>
      <x:c r="N40" s="23" t="str">
        <x:v>identify first failed stage and responsible root</x:v>
      </x:c>
    </x:row>
    <x:row r="41">
      <x:c r="B41" s="21" t="str">
        <x:v>F35</x:v>
      </x:c>
      <x:c r="C41" s="21" t="str">
        <x:f>INDEX(Scenarios!$B$7:$B$12,Assumptions!C7)</x:f>
        <x:v>M05</x:v>
      </x:c>
      <x:c r="D41" s="37" t="n">
        <x:f>'Family Register'!L41</x:f>
        <x:v>4</x:v>
      </x:c>
      <x:c r="E41" s="37" t="n">
        <x:f>'Stage Ledger'!J425</x:f>
        <x:v>3.3800000000000003</x:v>
      </x:c>
      <x:c r="F41" s="37" t="n">
        <x:f>'Stage Ledger'!J426</x:f>
        <x:v>3.3800000000000003</x:v>
      </x:c>
      <x:c r="G41" s="37" t="n">
        <x:f>'Stage Ledger'!R425</x:f>
        <x:v>0</x:v>
      </x:c>
      <x:c r="H41" s="37" t="n">
        <x:f>'Stage Ledger'!R426</x:f>
        <x:v>0</x:v>
      </x:c>
      <x:c r="I41" s="37" t="n">
        <x:f>IF(D41&gt;0,MIN(E41,F41)/D41,0)</x:f>
        <x:v>0.8450000000000001</x:v>
      </x:c>
      <x:c r="J41" s="37" t="n">
        <x:f>IF(D41&gt;0,MIN(G41,H41)/D41,0)</x:f>
        <x:v>0</x:v>
      </x:c>
      <x:c r="K41" s="21" t="str">
        <x:f>IF(I41&gt;=1,"ADEQUATE","GAP")</x:f>
        <x:v>GAP</x:v>
      </x:c>
      <x:c r="L41" s="21" t="str">
        <x:f>IF(J41&gt;=1,"ADMITTED","NOT ADMITTED")</x:f>
        <x:v>NOT ADMITTED</x:v>
      </x:c>
      <x:c r="M41" s="21" t="str">
        <x:v>B2-B6</x:v>
      </x:c>
      <x:c r="N41" s="23" t="str">
        <x:v>identify first failed stage and responsible root</x:v>
      </x:c>
    </x:row>
    <x:row r="42">
      <x:c r="B42" s="21" t="str">
        <x:v>F36</x:v>
      </x:c>
      <x:c r="C42" s="21" t="str">
        <x:f>INDEX(Scenarios!$B$7:$B$12,Assumptions!C7)</x:f>
        <x:v>M05</x:v>
      </x:c>
      <x:c r="D42" s="37" t="n">
        <x:f>'Family Register'!L42</x:f>
        <x:v>8</x:v>
      </x:c>
      <x:c r="E42" s="37" t="n">
        <x:f>'Stage Ledger'!J437</x:f>
        <x:v>7.54</x:v>
      </x:c>
      <x:c r="F42" s="37" t="n">
        <x:f>'Stage Ledger'!J438</x:f>
        <x:v>7.54</x:v>
      </x:c>
      <x:c r="G42" s="37" t="n">
        <x:f>'Stage Ledger'!R437</x:f>
        <x:v>0</x:v>
      </x:c>
      <x:c r="H42" s="37" t="n">
        <x:f>'Stage Ledger'!R438</x:f>
        <x:v>0</x:v>
      </x:c>
      <x:c r="I42" s="37" t="n">
        <x:f>IF(D42&gt;0,MIN(E42,F42)/D42,0)</x:f>
        <x:v>0.9425</x:v>
      </x:c>
      <x:c r="J42" s="37" t="n">
        <x:f>IF(D42&gt;0,MIN(G42,H42)/D42,0)</x:f>
        <x:v>0</x:v>
      </x:c>
      <x:c r="K42" s="21" t="str">
        <x:f>IF(I42&gt;=1,"ADEQUATE","GAP")</x:f>
        <x:v>GAP</x:v>
      </x:c>
      <x:c r="L42" s="21" t="str">
        <x:f>IF(J42&gt;=1,"ADMITTED","NOT ADMITTED")</x:f>
        <x:v>NOT ADMITTED</x:v>
      </x:c>
      <x:c r="M42" s="21" t="str">
        <x:v>B2-B6</x:v>
      </x:c>
      <x:c r="N42" s="23" t="str">
        <x:v>identify first failed stage and responsible root</x:v>
      </x:c>
    </x:row>
    <x:row r="43">
      <x:c r="B43" s="21" t="str">
        <x:v>F37</x:v>
      </x:c>
      <x:c r="C43" s="21" t="str">
        <x:f>INDEX(Scenarios!$B$7:$B$12,Assumptions!C7)</x:f>
        <x:v>M05</x:v>
      </x:c>
      <x:c r="D43" s="37" t="n">
        <x:f>'Family Register'!L43</x:f>
        <x:v>4</x:v>
      </x:c>
      <x:c r="E43" s="37" t="n">
        <x:f>'Stage Ledger'!J449</x:f>
        <x:v>3.77</x:v>
      </x:c>
      <x:c r="F43" s="37" t="n">
        <x:f>'Stage Ledger'!J450</x:f>
        <x:v>3.77</x:v>
      </x:c>
      <x:c r="G43" s="37" t="n">
        <x:f>'Stage Ledger'!R449</x:f>
        <x:v>0</x:v>
      </x:c>
      <x:c r="H43" s="37" t="n">
        <x:f>'Stage Ledger'!R450</x:f>
        <x:v>0</x:v>
      </x:c>
      <x:c r="I43" s="37" t="n">
        <x:f>IF(D43&gt;0,MIN(E43,F43)/D43,0)</x:f>
        <x:v>0.9425</x:v>
      </x:c>
      <x:c r="J43" s="37" t="n">
        <x:f>IF(D43&gt;0,MIN(G43,H43)/D43,0)</x:f>
        <x:v>0</x:v>
      </x:c>
      <x:c r="K43" s="21" t="str">
        <x:f>IF(I43&gt;=1,"ADEQUATE","GAP")</x:f>
        <x:v>GAP</x:v>
      </x:c>
      <x:c r="L43" s="21" t="str">
        <x:f>IF(J43&gt;=1,"ADMITTED","NOT ADMITTED")</x:f>
        <x:v>NOT ADMITTED</x:v>
      </x:c>
      <x:c r="M43" s="21" t="str">
        <x:v>B2-B6</x:v>
      </x:c>
      <x:c r="N43" s="23" t="str">
        <x:v>identify first failed stage and responsible root</x:v>
      </x:c>
    </x:row>
    <x:row r="44">
      <x:c r="B44" s="21" t="str">
        <x:v>F38</x:v>
      </x:c>
      <x:c r="C44" s="21" t="str">
        <x:f>INDEX(Scenarios!$B$7:$B$12,Assumptions!C7)</x:f>
        <x:v>M05</x:v>
      </x:c>
      <x:c r="D44" s="37" t="n">
        <x:f>'Family Register'!L44</x:f>
        <x:v>12</x:v>
      </x:c>
      <x:c r="E44" s="37" t="n">
        <x:f>'Stage Ledger'!J461</x:f>
        <x:v>12</x:v>
      </x:c>
      <x:c r="F44" s="37" t="n">
        <x:f>'Stage Ledger'!J462</x:f>
        <x:v>12</x:v>
      </x:c>
      <x:c r="G44" s="37" t="n">
        <x:f>'Stage Ledger'!R461</x:f>
        <x:v>0</x:v>
      </x:c>
      <x:c r="H44" s="37" t="n">
        <x:f>'Stage Ledger'!R462</x:f>
        <x:v>0</x:v>
      </x:c>
      <x:c r="I44" s="37" t="n">
        <x:f>IF(D44&gt;0,MIN(E44,F44)/D44,0)</x:f>
        <x:v>1</x:v>
      </x:c>
      <x:c r="J44" s="37" t="n">
        <x:f>IF(D44&gt;0,MIN(G44,H44)/D44,0)</x:f>
        <x:v>0</x:v>
      </x:c>
      <x:c r="K44" s="21" t="str">
        <x:f>IF(I44&gt;=1,"ADEQUATE","GAP")</x:f>
        <x:v>ADEQUATE</x:v>
      </x:c>
      <x:c r="L44" s="21" t="str">
        <x:f>IF(J44&gt;=1,"ADMITTED","NOT ADMITTED")</x:f>
        <x:v>NOT ADMITTED</x:v>
      </x:c>
      <x:c r="M44" s="21" t="str">
        <x:v>B2-B6</x:v>
      </x:c>
      <x:c r="N44" s="23" t="str">
        <x:v>identify first failed stage and responsible root</x:v>
      </x:c>
    </x:row>
    <x:row r="45">
      <x:c r="B45" s="21" t="str">
        <x:v>F39</x:v>
      </x:c>
      <x:c r="C45" s="21" t="str">
        <x:f>INDEX(Scenarios!$B$7:$B$12,Assumptions!C7)</x:f>
        <x:v>M05</x:v>
      </x:c>
      <x:c r="D45" s="37" t="n">
        <x:f>'Family Register'!L45</x:f>
        <x:v>4</x:v>
      </x:c>
      <x:c r="E45" s="37" t="n">
        <x:f>'Stage Ledger'!J473</x:f>
        <x:v>4</x:v>
      </x:c>
      <x:c r="F45" s="37" t="n">
        <x:f>'Stage Ledger'!J474</x:f>
        <x:v>4</x:v>
      </x:c>
      <x:c r="G45" s="37" t="n">
        <x:f>'Stage Ledger'!R473</x:f>
        <x:v>0</x:v>
      </x:c>
      <x:c r="H45" s="37" t="n">
        <x:f>'Stage Ledger'!R474</x:f>
        <x:v>0</x:v>
      </x:c>
      <x:c r="I45" s="37" t="n">
        <x:f>IF(D45&gt;0,MIN(E45,F45)/D45,0)</x:f>
        <x:v>1</x:v>
      </x:c>
      <x:c r="J45" s="37" t="n">
        <x:f>IF(D45&gt;0,MIN(G45,H45)/D45,0)</x:f>
        <x:v>0</x:v>
      </x:c>
      <x:c r="K45" s="21" t="str">
        <x:f>IF(I45&gt;=1,"ADEQUATE","GAP")</x:f>
        <x:v>ADEQUATE</x:v>
      </x:c>
      <x:c r="L45" s="21" t="str">
        <x:f>IF(J45&gt;=1,"ADMITTED","NOT ADMITTED")</x:f>
        <x:v>NOT ADMITTED</x:v>
      </x:c>
      <x:c r="M45" s="21" t="str">
        <x:v>B2-B6</x:v>
      </x:c>
      <x:c r="N45" s="23" t="str">
        <x:v>identify first failed stage and responsible root</x:v>
      </x:c>
    </x:row>
    <x:row r="46">
      <x:c r="B46" s="21" t="str">
        <x:v>F40</x:v>
      </x:c>
      <x:c r="C46" s="21" t="str">
        <x:f>INDEX(Scenarios!$B$7:$B$12,Assumptions!C7)</x:f>
        <x:v>M05</x:v>
      </x:c>
      <x:c r="D46" s="37" t="n">
        <x:f>'Family Register'!L46</x:f>
        <x:v>4</x:v>
      </x:c>
      <x:c r="E46" s="37" t="n">
        <x:f>'Stage Ledger'!J485</x:f>
        <x:v>4</x:v>
      </x:c>
      <x:c r="F46" s="37" t="n">
        <x:f>'Stage Ledger'!J486</x:f>
        <x:v>4</x:v>
      </x:c>
      <x:c r="G46" s="37" t="n">
        <x:f>'Stage Ledger'!R485</x:f>
        <x:v>0</x:v>
      </x:c>
      <x:c r="H46" s="37" t="n">
        <x:f>'Stage Ledger'!R486</x:f>
        <x:v>0</x:v>
      </x:c>
      <x:c r="I46" s="37" t="n">
        <x:f>IF(D46&gt;0,MIN(E46,F46)/D46,0)</x:f>
        <x:v>1</x:v>
      </x:c>
      <x:c r="J46" s="37" t="n">
        <x:f>IF(D46&gt;0,MIN(G46,H46)/D46,0)</x:f>
        <x:v>0</x:v>
      </x:c>
      <x:c r="K46" s="21" t="str">
        <x:f>IF(I46&gt;=1,"ADEQUATE","GAP")</x:f>
        <x:v>ADEQUATE</x:v>
      </x:c>
      <x:c r="L46" s="21" t="str">
        <x:f>IF(J46&gt;=1,"ADMITTED","NOT ADMITTED")</x:f>
        <x:v>NOT ADMITTED</x:v>
      </x:c>
      <x:c r="M46" s="21" t="str">
        <x:v>B2-B6</x:v>
      </x:c>
      <x:c r="N46" s="23" t="str">
        <x:v>identify first failed stage and responsible root</x:v>
      </x:c>
    </x:row>
    <x:row r="47">
      <x:c r="B47" s="21" t="str">
        <x:v>F41</x:v>
      </x:c>
      <x:c r="C47" s="21" t="str">
        <x:f>INDEX(Scenarios!$B$7:$B$12,Assumptions!C7)</x:f>
        <x:v>M05</x:v>
      </x:c>
      <x:c r="D47" s="37" t="n">
        <x:f>'Family Register'!L47</x:f>
        <x:v>4</x:v>
      </x:c>
      <x:c r="E47" s="37" t="n">
        <x:f>'Stage Ledger'!J497</x:f>
        <x:v>4</x:v>
      </x:c>
      <x:c r="F47" s="37" t="n">
        <x:f>'Stage Ledger'!J498</x:f>
        <x:v>4</x:v>
      </x:c>
      <x:c r="G47" s="37" t="n">
        <x:f>'Stage Ledger'!R497</x:f>
        <x:v>0</x:v>
      </x:c>
      <x:c r="H47" s="37" t="n">
        <x:f>'Stage Ledger'!R498</x:f>
        <x:v>0</x:v>
      </x:c>
      <x:c r="I47" s="37" t="n">
        <x:f>IF(D47&gt;0,MIN(E47,F47)/D47,0)</x:f>
        <x:v>1</x:v>
      </x:c>
      <x:c r="J47" s="37" t="n">
        <x:f>IF(D47&gt;0,MIN(G47,H47)/D47,0)</x:f>
        <x:v>0</x:v>
      </x:c>
      <x:c r="K47" s="21" t="str">
        <x:f>IF(I47&gt;=1,"ADEQUATE","GAP")</x:f>
        <x:v>ADEQUATE</x:v>
      </x:c>
      <x:c r="L47" s="21" t="str">
        <x:f>IF(J47&gt;=1,"ADMITTED","NOT ADMITTED")</x:f>
        <x:v>NOT ADMITTED</x:v>
      </x:c>
      <x:c r="M47" s="21" t="str">
        <x:v>B2-B6</x:v>
      </x:c>
      <x:c r="N47" s="23" t="str">
        <x:v>identify first failed stage and responsible root</x:v>
      </x:c>
    </x:row>
    <x:row r="48">
      <x:c r="B48" s="21" t="str">
        <x:v>F42</x:v>
      </x:c>
      <x:c r="C48" s="21" t="str">
        <x:f>INDEX(Scenarios!$B$7:$B$12,Assumptions!C7)</x:f>
        <x:v>M05</x:v>
      </x:c>
      <x:c r="D48" s="37" t="n">
        <x:f>'Family Register'!L48</x:f>
        <x:v>4</x:v>
      </x:c>
      <x:c r="E48" s="37" t="n">
        <x:f>'Stage Ledger'!J509</x:f>
        <x:v>4</x:v>
      </x:c>
      <x:c r="F48" s="37" t="n">
        <x:f>'Stage Ledger'!J510</x:f>
        <x:v>4</x:v>
      </x:c>
      <x:c r="G48" s="37" t="n">
        <x:f>'Stage Ledger'!R509</x:f>
        <x:v>0</x:v>
      </x:c>
      <x:c r="H48" s="37" t="n">
        <x:f>'Stage Ledger'!R510</x:f>
        <x:v>0</x:v>
      </x:c>
      <x:c r="I48" s="37" t="n">
        <x:f>IF(D48&gt;0,MIN(E48,F48)/D48,0)</x:f>
        <x:v>1</x:v>
      </x:c>
      <x:c r="J48" s="37" t="n">
        <x:f>IF(D48&gt;0,MIN(G48,H48)/D48,0)</x:f>
        <x:v>0</x:v>
      </x:c>
      <x:c r="K48" s="21" t="str">
        <x:f>IF(I48&gt;=1,"ADEQUATE","GAP")</x:f>
        <x:v>ADEQUATE</x:v>
      </x:c>
      <x:c r="L48" s="21" t="str">
        <x:f>IF(J48&gt;=1,"ADMITTED","NOT ADMITTED")</x:f>
        <x:v>NOT ADMITTED</x:v>
      </x:c>
      <x:c r="M48" s="21" t="str">
        <x:v>B2-B6</x:v>
      </x:c>
      <x:c r="N48" s="23" t="str">
        <x:v>identify first failed stage and responsible root</x:v>
      </x:c>
    </x:row>
    <x:row r="49">
      <x:c r="B49" s="21" t="str">
        <x:v>F43</x:v>
      </x:c>
      <x:c r="C49" s="21" t="str">
        <x:f>INDEX(Scenarios!$B$7:$B$12,Assumptions!C7)</x:f>
        <x:v>M05</x:v>
      </x:c>
      <x:c r="D49" s="37" t="n">
        <x:f>'Family Register'!L49</x:f>
        <x:v>4</x:v>
      </x:c>
      <x:c r="E49" s="37" t="n">
        <x:f>'Stage Ledger'!J521</x:f>
        <x:v>4</x:v>
      </x:c>
      <x:c r="F49" s="37" t="n">
        <x:f>'Stage Ledger'!J522</x:f>
        <x:v>4</x:v>
      </x:c>
      <x:c r="G49" s="37" t="n">
        <x:f>'Stage Ledger'!R521</x:f>
        <x:v>0</x:v>
      </x:c>
      <x:c r="H49" s="37" t="n">
        <x:f>'Stage Ledger'!R522</x:f>
        <x:v>0</x:v>
      </x:c>
      <x:c r="I49" s="37" t="n">
        <x:f>IF(D49&gt;0,MIN(E49,F49)/D49,0)</x:f>
        <x:v>1</x:v>
      </x:c>
      <x:c r="J49" s="37" t="n">
        <x:f>IF(D49&gt;0,MIN(G49,H49)/D49,0)</x:f>
        <x:v>0</x:v>
      </x:c>
      <x:c r="K49" s="21" t="str">
        <x:f>IF(I49&gt;=1,"ADEQUATE","GAP")</x:f>
        <x:v>ADEQUATE</x:v>
      </x:c>
      <x:c r="L49" s="21" t="str">
        <x:f>IF(J49&gt;=1,"ADMITTED","NOT ADMITTED")</x:f>
        <x:v>NOT ADMITTED</x:v>
      </x:c>
      <x:c r="M49" s="21" t="str">
        <x:v>B2-B6</x:v>
      </x:c>
      <x:c r="N49" s="23" t="str">
        <x:v>identify first failed stage and responsible root</x:v>
      </x:c>
    </x:row>
    <x:row r="50">
      <x:c r="B50" s="21" t="str">
        <x:v>F44</x:v>
      </x:c>
      <x:c r="C50" s="21" t="str">
        <x:f>INDEX(Scenarios!$B$7:$B$12,Assumptions!C7)</x:f>
        <x:v>M05</x:v>
      </x:c>
      <x:c r="D50" s="37" t="n">
        <x:f>'Family Register'!L50</x:f>
        <x:v>8</x:v>
      </x:c>
      <x:c r="E50" s="37" t="n">
        <x:f>'Stage Ledger'!J533</x:f>
        <x:v>8</x:v>
      </x:c>
      <x:c r="F50" s="37" t="n">
        <x:f>'Stage Ledger'!J534</x:f>
        <x:v>8</x:v>
      </x:c>
      <x:c r="G50" s="37" t="n">
        <x:f>'Stage Ledger'!R533</x:f>
        <x:v>0</x:v>
      </x:c>
      <x:c r="H50" s="37" t="n">
        <x:f>'Stage Ledger'!R534</x:f>
        <x:v>0</x:v>
      </x:c>
      <x:c r="I50" s="37" t="n">
        <x:f>IF(D50&gt;0,MIN(E50,F50)/D50,0)</x:f>
        <x:v>1</x:v>
      </x:c>
      <x:c r="J50" s="37" t="n">
        <x:f>IF(D50&gt;0,MIN(G50,H50)/D50,0)</x:f>
        <x:v>0</x:v>
      </x:c>
      <x:c r="K50" s="21" t="str">
        <x:f>IF(I50&gt;=1,"ADEQUATE","GAP")</x:f>
        <x:v>ADEQUATE</x:v>
      </x:c>
      <x:c r="L50" s="21" t="str">
        <x:f>IF(J50&gt;=1,"ADMITTED","NOT ADMITTED")</x:f>
        <x:v>NOT ADMITTED</x:v>
      </x:c>
      <x:c r="M50" s="21" t="str">
        <x:v>B2-B6</x:v>
      </x:c>
      <x:c r="N50" s="23" t="str">
        <x:v>identify first failed stage and responsible root</x:v>
      </x:c>
    </x:row>
    <x:row r="51">
      <x:c r="B51" s="21" t="str">
        <x:v>F45</x:v>
      </x:c>
      <x:c r="C51" s="21" t="str">
        <x:f>INDEX(Scenarios!$B$7:$B$12,Assumptions!C7)</x:f>
        <x:v>M05</x:v>
      </x:c>
      <x:c r="D51" s="37" t="n">
        <x:f>'Family Register'!L51</x:f>
        <x:v>8</x:v>
      </x:c>
      <x:c r="E51" s="37" t="n">
        <x:f>'Stage Ledger'!J545</x:f>
        <x:v>6.760000000000001</x:v>
      </x:c>
      <x:c r="F51" s="37" t="n">
        <x:f>'Stage Ledger'!J546</x:f>
        <x:v>6.760000000000001</x:v>
      </x:c>
      <x:c r="G51" s="37" t="n">
        <x:f>'Stage Ledger'!R545</x:f>
        <x:v>0</x:v>
      </x:c>
      <x:c r="H51" s="37" t="n">
        <x:f>'Stage Ledger'!R546</x:f>
        <x:v>0</x:v>
      </x:c>
      <x:c r="I51" s="37" t="n">
        <x:f>IF(D51&gt;0,MIN(E51,F51)/D51,0)</x:f>
        <x:v>0.8450000000000001</x:v>
      </x:c>
      <x:c r="J51" s="37" t="n">
        <x:f>IF(D51&gt;0,MIN(G51,H51)/D51,0)</x:f>
        <x:v>0</x:v>
      </x:c>
      <x:c r="K51" s="21" t="str">
        <x:f>IF(I51&gt;=1,"ADEQUATE","GAP")</x:f>
        <x:v>GAP</x:v>
      </x:c>
      <x:c r="L51" s="21" t="str">
        <x:f>IF(J51&gt;=1,"ADMITTED","NOT ADMITTED")</x:f>
        <x:v>NOT ADMITTED</x:v>
      </x:c>
      <x:c r="M51" s="21" t="str">
        <x:v>B2-B6</x:v>
      </x:c>
      <x:c r="N51" s="23" t="str">
        <x:v>identify first failed stage and responsible root</x:v>
      </x:c>
    </x:row>
    <x:row r="52">
      <x:c r="B52" s="21" t="str">
        <x:v>F46</x:v>
      </x:c>
      <x:c r="C52" s="21" t="str">
        <x:f>INDEX(Scenarios!$B$7:$B$12,Assumptions!C7)</x:f>
        <x:v>M05</x:v>
      </x:c>
      <x:c r="D52" s="37" t="n">
        <x:f>'Family Register'!L52</x:f>
        <x:v>8</x:v>
      </x:c>
      <x:c r="E52" s="37" t="n">
        <x:f>'Stage Ledger'!J557</x:f>
        <x:v>7.54</x:v>
      </x:c>
      <x:c r="F52" s="37" t="n">
        <x:f>'Stage Ledger'!J558</x:f>
        <x:v>7.54</x:v>
      </x:c>
      <x:c r="G52" s="37" t="n">
        <x:f>'Stage Ledger'!R557</x:f>
        <x:v>0</x:v>
      </x:c>
      <x:c r="H52" s="37" t="n">
        <x:f>'Stage Ledger'!R558</x:f>
        <x:v>0</x:v>
      </x:c>
      <x:c r="I52" s="37" t="n">
        <x:f>IF(D52&gt;0,MIN(E52,F52)/D52,0)</x:f>
        <x:v>0.9425</x:v>
      </x:c>
      <x:c r="J52" s="37" t="n">
        <x:f>IF(D52&gt;0,MIN(G52,H52)/D52,0)</x:f>
        <x:v>0</x:v>
      </x:c>
      <x:c r="K52" s="21" t="str">
        <x:f>IF(I52&gt;=1,"ADEQUATE","GAP")</x:f>
        <x:v>GAP</x:v>
      </x:c>
      <x:c r="L52" s="21" t="str">
        <x:f>IF(J52&gt;=1,"ADMITTED","NOT ADMITTED")</x:f>
        <x:v>NOT ADMITTED</x:v>
      </x:c>
      <x:c r="M52" s="21" t="str">
        <x:v>B2-B6</x:v>
      </x:c>
      <x:c r="N52" s="23" t="str">
        <x:v>identify first failed stage and responsible root</x:v>
      </x:c>
    </x:row>
    <x:row r="53">
      <x:c r="B53" s="21" t="str">
        <x:v>F47</x:v>
      </x:c>
      <x:c r="C53" s="21" t="str">
        <x:f>INDEX(Scenarios!$B$7:$B$12,Assumptions!C7)</x:f>
        <x:v>M05</x:v>
      </x:c>
      <x:c r="D53" s="37" t="n">
        <x:f>'Family Register'!L53</x:f>
        <x:v>12</x:v>
      </x:c>
      <x:c r="E53" s="37" t="n">
        <x:f>'Stage Ledger'!J569</x:f>
        <x:v>11.309999999999999</x:v>
      </x:c>
      <x:c r="F53" s="37" t="n">
        <x:f>'Stage Ledger'!J570</x:f>
        <x:v>11.309999999999999</x:v>
      </x:c>
      <x:c r="G53" s="37" t="n">
        <x:f>'Stage Ledger'!R569</x:f>
        <x:v>0</x:v>
      </x:c>
      <x:c r="H53" s="37" t="n">
        <x:f>'Stage Ledger'!R570</x:f>
        <x:v>0</x:v>
      </x:c>
      <x:c r="I53" s="37" t="n">
        <x:f>IF(D53&gt;0,MIN(E53,F53)/D53,0)</x:f>
        <x:v>0.9424999999999999</x:v>
      </x:c>
      <x:c r="J53" s="37" t="n">
        <x:f>IF(D53&gt;0,MIN(G53,H53)/D53,0)</x:f>
        <x:v>0</x:v>
      </x:c>
      <x:c r="K53" s="21" t="str">
        <x:f>IF(I53&gt;=1,"ADEQUATE","GAP")</x:f>
        <x:v>GAP</x:v>
      </x:c>
      <x:c r="L53" s="21" t="str">
        <x:f>IF(J53&gt;=1,"ADMITTED","NOT ADMITTED")</x:f>
        <x:v>NOT ADMITTED</x:v>
      </x:c>
      <x:c r="M53" s="21" t="str">
        <x:v>B2-B6</x:v>
      </x:c>
      <x:c r="N53" s="23" t="str">
        <x:v>identify first failed stage and responsible root</x:v>
      </x:c>
    </x:row>
    <x:row r="54">
      <x:c r="B54" s="24" t="str">
        <x:v>F48</x:v>
      </x:c>
      <x:c r="C54" s="24" t="str">
        <x:f>INDEX(Scenarios!$B$7:$B$12,Assumptions!C7)</x:f>
        <x:v>M05</x:v>
      </x:c>
      <x:c r="D54" s="38" t="n">
        <x:f>'Family Register'!L54</x:f>
        <x:v>12</x:v>
      </x:c>
      <x:c r="E54" s="38" t="n">
        <x:f>'Stage Ledger'!J581</x:f>
        <x:v>12</x:v>
      </x:c>
      <x:c r="F54" s="38" t="n">
        <x:f>'Stage Ledger'!J582</x:f>
        <x:v>12</x:v>
      </x:c>
      <x:c r="G54" s="38" t="n">
        <x:f>'Stage Ledger'!R581</x:f>
        <x:v>0</x:v>
      </x:c>
      <x:c r="H54" s="38" t="n">
        <x:f>'Stage Ledger'!R582</x:f>
        <x:v>0</x:v>
      </x:c>
      <x:c r="I54" s="38" t="n">
        <x:f>IF(D54&gt;0,MIN(E54,F54)/D54,0)</x:f>
        <x:v>1</x:v>
      </x:c>
      <x:c r="J54" s="38" t="n">
        <x:f>IF(D54&gt;0,MIN(G54,H54)/D54,0)</x:f>
        <x:v>0</x:v>
      </x:c>
      <x:c r="K54" s="24" t="str">
        <x:f>IF(I54&gt;=1,"ADEQUATE","GAP")</x:f>
        <x:v>ADEQUATE</x:v>
      </x:c>
      <x:c r="L54" s="24" t="str">
        <x:f>IF(J54&gt;=1,"ADMITTED","NOT ADMITTED")</x:f>
        <x:v>NOT ADMITTED</x:v>
      </x:c>
      <x:c r="M54" s="24" t="str">
        <x:v>B2-B6</x:v>
      </x:c>
      <x:c r="N54" s="26" t="str">
        <x:v>identify first failed stage and responsible root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</x:sheetData>
  <x:mergeCells>
    <x:mergeCell ref="B3:N3"/>
  </x:mergeCells>
  <x:conditionalFormatting sqref="K7:L54">
    <x:cfRule type="containsText" dxfId="81" priority="1" operator="containsText" text="OPEN"/>
    <x:cfRule type="containsText" dxfId="82" priority="2" operator="containsText" text="HOLD"/>
    <x:cfRule type="containsText" dxfId="83" priority="3" operator="containsText" text="BLOCKED"/>
    <x:cfRule type="containsText" dxfId="84" priority="4" operator="containsText" text="GAP"/>
    <x:cfRule type="containsText" dxfId="85" priority="5" operator="containsText" text="NOT ADMITTED"/>
    <x:cfRule type="containsText" dxfId="86" priority="6" operator="containsText" text="FAIL"/>
    <x:cfRule type="containsText" dxfId="87" priority="7" operator="containsText" text="PASS"/>
    <x:cfRule type="containsText" dxfId="88" priority="8" operator="containsText" text="ADEQUATE"/>
    <x:cfRule type="containsText" dxfId="89" priority="9" operator="containsText" text="ADMITT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1" hidden="0" customWidth="1"/>
    <x:col min="4" max="4" width="58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38" hidden="0" customWidth="1"/>
  </x:cols>
  <x:sheetData>
    <x:row r="2">
      <x:c r="B2" s="3" t="str">
        <x:v>Mobilization decision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Every gate remains open or held because the workbook defines the exercise and its empty evidence state. Rendering remains separately blocked.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Gate</x:v>
      </x:c>
      <x:c r="C6" s="20" t="str">
        <x:v>Decision object</x:v>
      </x:c>
      <x:c r="D6" s="20" t="str">
        <x:v>Required condition</x:v>
      </x:c>
      <x:c r="E6" s="20" t="str">
        <x:v>Evidence</x:v>
      </x:c>
      <x:c r="F6" s="20" t="str">
        <x:v>Decision</x:v>
      </x:c>
      <x:c r="G6" s="20" t="str">
        <x:v>Credit</x:v>
      </x:c>
      <x:c r="H6" s="20" t="str">
        <x:v>Rendering</x:v>
      </x:c>
      <x:c r="I6" s="20" t="str">
        <x:v>Owner</x:v>
      </x:c>
    </x:row>
    <x:row r="7">
      <x:c r="B7" s="21" t="str">
        <x:v>D01</x:v>
      </x:c>
      <x:c r="C7" s="21" t="str">
        <x:v>Sealed scenario custody</x:v>
      </x:c>
      <x:c r="D7" s="21" t="str">
        <x:v>order injects and keys have independent custody</x:v>
      </x:c>
      <x:c r="E7" s="21" t="str">
        <x:v>OPEN</x:v>
      </x:c>
      <x:c r="F7" s="21" t="str">
        <x:v>HOLD</x:v>
      </x:c>
      <x:c r="G7" s="21" t="n">
        <x:v>0</x:v>
      </x:c>
      <x:c r="H7" s="21" t="str">
        <x:v>N/A</x:v>
      </x:c>
      <x:c r="I7" s="23" t="str">
        <x:v>named separated authority</x:v>
      </x:c>
    </x:row>
    <x:row r="8">
      <x:c r="B8" s="21" t="str">
        <x:v>D02</x:v>
      </x:c>
      <x:c r="C8" s="21" t="str">
        <x:v>No-notice integrity</x:v>
      </x:c>
      <x:c r="D8" s="21" t="str">
        <x:v>participants cannot infer activation window</x:v>
      </x:c>
      <x:c r="E8" s="21" t="str">
        <x:v>OPEN</x:v>
      </x:c>
      <x:c r="F8" s="21" t="str">
        <x:v>HOLD</x:v>
      </x:c>
      <x:c r="G8" s="21" t="n">
        <x:v>0</x:v>
      </x:c>
      <x:c r="H8" s="21" t="str">
        <x:v>N/A</x:v>
      </x:c>
      <x:c r="I8" s="23" t="str">
        <x:v>named separated authority</x:v>
      </x:c>
    </x:row>
    <x:row r="9">
      <x:c r="B9" s="21" t="str">
        <x:v>D03</x:v>
      </x:c>
      <x:c r="C9" s="21" t="str">
        <x:v>Declared cold state</x:v>
      </x:c>
      <x:c r="D9" s="21" t="str">
        <x:v>people stock tools software and facilities freeze before alert</x:v>
      </x:c>
      <x:c r="E9" s="21" t="str">
        <x:v>OPEN</x:v>
      </x:c>
      <x:c r="F9" s="21" t="str">
        <x:v>HOLD</x:v>
      </x:c>
      <x:c r="G9" s="21" t="n">
        <x:v>0</x:v>
      </x:c>
      <x:c r="H9" s="21" t="str">
        <x:v>N/A</x:v>
      </x:c>
      <x:c r="I9" s="23" t="str">
        <x:v>named separated authority</x:v>
      </x:c>
    </x:row>
    <x:row r="10">
      <x:c r="B10" s="21" t="str">
        <x:v>D04</x:v>
      </x:c>
      <x:c r="C10" s="21" t="str">
        <x:v>Rolling industrial coverage</x:v>
      </x:c>
      <x:c r="D10" s="21" t="str">
        <x:v>every node class is sampled within its interval</x:v>
      </x:c>
      <x:c r="E10" s="21" t="str">
        <x:v>OPEN</x:v>
      </x:c>
      <x:c r="F10" s="21" t="str">
        <x:v>HOLD</x:v>
      </x:c>
      <x:c r="G10" s="21" t="n">
        <x:v>0</x:v>
      </x:c>
      <x:c r="H10" s="21" t="str">
        <x:v>N/A</x:v>
      </x:c>
      <x:c r="I10" s="23" t="str">
        <x:v>named separated authority</x:v>
      </x:c>
    </x:row>
    <x:row r="11">
      <x:c r="B11" s="21" t="str">
        <x:v>D05</x:v>
      </x:c>
      <x:c r="C11" s="21" t="str">
        <x:v>Persistent node identity</x:v>
      </x:c>
      <x:c r="D11" s="21" t="str">
        <x:v>firms facilities processes and owners remain traceable</x:v>
      </x:c>
      <x:c r="E11" s="21" t="str">
        <x:v>OPEN</x:v>
      </x:c>
      <x:c r="F11" s="21" t="str">
        <x:v>HOLD</x:v>
      </x:c>
      <x:c r="G11" s="21" t="n">
        <x:v>0</x:v>
      </x:c>
      <x:c r="H11" s="21" t="str">
        <x:v>N/A</x:v>
      </x:c>
      <x:c r="I11" s="23" t="str">
        <x:v>named separated authority</x:v>
      </x:c>
    </x:row>
    <x:row r="12">
      <x:c r="B12" s="21" t="str">
        <x:v>D06</x:v>
      </x:c>
      <x:c r="C12" s="21" t="str">
        <x:v>Qualified workforce</x:v>
      </x:c>
      <x:c r="D12" s="21" t="str">
        <x:v>named roles muster without double assignment</x:v>
      </x:c>
      <x:c r="E12" s="21" t="str">
        <x:v>OPEN</x:v>
      </x:c>
      <x:c r="F12" s="21" t="str">
        <x:v>HOLD</x:v>
      </x:c>
      <x:c r="G12" s="21" t="n">
        <x:v>0</x:v>
      </x:c>
      <x:c r="H12" s="21" t="str">
        <x:v>N/A</x:v>
      </x:c>
      <x:c r="I12" s="23" t="str">
        <x:v>named separated authority</x:v>
      </x:c>
    </x:row>
    <x:row r="13">
      <x:c r="B13" s="21" t="str">
        <x:v>D07</x:v>
      </x:c>
      <x:c r="C13" s="21" t="str">
        <x:v>Material ancestry</x:v>
      </x:c>
      <x:c r="D13" s="21" t="str">
        <x:v>accepted lots and reserves retain source identity</x:v>
      </x:c>
      <x:c r="E13" s="21" t="str">
        <x:v>OPEN</x:v>
      </x:c>
      <x:c r="F13" s="21" t="str">
        <x:v>HOLD</x:v>
      </x:c>
      <x:c r="G13" s="21" t="n">
        <x:v>0</x:v>
      </x:c>
      <x:c r="H13" s="21" t="str">
        <x:v>N/A</x:v>
      </x:c>
      <x:c r="I13" s="23" t="str">
        <x:v>named separated authority</x:v>
      </x:c>
    </x:row>
    <x:row r="14">
      <x:c r="B14" s="21" t="str">
        <x:v>D08</x:v>
      </x:c>
      <x:c r="C14" s="21" t="str">
        <x:v>Utility independence</x:v>
      </x:c>
      <x:c r="D14" s="21" t="str">
        <x:v>facilities start under grid fuel water and cooling loss</x:v>
      </x:c>
      <x:c r="E14" s="21" t="str">
        <x:v>OPEN</x:v>
      </x:c>
      <x:c r="F14" s="21" t="str">
        <x:v>HOLD</x:v>
      </x:c>
      <x:c r="G14" s="21" t="n">
        <x:v>0</x:v>
      </x:c>
      <x:c r="H14" s="21" t="str">
        <x:v>N/A</x:v>
      </x:c>
      <x:c r="I14" s="23" t="str">
        <x:v>named separated authority</x:v>
      </x:c>
    </x:row>
    <x:row r="15">
      <x:c r="B15" s="21" t="str">
        <x:v>D09</x:v>
      </x:c>
      <x:c r="C15" s="21" t="str">
        <x:v>Root independence</x:v>
      </x:c>
      <x:c r="D15" s="21" t="str">
        <x:v>nominal rivals survive a hidden common-process cut</x:v>
      </x:c>
      <x:c r="E15" s="21" t="str">
        <x:v>OPEN</x:v>
      </x:c>
      <x:c r="F15" s="21" t="str">
        <x:v>HOLD</x:v>
      </x:c>
      <x:c r="G15" s="21" t="n">
        <x:v>0</x:v>
      </x:c>
      <x:c r="H15" s="21" t="str">
        <x:v>N/A</x:v>
      </x:c>
      <x:c r="I15" s="23" t="str">
        <x:v>named separated authority</x:v>
      </x:c>
    </x:row>
    <x:row r="16">
      <x:c r="B16" s="21" t="str">
        <x:v>D10</x:v>
      </x:c>
      <x:c r="C16" s="21" t="str">
        <x:v>Process restart</x:v>
      </x:c>
      <x:c r="D16" s="21" t="str">
        <x:v>tooling software and process reproduce qualified state</x:v>
      </x:c>
      <x:c r="E16" s="21" t="str">
        <x:v>OPEN</x:v>
      </x:c>
      <x:c r="F16" s="21" t="str">
        <x:v>HOLD</x:v>
      </x:c>
      <x:c r="G16" s="21" t="n">
        <x:v>0</x:v>
      </x:c>
      <x:c r="H16" s="21" t="str">
        <x:v>N/A</x:v>
      </x:c>
      <x:c r="I16" s="23" t="str">
        <x:v>named separated authority</x:v>
      </x:c>
    </x:row>
    <x:row r="17">
      <x:c r="B17" s="21" t="str">
        <x:v>D11</x:v>
      </x:c>
      <x:c r="C17" s="21" t="str">
        <x:v>Independent metrology</x:v>
      </x:c>
      <x:c r="D17" s="21" t="str">
        <x:v>acceptance instruments survive drift and ancestry loss</x:v>
      </x:c>
      <x:c r="E17" s="21" t="str">
        <x:v>OPEN</x:v>
      </x:c>
      <x:c r="F17" s="21" t="str">
        <x:v>HOLD</x:v>
      </x:c>
      <x:c r="G17" s="21" t="n">
        <x:v>0</x:v>
      </x:c>
      <x:c r="H17" s="21" t="str">
        <x:v>N/A</x:v>
      </x:c>
      <x:c r="I17" s="23" t="str">
        <x:v>named separated authority</x:v>
      </x:c>
    </x:row>
    <x:row r="18">
      <x:c r="B18" s="21" t="str">
        <x:v>D12</x:v>
      </x:c>
      <x:c r="C18" s="21" t="str">
        <x:v>Serial</x:v>
      </x:c>
      <x:c r="D18" s="21" t="str">
        <x:v>as-built lot software process and evidence share identity</x:v>
      </x:c>
      <x:c r="E18" s="21" t="str">
        <x:v>OPEN</x:v>
      </x:c>
      <x:c r="F18" s="21" t="str">
        <x:v>HOLD</x:v>
      </x:c>
      <x:c r="G18" s="21" t="n">
        <x:v>0</x:v>
      </x:c>
      <x:c r="H18" s="21" t="str">
        <x:v>N/A</x:v>
      </x:c>
      <x:c r="I18" s="23" t="str">
        <x:v>named separated authority</x:v>
      </x:c>
    </x:row>
    <x:row r="19">
      <x:c r="B19" s="21" t="str">
        <x:v>D13</x:v>
      </x:c>
      <x:c r="C19" s="21" t="str">
        <x:v>Acceptance yield</x:v>
      </x:c>
      <x:c r="D19" s="21" t="str">
        <x:v>gross production cannot substitute for conforming output</x:v>
      </x:c>
      <x:c r="E19" s="21" t="str">
        <x:v>OPEN</x:v>
      </x:c>
      <x:c r="F19" s="21" t="str">
        <x:v>HOLD</x:v>
      </x:c>
      <x:c r="G19" s="21" t="n">
        <x:v>0</x:v>
      </x:c>
      <x:c r="H19" s="21" t="str">
        <x:v>N/A</x:v>
      </x:c>
      <x:c r="I19" s="23" t="str">
        <x:v>named separated authority</x:v>
      </x:c>
    </x:row>
    <x:row r="20">
      <x:c r="B20" s="21" t="str">
        <x:v>D14</x:v>
      </x:c>
      <x:c r="C20" s="21" t="str">
        <x:v>Transport custody</x:v>
      </x:c>
      <x:c r="D20" s="21" t="str">
        <x:v>accepted output crosses damage without losing identity</x:v>
      </x:c>
      <x:c r="E20" s="21" t="str">
        <x:v>OPEN</x:v>
      </x:c>
      <x:c r="F20" s="21" t="str">
        <x:v>HOLD</x:v>
      </x:c>
      <x:c r="G20" s="21" t="n">
        <x:v>0</x:v>
      </x:c>
      <x:c r="H20" s="21" t="str">
        <x:v>N/A</x:v>
      </x:c>
      <x:c r="I20" s="23" t="str">
        <x:v>named separated authority</x:v>
      </x:c>
    </x:row>
    <x:row r="21">
      <x:c r="B21" s="21" t="str">
        <x:v>D15</x:v>
      </x:c>
      <x:c r="C21" s="21" t="str">
        <x:v>Receiving admission</x:v>
      </x:c>
      <x:c r="D21" s="21" t="str">
        <x:v>receiver refusal has an alternate path</x:v>
      </x:c>
      <x:c r="E21" s="21" t="str">
        <x:v>OPEN</x:v>
      </x:c>
      <x:c r="F21" s="21" t="str">
        <x:v>HOLD</x:v>
      </x:c>
      <x:c r="G21" s="21" t="n">
        <x:v>0</x:v>
      </x:c>
      <x:c r="H21" s="21" t="str">
        <x:v>N/A</x:v>
      </x:c>
      <x:c r="I21" s="23" t="str">
        <x:v>named separated authority</x:v>
      </x:c>
    </x:row>
    <x:row r="22">
      <x:c r="B22" s="21" t="str">
        <x:v>D16</x:v>
      </x:c>
      <x:c r="C22" s="21" t="str">
        <x:v>Commissioned public service</x:v>
      </x:c>
      <x:c r="D22" s="21" t="str">
        <x:v>equipment creates the family-specific public effect</x:v>
      </x:c>
      <x:c r="E22" s="21" t="str">
        <x:v>OPEN</x:v>
      </x:c>
      <x:c r="F22" s="21" t="str">
        <x:v>HOLD</x:v>
      </x:c>
      <x:c r="G22" s="21" t="n">
        <x:v>0</x:v>
      </x:c>
      <x:c r="H22" s="21" t="str">
        <x:v>N/A</x:v>
      </x:c>
      <x:c r="I22" s="23" t="str">
        <x:v>named separated authority</x:v>
      </x:c>
    </x:row>
    <x:row r="23">
      <x:c r="B23" s="21" t="str">
        <x:v>D17</x:v>
      </x:c>
      <x:c r="C23" s="21" t="str">
        <x:v>Sustainment</x:v>
      </x:c>
      <x:c r="D23" s="21" t="str">
        <x:v>consumables repair residuals and workforce survive interval</x:v>
      </x:c>
      <x:c r="E23" s="21" t="str">
        <x:v>OPEN</x:v>
      </x:c>
      <x:c r="F23" s="21" t="str">
        <x:v>HOLD</x:v>
      </x:c>
      <x:c r="G23" s="21" t="n">
        <x:v>0</x:v>
      </x:c>
      <x:c r="H23" s="21" t="str">
        <x:v>N/A</x:v>
      </x:c>
      <x:c r="I23" s="23" t="str">
        <x:v>named separated authority</x:v>
      </x:c>
    </x:row>
    <x:row r="24">
      <x:c r="B24" s="21" t="str">
        <x:v>D18</x:v>
      </x:c>
      <x:c r="C24" s="21" t="str">
        <x:v>Regeneration</x:v>
      </x:c>
      <x:c r="D24" s="21" t="str">
        <x:v>chain returns people stock tools and configuration to readiness</x:v>
      </x:c>
      <x:c r="E24" s="21" t="str">
        <x:v>OPEN</x:v>
      </x:c>
      <x:c r="F24" s="21" t="str">
        <x:v>HOLD</x:v>
      </x:c>
      <x:c r="G24" s="21" t="n">
        <x:v>0</x:v>
      </x:c>
      <x:c r="H24" s="21" t="str">
        <x:v>N/A</x:v>
      </x:c>
      <x:c r="I24" s="23" t="str">
        <x:v>named separated authority</x:v>
      </x:c>
    </x:row>
    <x:row r="25">
      <x:c r="B25" s="21" t="str">
        <x:v>D19</x:v>
      </x:c>
      <x:c r="C25" s="21" t="str">
        <x:v>Follow-on reserve</x:v>
      </x:c>
      <x:c r="D25" s="21" t="str">
        <x:v>protected capacity remains untouched until release</x:v>
      </x:c>
      <x:c r="E25" s="21" t="str">
        <x:v>OPEN</x:v>
      </x:c>
      <x:c r="F25" s="21" t="str">
        <x:v>HOLD</x:v>
      </x:c>
      <x:c r="G25" s="21" t="n">
        <x:v>0</x:v>
      </x:c>
      <x:c r="H25" s="21" t="str">
        <x:v>N/A</x:v>
      </x:c>
      <x:c r="I25" s="23" t="str">
        <x:v>named separated authority</x:v>
      </x:c>
    </x:row>
    <x:row r="26">
      <x:c r="B26" s="21" t="str">
        <x:v>D20</x:v>
      </x:c>
      <x:c r="C26" s="21" t="str">
        <x:v>Independent safety stop</x:v>
      </x:c>
      <x:c r="D26" s="21" t="str">
        <x:v>hazard authority can stop exposure</x:v>
      </x:c>
      <x:c r="E26" s="21" t="str">
        <x:v>OPEN</x:v>
      </x:c>
      <x:c r="F26" s="21" t="str">
        <x:v>HOLD</x:v>
      </x:c>
      <x:c r="G26" s="21" t="n">
        <x:v>0</x:v>
      </x:c>
      <x:c r="H26" s="21" t="str">
        <x:v>N/A</x:v>
      </x:c>
      <x:c r="I26" s="23" t="str">
        <x:v>named separated authority</x:v>
      </x:c>
    </x:row>
    <x:row r="27">
      <x:c r="B27" s="21" t="str">
        <x:v>D21</x:v>
      </x:c>
      <x:c r="C27" s="21" t="str">
        <x:v>Evidence custody</x:v>
      </x:c>
      <x:c r="D27" s="21" t="str">
        <x:v>raw records and disagreements remain reconstructable</x:v>
      </x:c>
      <x:c r="E27" s="21" t="str">
        <x:v>OPEN</x:v>
      </x:c>
      <x:c r="F27" s="21" t="str">
        <x:v>HOLD</x:v>
      </x:c>
      <x:c r="G27" s="21" t="n">
        <x:v>0</x:v>
      </x:c>
      <x:c r="H27" s="21" t="str">
        <x:v>N/A</x:v>
      </x:c>
      <x:c r="I27" s="23" t="str">
        <x:v>named separated authority</x:v>
      </x:c>
    </x:row>
    <x:row r="28">
      <x:c r="B28" s="21" t="str">
        <x:v>D22</x:v>
      </x:c>
      <x:c r="C28" s="21" t="str">
        <x:v>Public causal after action</x:v>
      </x:c>
      <x:c r="D28" s="21" t="str">
        <x:v>failure names mechanism consequence owner and reopening</x:v>
      </x:c>
      <x:c r="E28" s="21" t="str">
        <x:v>OPEN</x:v>
      </x:c>
      <x:c r="F28" s="21" t="str">
        <x:v>HOLD</x:v>
      </x:c>
      <x:c r="G28" s="21" t="n">
        <x:v>0</x:v>
      </x:c>
      <x:c r="H28" s="21" t="str">
        <x:v>N/A</x:v>
      </x:c>
      <x:c r="I28" s="23" t="str">
        <x:v>named separated authority</x:v>
      </x:c>
    </x:row>
    <x:row r="29">
      <x:c r="B29" s="21" t="str">
        <x:v>D23</x:v>
      </x:c>
      <x:c r="C29" s="21" t="str">
        <x:v>Weakest-family admission</x:v>
      </x:c>
      <x:c r="D29" s="21" t="str">
        <x:v>national readiness cannot average away failure</x:v>
      </x:c>
      <x:c r="E29" s="21" t="str">
        <x:v>OPEN</x:v>
      </x:c>
      <x:c r="F29" s="21" t="str">
        <x:v>HOLD</x:v>
      </x:c>
      <x:c r="G29" s="21" t="n">
        <x:v>0</x:v>
      </x:c>
      <x:c r="H29" s="21" t="str">
        <x:v>N/A</x:v>
      </x:c>
      <x:c r="I29" s="23" t="str">
        <x:v>named separated authority</x:v>
      </x:c>
    </x:row>
    <x:row r="30">
      <x:c r="B30" s="24" t="str">
        <x:v>D24</x:v>
      </x:c>
      <x:c r="C30" s="24" t="str">
        <x:v>Rendering authority</x:v>
      </x:c>
      <x:c r="D30" s="24" t="str">
        <x:v>representative geometry and coupled evidence exist</x:v>
      </x:c>
      <x:c r="E30" s="24" t="str">
        <x:v>OPEN</x:v>
      </x:c>
      <x:c r="F30" s="24" t="str">
        <x:v>HOLD</x:v>
      </x:c>
      <x:c r="G30" s="24" t="n">
        <x:v>0</x:v>
      </x:c>
      <x:c r="H30" s="24" t="str">
        <x:v>BLOCKED</x:v>
      </x:c>
      <x:c r="I30" s="26" t="str">
        <x:v>Independent Evidence and Data Authority</x:v>
      </x:c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  <x:row r="36">
      <x:c r="B36" s="2"/>
      <x:c r="C36" s="2"/>
      <x:c r="D36" s="2"/>
      <x:c r="E36" s="2"/>
      <x:c r="F36" s="2"/>
      <x:c r="G36" s="2"/>
      <x:c r="H36" s="2"/>
      <x:c r="I36" s="2"/>
    </x:row>
  </x:sheetData>
  <x:mergeCells>
    <x:mergeCell ref="B3:I3"/>
  </x:mergeCells>
  <x:conditionalFormatting sqref="E7:H30">
    <x:cfRule type="containsText" dxfId="90" priority="1" operator="containsText" text="OPEN"/>
    <x:cfRule type="containsText" dxfId="91" priority="2" operator="containsText" text="HOLD"/>
    <x:cfRule type="containsText" dxfId="92" priority="3" operator="containsText" text="BLOCKED"/>
    <x:cfRule type="containsText" dxfId="93" priority="4" operator="containsText" text="GAP"/>
    <x:cfRule type="containsText" dxfId="94" priority="5" operator="containsText" text="NOT ADMITTED"/>
    <x:cfRule type="containsText" dxfId="95" priority="6" operator="containsText" text="FAIL"/>
    <x:cfRule type="containsText" dxfId="96" priority="7" operator="containsText" text="PASS"/>
    <x:cfRule type="containsText" dxfId="97" priority="8" operator="containsText" text="ADEQUATE"/>
    <x:cfRule type="containsText" dxfId="98" priority="9" operator="containsText" text="ADMITT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8" hidden="0" customWidth="1"/>
    <x:col min="4" max="4" width="66" hidden="0" customWidth="1"/>
    <x:col min="5" max="5" width="14" hidden="0" customWidth="1"/>
    <x:col min="6" max="6" width="14" hidden="0" customWidth="1"/>
    <x:col min="7" max="7" width="12" hidden="0" customWidth="1"/>
  </x:cols>
  <x:sheetData>
    <x:row r="2">
      <x:c r="B2" s="3" t="str">
        <x:v>Deterministic mobilization audit</x:v>
      </x:c>
      <x:c r="C2" s="2"/>
      <x:c r="D2" s="2"/>
      <x:c r="E2" s="2"/>
      <x:c r="F2" s="2"/>
      <x:c r="G2" s="2"/>
    </x:row>
    <x:row r="3">
      <x:c r="B3" s="4" t="str">
        <x:v>Controls test conservation, scenario response, sampling coverage, financial nesting, authority separation and empty physical evidence. PASS means model coherence only.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19" t="str">
        <x:v>Control</x:v>
      </x:c>
      <x:c r="C6" s="20" t="str">
        <x:v>Class</x:v>
      </x:c>
      <x:c r="D6" s="20" t="str">
        <x:v>Test</x:v>
      </x:c>
      <x:c r="E6" s="20" t="str">
        <x:v>Observed</x:v>
      </x:c>
      <x:c r="F6" s="20" t="str">
        <x:v>Required</x:v>
      </x:c>
      <x:c r="G6" s="20" t="str">
        <x:v>Result</x:v>
      </x:c>
    </x:row>
    <x:row r="7">
      <x:c r="B7" s="21" t="str">
        <x:v>A00001</x:v>
      </x:c>
      <x:c r="C7" s="21" t="str">
        <x:v>global</x:v>
      </x:c>
      <x:c r="D7" s="21" t="str">
        <x:v>family count</x:v>
      </x:c>
      <x:c r="E7" s="21" t="n">
        <x:f>IF(COUNTA('Family Register'!B7:B54)=Assumptions!C8,1,0)</x:f>
        <x:v>1</x:v>
      </x:c>
      <x:c r="F7" s="21" t="n">
        <x:v>1</x:v>
      </x:c>
      <x:c r="G7" s="23" t="str">
        <x:f>IF(E7=F7,"PASS","FAIL")</x:f>
        <x:v>PASS</x:v>
      </x:c>
    </x:row>
    <x:row r="8">
      <x:c r="B8" s="21" t="str">
        <x:v>A00002</x:v>
      </x:c>
      <x:c r="C8" s="21" t="str">
        <x:v>global</x:v>
      </x:c>
      <x:c r="D8" s="21" t="str">
        <x:v>scenario count</x:v>
      </x:c>
      <x:c r="E8" s="21" t="n">
        <x:f>IF(COUNTA(Scenarios!B7:B12)=6,1,0)</x:f>
        <x:v>1</x:v>
      </x:c>
      <x:c r="F8" s="21" t="n">
        <x:v>1</x:v>
      </x:c>
      <x:c r="G8" s="23" t="str">
        <x:f>IF(E8=F8,"PASS","FAIL")</x:f>
        <x:v>PASS</x:v>
      </x:c>
    </x:row>
    <x:row r="9">
      <x:c r="B9" s="21" t="str">
        <x:v>A00003</x:v>
      </x:c>
      <x:c r="C9" s="21" t="str">
        <x:v>global</x:v>
      </x:c>
      <x:c r="D9" s="21" t="str">
        <x:v>scenario result count</x:v>
      </x:c>
      <x:c r="E9" s="21" t="n">
        <x:f>IF(COUNTA('Scenario Results'!B7:B294)=Assumptions!C8*6,1,0)</x:f>
        <x:v>1</x:v>
      </x:c>
      <x:c r="F9" s="21" t="n">
        <x:v>1</x:v>
      </x:c>
      <x:c r="G9" s="23" t="str">
        <x:f>IF(E9=F9,"PASS","FAIL")</x:f>
        <x:v>PASS</x:v>
      </x:c>
    </x:row>
    <x:row r="10">
      <x:c r="B10" s="21" t="str">
        <x:v>A00004</x:v>
      </x:c>
      <x:c r="C10" s="21" t="str">
        <x:v>global</x:v>
      </x:c>
      <x:c r="D10" s="21" t="str">
        <x:v>stage count</x:v>
      </x:c>
      <x:c r="E10" s="21" t="n">
        <x:f>IF(COUNTA('Stage Ledger'!B7:B582)=Assumptions!C8*Assumptions!C9,1,0)</x:f>
        <x:v>1</x:v>
      </x:c>
      <x:c r="F10" s="21" t="n">
        <x:v>1</x:v>
      </x:c>
      <x:c r="G10" s="23" t="str">
        <x:f>IF(E10=F10,"PASS","FAIL")</x:f>
        <x:v>PASS</x:v>
      </x:c>
    </x:row>
    <x:row r="11">
      <x:c r="B11" s="21" t="str">
        <x:v>A00005</x:v>
      </x:c>
      <x:c r="C11" s="21" t="str">
        <x:v>global</x:v>
      </x:c>
      <x:c r="D11" s="21" t="str">
        <x:v>industrial node count</x:v>
      </x:c>
      <x:c r="E11" s="21" t="n">
        <x:f>IF(SUM('Industrial Sampling'!D7:D12)=Assumptions!C10,1,0)</x:f>
        <x:v>1</x:v>
      </x:c>
      <x:c r="F11" s="21" t="n">
        <x:v>1</x:v>
      </x:c>
      <x:c r="G11" s="23" t="str">
        <x:f>IF(E11=F11,"PASS","FAIL")</x:f>
        <x:v>PASS</x:v>
      </x:c>
    </x:row>
    <x:row r="12">
      <x:c r="B12" s="21" t="str">
        <x:v>A00006</x:v>
      </x:c>
      <x:c r="C12" s="21" t="str">
        <x:v>global</x:v>
      </x:c>
      <x:c r="D12" s="21" t="str">
        <x:v>annual node sample</x:v>
      </x:c>
      <x:c r="E12" s="21" t="n">
        <x:f>IF(SUM('Industrial Sampling'!E7:E12)=Assumptions!C11,1,0)</x:f>
        <x:v>1</x:v>
      </x:c>
      <x:c r="F12" s="21" t="n">
        <x:v>1</x:v>
      </x:c>
      <x:c r="G12" s="23" t="str">
        <x:f>IF(E12=F12,"PASS","FAIL")</x:f>
        <x:v>PASS</x:v>
      </x:c>
    </x:row>
    <x:row r="13">
      <x:c r="B13" s="21" t="str">
        <x:v>A00007</x:v>
      </x:c>
      <x:c r="C13" s="21" t="str">
        <x:v>global</x:v>
      </x:c>
      <x:c r="D13" s="21" t="str">
        <x:v>five-year node coverage</x:v>
      </x:c>
      <x:c r="E13" s="21" t="n">
        <x:f>IF(SUM('Industrial Sampling'!H7:H12)=Assumptions!C10,1,0)</x:f>
        <x:v>1</x:v>
      </x:c>
      <x:c r="F13" s="21" t="n">
        <x:v>1</x:v>
      </x:c>
      <x:c r="G13" s="23" t="str">
        <x:f>IF(E13=F13,"PASS","FAIL")</x:f>
        <x:v>PASS</x:v>
      </x:c>
    </x:row>
    <x:row r="14">
      <x:c r="B14" s="21" t="str">
        <x:v>A00008</x:v>
      </x:c>
      <x:c r="C14" s="21" t="str">
        <x:v>global</x:v>
      </x:c>
      <x:c r="D14" s="21" t="str">
        <x:v>event annual cost</x:v>
      </x:c>
      <x:c r="E14" s="21" t="n">
        <x:f>IF(ABS(SUM('Exercise Events'!F7:F13)-Assumptions!C13)&lt;0.000001,1,0)</x:f>
        <x:v>1</x:v>
      </x:c>
      <x:c r="F14" s="21" t="n">
        <x:v>1</x:v>
      </x:c>
      <x:c r="G14" s="23" t="str">
        <x:f>IF(E14=F14,"PASS","FAIL")</x:f>
        <x:v>PASS</x:v>
      </x:c>
    </x:row>
    <x:row r="15">
      <x:c r="B15" s="21" t="str">
        <x:v>A00009</x:v>
      </x:c>
      <x:c r="C15" s="21" t="str">
        <x:v>global</x:v>
      </x:c>
      <x:c r="D15" s="21" t="str">
        <x:v>financial annual cost</x:v>
      </x:c>
      <x:c r="E15" s="21" t="n">
        <x:f>IF(ABS(SUM('Financial Control'!D7:D15)-Assumptions!C13)&lt;0.000001,1,0)</x:f>
        <x:v>1</x:v>
      </x:c>
      <x:c r="F15" s="21" t="n">
        <x:v>1</x:v>
      </x:c>
      <x:c r="G15" s="23" t="str">
        <x:f>IF(E15=F15,"PASS","FAIL")</x:f>
        <x:v>PASS</x:v>
      </x:c>
    </x:row>
    <x:row r="16">
      <x:c r="B16" s="21" t="str">
        <x:v>A00010</x:v>
      </x:c>
      <x:c r="C16" s="21" t="str">
        <x:v>global</x:v>
      </x:c>
      <x:c r="D16" s="21" t="str">
        <x:v>event and financial views reconcile</x:v>
      </x:c>
      <x:c r="E16" s="21" t="n">
        <x:f>IF(ABS('Exercise Events'!F15-'Financial Control'!D17)&lt;0.000001,1,0)</x:f>
        <x:v>1</x:v>
      </x:c>
      <x:c r="F16" s="21" t="n">
        <x:v>1</x:v>
      </x:c>
      <x:c r="G16" s="23" t="str">
        <x:f>IF(E16=F16,"PASS","FAIL")</x:f>
        <x:v>PASS</x:v>
      </x:c>
    </x:row>
    <x:row r="17">
      <x:c r="B17" s="21" t="str">
        <x:v>A00011</x:v>
      </x:c>
      <x:c r="C17" s="21" t="str">
        <x:v>global</x:v>
      </x:c>
      <x:c r="D17" s="21" t="str">
        <x:v>twenty-five-year exercise cost</x:v>
      </x:c>
      <x:c r="E17" s="21" t="n">
        <x:f>IF(ABS('Financial Control'!F17-1.55)&lt;0.000001,1,0)</x:f>
        <x:v>1</x:v>
      </x:c>
      <x:c r="F17" s="21" t="n">
        <x:v>1</x:v>
      </x:c>
      <x:c r="G17" s="23" t="str">
        <x:f>IF(E17=F17,"PASS","FAIL")</x:f>
        <x:v>PASS</x:v>
      </x:c>
    </x:row>
    <x:row r="18">
      <x:c r="B18" s="21" t="str">
        <x:v>A00012</x:v>
      </x:c>
      <x:c r="C18" s="21" t="str">
        <x:v>global</x:v>
      </x:c>
      <x:c r="D18" s="21" t="str">
        <x:v>AIMC operating share</x:v>
      </x:c>
      <x:c r="E18" s="21" t="n">
        <x:f>IF(ABS('Financial Control'!G17-0.2)&lt;0.000001,1,0)</x:f>
        <x:v>1</x:v>
      </x:c>
      <x:c r="F18" s="21" t="n">
        <x:v>1</x:v>
      </x:c>
      <x:c r="G18" s="23" t="str">
        <x:f>IF(E18=F18,"PASS","FAIL")</x:f>
        <x:v>PASS</x:v>
      </x:c>
    </x:row>
    <x:row r="19">
      <x:c r="B19" s="21" t="str">
        <x:v>A00013</x:v>
      </x:c>
      <x:c r="C19" s="21" t="str">
        <x:v>global</x:v>
      </x:c>
      <x:c r="D19" s="21" t="str">
        <x:v>baseline observed admission zero</x:v>
      </x:c>
      <x:c r="E19" s="21" t="n">
        <x:f>IF(SUM('Stage Ledger'!R7:R582)=0,1,0)</x:f>
        <x:v>1</x:v>
      </x:c>
      <x:c r="F19" s="21" t="n">
        <x:v>1</x:v>
      </x:c>
      <x:c r="G19" s="23" t="str">
        <x:f>IF(E19=F19,"PASS","FAIL")</x:f>
        <x:v>PASS</x:v>
      </x:c>
    </x:row>
    <x:row r="20">
      <x:c r="B20" s="21" t="str">
        <x:v>A00014</x:v>
      </x:c>
      <x:c r="C20" s="21" t="str">
        <x:v>global</x:v>
      </x:c>
      <x:c r="D20" s="21" t="str">
        <x:v>active plan result reconciles</x:v>
      </x:c>
      <x:c r="E20" s="21" t="n">
        <x:f>IF(COUNTIF('After Action'!K7:K54,"ADEQUATE")=COUNTIFS('Scenario Results'!D7:D294,INDEX(Scenarios!B7:B12,Assumptions!C7),'Scenario Results'!K7:K294,"ADEQUATE"),1,0)</x:f>
        <x:v>1</x:v>
      </x:c>
      <x:c r="F20" s="21" t="n">
        <x:v>1</x:v>
      </x:c>
      <x:c r="G20" s="23" t="str">
        <x:f>IF(E20=F20,"PASS","FAIL")</x:f>
        <x:v>PASS</x:v>
      </x:c>
    </x:row>
    <x:row r="21">
      <x:c r="B21" s="21" t="str">
        <x:v>A00015</x:v>
      </x:c>
      <x:c r="C21" s="21" t="str">
        <x:v>global</x:v>
      </x:c>
      <x:c r="D21" s="21" t="str">
        <x:v>active scenario</x:v>
      </x:c>
      <x:c r="E21" s="21" t="n">
        <x:f>IF(Assumptions!C7=5,1,0)</x:f>
        <x:v>1</x:v>
      </x:c>
      <x:c r="F21" s="21" t="n">
        <x:v>1</x:v>
      </x:c>
      <x:c r="G21" s="23" t="str">
        <x:f>IF(E21=F21,"PASS","FAIL")</x:f>
        <x:v>PASS</x:v>
      </x:c>
    </x:row>
    <x:row r="22">
      <x:c r="B22" s="21" t="str">
        <x:v>A00016</x:v>
      </x:c>
      <x:c r="C22" s="21" t="str">
        <x:v>global</x:v>
      </x:c>
      <x:c r="D22" s="21" t="str">
        <x:v>H1 family count</x:v>
      </x:c>
      <x:c r="E22" s="21" t="n">
        <x:f>IF(COUNTIF('Family Register'!F7:F54,"H1")=26,1,0)</x:f>
        <x:v>1</x:v>
      </x:c>
      <x:c r="F22" s="21" t="n">
        <x:v>1</x:v>
      </x:c>
      <x:c r="G22" s="23" t="str">
        <x:f>IF(E22=F22,"PASS","FAIL")</x:f>
        <x:v>PASS</x:v>
      </x:c>
    </x:row>
    <x:row r="23">
      <x:c r="B23" s="21" t="str">
        <x:v>A00017</x:v>
      </x:c>
      <x:c r="C23" s="21" t="str">
        <x:v>global</x:v>
      </x:c>
      <x:c r="D23" s="21" t="str">
        <x:v>M04 plan closure</x:v>
      </x:c>
      <x:c r="E23" s="21" t="n">
        <x:f>IF(COUNTIFS('Scenario Results'!D7:D294,"M04",'Scenario Results'!K7:K294,"ADEQUATE")=48,1,0)</x:f>
        <x:v>1</x:v>
      </x:c>
      <x:c r="F23" s="21" t="n">
        <x:v>1</x:v>
      </x:c>
      <x:c r="G23" s="23" t="str">
        <x:f>IF(E23=F23,"PASS","FAIL")</x:f>
        <x:v>PASS</x:v>
      </x:c>
    </x:row>
    <x:row r="24">
      <x:c r="B24" s="21" t="str">
        <x:v>A00018</x:v>
      </x:c>
      <x:c r="C24" s="21" t="str">
        <x:v>global</x:v>
      </x:c>
      <x:c r="D24" s="21" t="str">
        <x:v>M05 plan closure</x:v>
      </x:c>
      <x:c r="E24" s="21" t="n">
        <x:f>IF(COUNTIFS('Scenario Results'!D7:D294,"M05",'Scenario Results'!K7:K294,"ADEQUATE")=26,1,0)</x:f>
        <x:v>1</x:v>
      </x:c>
      <x:c r="F24" s="21" t="n">
        <x:v>1</x:v>
      </x:c>
      <x:c r="G24" s="23" t="str">
        <x:f>IF(E24=F24,"PASS","FAIL")</x:f>
        <x:v>PASS</x:v>
      </x:c>
    </x:row>
    <x:row r="25">
      <x:c r="B25" s="21" t="str">
        <x:v>A00019</x:v>
      </x:c>
      <x:c r="C25" s="21" t="str">
        <x:v>global</x:v>
      </x:c>
      <x:c r="D25" s="21" t="str">
        <x:v>M06 plan closure</x:v>
      </x:c>
      <x:c r="E25" s="21" t="n">
        <x:f>IF(COUNTIFS('Scenario Results'!D7:D294,"M06",'Scenario Results'!K7:K294,"ADEQUATE")=0,1,0)</x:f>
        <x:v>1</x:v>
      </x:c>
      <x:c r="F25" s="21" t="n">
        <x:v>1</x:v>
      </x:c>
      <x:c r="G25" s="23" t="str">
        <x:f>IF(E25=F25,"PASS","FAIL")</x:f>
        <x:v>PASS</x:v>
      </x:c>
    </x:row>
    <x:row r="26">
      <x:c r="B26" s="21" t="str">
        <x:v>A00020</x:v>
      </x:c>
      <x:c r="C26" s="21" t="str">
        <x:v>global</x:v>
      </x:c>
      <x:c r="D26" s="21" t="str">
        <x:v>evidence package count</x:v>
      </x:c>
      <x:c r="E26" s="21" t="n">
        <x:f>IF(COUNTA('Evidence Package'!B7:B30)=24,1,0)</x:f>
        <x:v>1</x:v>
      </x:c>
      <x:c r="F26" s="21" t="n">
        <x:v>1</x:v>
      </x:c>
      <x:c r="G26" s="23" t="str">
        <x:f>IF(E26=F26,"PASS","FAIL")</x:f>
        <x:v>PASS</x:v>
      </x:c>
    </x:row>
    <x:row r="27">
      <x:c r="B27" s="21" t="str">
        <x:v>A00021</x:v>
      </x:c>
      <x:c r="C27" s="21" t="str">
        <x:v>global</x:v>
      </x:c>
      <x:c r="D27" s="21" t="str">
        <x:v>inject count</x:v>
      </x:c>
      <x:c r="E27" s="21" t="n">
        <x:f>IF(COUNTA('Inject Register'!B7:B26)=20,1,0)</x:f>
        <x:v>1</x:v>
      </x:c>
      <x:c r="F27" s="21" t="n">
        <x:v>1</x:v>
      </x:c>
      <x:c r="G27" s="23" t="str">
        <x:f>IF(E27=F27,"PASS","FAIL")</x:f>
        <x:v>PASS</x:v>
      </x:c>
    </x:row>
    <x:row r="28">
      <x:c r="B28" s="21" t="str">
        <x:v>A00022</x:v>
      </x:c>
      <x:c r="C28" s="21" t="str">
        <x:v>global</x:v>
      </x:c>
      <x:c r="D28" s="21" t="str">
        <x:v>exercise authority count</x:v>
      </x:c>
      <x:c r="E28" s="21" t="n">
        <x:f>IF(COUNTA('Authority Matrix'!B7:B14)=8,1,0)</x:f>
        <x:v>1</x:v>
      </x:c>
      <x:c r="F28" s="21" t="n">
        <x:v>1</x:v>
      </x:c>
      <x:c r="G28" s="23" t="str">
        <x:f>IF(E28=F28,"PASS","FAIL")</x:f>
        <x:v>PASS</x:v>
      </x:c>
    </x:row>
    <x:row r="29">
      <x:c r="B29" s="21" t="str">
        <x:v>A00023</x:v>
      </x:c>
      <x:c r="C29" s="21" t="str">
        <x:v>global</x:v>
      </x:c>
      <x:c r="D29" s="21" t="str">
        <x:v>independent safety authority</x:v>
      </x:c>
      <x:c r="E29" s="21" t="n">
        <x:f>IF(COUNTIF('Authority Matrix'!C7:C14,"Independent Safety and Environmental Authority")=1,1,0)</x:f>
        <x:v>1</x:v>
      </x:c>
      <x:c r="F29" s="21" t="n">
        <x:v>1</x:v>
      </x:c>
      <x:c r="G29" s="23" t="str">
        <x:f>IF(E29=F29,"PASS","FAIL")</x:f>
        <x:v>PASS</x:v>
      </x:c>
    </x:row>
    <x:row r="30">
      <x:c r="B30" s="21" t="str">
        <x:v>A00024</x:v>
      </x:c>
      <x:c r="C30" s="21" t="str">
        <x:v>global</x:v>
      </x:c>
      <x:c r="D30" s="21" t="str">
        <x:v>decision gate count</x:v>
      </x:c>
      <x:c r="E30" s="21" t="n">
        <x:f>IF(COUNTA('Decision Gates'!B7:B30)=24,1,0)</x:f>
        <x:v>1</x:v>
      </x:c>
      <x:c r="F30" s="21" t="n">
        <x:v>1</x:v>
      </x:c>
      <x:c r="G30" s="23" t="str">
        <x:f>IF(E30=F30,"PASS","FAIL")</x:f>
        <x:v>PASS</x:v>
      </x:c>
    </x:row>
    <x:row r="31">
      <x:c r="B31" s="21" t="str">
        <x:v>A00025</x:v>
      </x:c>
      <x:c r="C31" s="21" t="str">
        <x:v>global</x:v>
      </x:c>
      <x:c r="D31" s="21" t="str">
        <x:v>rendering blocked</x:v>
      </x:c>
      <x:c r="E31" s="21" t="n">
        <x:f>IF(AND(Assumptions!C17=0,'Decision Gates'!H30="BLOCKED"),1,0)</x:f>
        <x:v>1</x:v>
      </x:c>
      <x:c r="F31" s="21" t="n">
        <x:v>1</x:v>
      </x:c>
      <x:c r="G31" s="23" t="str">
        <x:f>IF(E31=F31,"PASS","FAIL")</x:f>
        <x:v>PASS</x:v>
      </x:c>
    </x:row>
    <x:row r="32">
      <x:c r="B32" s="21" t="str">
        <x:v>A00026</x:v>
      </x:c>
      <x:c r="C32" s="21" t="str">
        <x:v>family</x:v>
      </x:c>
      <x:c r="D32" s="21" t="str">
        <x:v>F01 active requirement</x:v>
      </x:c>
      <x:c r="E32" s="21" t="n">
        <x:f>IF(ABS('Family Register'!L7-'Family Register'!G7*INDEX(Scenarios!$D$7:$D$12,Assumptions!C7))&lt;0.000001,1,0)</x:f>
        <x:v>1</x:v>
      </x:c>
      <x:c r="F32" s="21" t="n">
        <x:v>1</x:v>
      </x:c>
      <x:c r="G32" s="23" t="str">
        <x:f>IF(E32=F32,"PASS","FAIL")</x:f>
        <x:v>PASS</x:v>
      </x:c>
    </x:row>
    <x:row r="33">
      <x:c r="B33" s="21" t="str">
        <x:v>A00027</x:v>
      </x:c>
      <x:c r="C33" s="21" t="str">
        <x:v>family</x:v>
      </x:c>
      <x:c r="D33" s="21" t="str">
        <x:v>F01 declared lot</x:v>
      </x:c>
      <x:c r="E33" s="21" t="n">
        <x:f>IF(AND('Family Register'!G7&gt;0,'Family Register'!H7&gt;0,'Family Register'!I7&gt;=1),1,0)</x:f>
        <x:v>1</x:v>
      </x:c>
      <x:c r="F33" s="21" t="n">
        <x:v>1</x:v>
      </x:c>
      <x:c r="G33" s="23" t="str">
        <x:f>IF(E33=F33,"PASS","FAIL")</x:f>
        <x:v>PASS</x:v>
      </x:c>
    </x:row>
    <x:row r="34">
      <x:c r="B34" s="21" t="str">
        <x:v>A00028</x:v>
      </x:c>
      <x:c r="C34" s="21" t="str">
        <x:v>family</x:v>
      </x:c>
      <x:c r="D34" s="21" t="str">
        <x:v>F02 active requirement</x:v>
      </x:c>
      <x:c r="E34" s="21" t="n">
        <x:f>IF(ABS('Family Register'!L8-'Family Register'!G8*INDEX(Scenarios!$D$7:$D$12,Assumptions!C7))&lt;0.000001,1,0)</x:f>
        <x:v>1</x:v>
      </x:c>
      <x:c r="F34" s="21" t="n">
        <x:v>1</x:v>
      </x:c>
      <x:c r="G34" s="23" t="str">
        <x:f>IF(E34=F34,"PASS","FAIL")</x:f>
        <x:v>PASS</x:v>
      </x:c>
    </x:row>
    <x:row r="35">
      <x:c r="B35" s="21" t="str">
        <x:v>A00029</x:v>
      </x:c>
      <x:c r="C35" s="21" t="str">
        <x:v>family</x:v>
      </x:c>
      <x:c r="D35" s="21" t="str">
        <x:v>F02 declared lot</x:v>
      </x:c>
      <x:c r="E35" s="21" t="n">
        <x:f>IF(AND('Family Register'!G8&gt;0,'Family Register'!H8&gt;0,'Family Register'!I8&gt;=1),1,0)</x:f>
        <x:v>1</x:v>
      </x:c>
      <x:c r="F35" s="21" t="n">
        <x:v>1</x:v>
      </x:c>
      <x:c r="G35" s="23" t="str">
        <x:f>IF(E35=F35,"PASS","FAIL")</x:f>
        <x:v>PASS</x:v>
      </x:c>
    </x:row>
    <x:row r="36">
      <x:c r="B36" s="21" t="str">
        <x:v>A00030</x:v>
      </x:c>
      <x:c r="C36" s="21" t="str">
        <x:v>family</x:v>
      </x:c>
      <x:c r="D36" s="21" t="str">
        <x:v>F03 active requirement</x:v>
      </x:c>
      <x:c r="E36" s="21" t="n">
        <x:f>IF(ABS('Family Register'!L9-'Family Register'!G9*INDEX(Scenarios!$D$7:$D$12,Assumptions!C7))&lt;0.000001,1,0)</x:f>
        <x:v>1</x:v>
      </x:c>
      <x:c r="F36" s="21" t="n">
        <x:v>1</x:v>
      </x:c>
      <x:c r="G36" s="23" t="str">
        <x:f>IF(E36=F36,"PASS","FAIL")</x:f>
        <x:v>PASS</x:v>
      </x:c>
    </x:row>
    <x:row r="37">
      <x:c r="B37" s="21" t="str">
        <x:v>A00031</x:v>
      </x:c>
      <x:c r="C37" s="21" t="str">
        <x:v>family</x:v>
      </x:c>
      <x:c r="D37" s="21" t="str">
        <x:v>F03 declared lot</x:v>
      </x:c>
      <x:c r="E37" s="21" t="n">
        <x:f>IF(AND('Family Register'!G9&gt;0,'Family Register'!H9&gt;0,'Family Register'!I9&gt;=1),1,0)</x:f>
        <x:v>1</x:v>
      </x:c>
      <x:c r="F37" s="21" t="n">
        <x:v>1</x:v>
      </x:c>
      <x:c r="G37" s="23" t="str">
        <x:f>IF(E37=F37,"PASS","FAIL")</x:f>
        <x:v>PASS</x:v>
      </x:c>
    </x:row>
    <x:row r="38">
      <x:c r="B38" s="21" t="str">
        <x:v>A00032</x:v>
      </x:c>
      <x:c r="C38" s="21" t="str">
        <x:v>family</x:v>
      </x:c>
      <x:c r="D38" s="21" t="str">
        <x:v>F04 active requirement</x:v>
      </x:c>
      <x:c r="E38" s="21" t="n">
        <x:f>IF(ABS('Family Register'!L10-'Family Register'!G10*INDEX(Scenarios!$D$7:$D$12,Assumptions!C7))&lt;0.000001,1,0)</x:f>
        <x:v>1</x:v>
      </x:c>
      <x:c r="F38" s="21" t="n">
        <x:v>1</x:v>
      </x:c>
      <x:c r="G38" s="23" t="str">
        <x:f>IF(E38=F38,"PASS","FAIL")</x:f>
        <x:v>PASS</x:v>
      </x:c>
    </x:row>
    <x:row r="39">
      <x:c r="B39" s="21" t="str">
        <x:v>A00033</x:v>
      </x:c>
      <x:c r="C39" s="21" t="str">
        <x:v>family</x:v>
      </x:c>
      <x:c r="D39" s="21" t="str">
        <x:v>F04 declared lot</x:v>
      </x:c>
      <x:c r="E39" s="21" t="n">
        <x:f>IF(AND('Family Register'!G10&gt;0,'Family Register'!H10&gt;0,'Family Register'!I10&gt;=1),1,0)</x:f>
        <x:v>1</x:v>
      </x:c>
      <x:c r="F39" s="21" t="n">
        <x:v>1</x:v>
      </x:c>
      <x:c r="G39" s="23" t="str">
        <x:f>IF(E39=F39,"PASS","FAIL")</x:f>
        <x:v>PASS</x:v>
      </x:c>
    </x:row>
    <x:row r="40">
      <x:c r="B40" s="21" t="str">
        <x:v>A00034</x:v>
      </x:c>
      <x:c r="C40" s="21" t="str">
        <x:v>family</x:v>
      </x:c>
      <x:c r="D40" s="21" t="str">
        <x:v>F05 active requirement</x:v>
      </x:c>
      <x:c r="E40" s="21" t="n">
        <x:f>IF(ABS('Family Register'!L11-'Family Register'!G11*INDEX(Scenarios!$D$7:$D$12,Assumptions!C7))&lt;0.000001,1,0)</x:f>
        <x:v>1</x:v>
      </x:c>
      <x:c r="F40" s="21" t="n">
        <x:v>1</x:v>
      </x:c>
      <x:c r="G40" s="23" t="str">
        <x:f>IF(E40=F40,"PASS","FAIL")</x:f>
        <x:v>PASS</x:v>
      </x:c>
    </x:row>
    <x:row r="41">
      <x:c r="B41" s="21" t="str">
        <x:v>A00035</x:v>
      </x:c>
      <x:c r="C41" s="21" t="str">
        <x:v>family</x:v>
      </x:c>
      <x:c r="D41" s="21" t="str">
        <x:v>F05 declared lot</x:v>
      </x:c>
      <x:c r="E41" s="21" t="n">
        <x:f>IF(AND('Family Register'!G11&gt;0,'Family Register'!H11&gt;0,'Family Register'!I11&gt;=1),1,0)</x:f>
        <x:v>1</x:v>
      </x:c>
      <x:c r="F41" s="21" t="n">
        <x:v>1</x:v>
      </x:c>
      <x:c r="G41" s="23" t="str">
        <x:f>IF(E41=F41,"PASS","FAIL")</x:f>
        <x:v>PASS</x:v>
      </x:c>
    </x:row>
    <x:row r="42">
      <x:c r="B42" s="21" t="str">
        <x:v>A00036</x:v>
      </x:c>
      <x:c r="C42" s="21" t="str">
        <x:v>family</x:v>
      </x:c>
      <x:c r="D42" s="21" t="str">
        <x:v>F06 active requirement</x:v>
      </x:c>
      <x:c r="E42" s="21" t="n">
        <x:f>IF(ABS('Family Register'!L12-'Family Register'!G12*INDEX(Scenarios!$D$7:$D$12,Assumptions!C7))&lt;0.000001,1,0)</x:f>
        <x:v>1</x:v>
      </x:c>
      <x:c r="F42" s="21" t="n">
        <x:v>1</x:v>
      </x:c>
      <x:c r="G42" s="23" t="str">
        <x:f>IF(E42=F42,"PASS","FAIL")</x:f>
        <x:v>PASS</x:v>
      </x:c>
    </x:row>
    <x:row r="43">
      <x:c r="B43" s="21" t="str">
        <x:v>A00037</x:v>
      </x:c>
      <x:c r="C43" s="21" t="str">
        <x:v>family</x:v>
      </x:c>
      <x:c r="D43" s="21" t="str">
        <x:v>F06 declared lot</x:v>
      </x:c>
      <x:c r="E43" s="21" t="n">
        <x:f>IF(AND('Family Register'!G12&gt;0,'Family Register'!H12&gt;0,'Family Register'!I12&gt;=1),1,0)</x:f>
        <x:v>1</x:v>
      </x:c>
      <x:c r="F43" s="21" t="n">
        <x:v>1</x:v>
      </x:c>
      <x:c r="G43" s="23" t="str">
        <x:f>IF(E43=F43,"PASS","FAIL")</x:f>
        <x:v>PASS</x:v>
      </x:c>
    </x:row>
    <x:row r="44">
      <x:c r="B44" s="21" t="str">
        <x:v>A00038</x:v>
      </x:c>
      <x:c r="C44" s="21" t="str">
        <x:v>family</x:v>
      </x:c>
      <x:c r="D44" s="21" t="str">
        <x:v>F07 active requirement</x:v>
      </x:c>
      <x:c r="E44" s="21" t="n">
        <x:f>IF(ABS('Family Register'!L13-'Family Register'!G13*INDEX(Scenarios!$D$7:$D$12,Assumptions!C7))&lt;0.000001,1,0)</x:f>
        <x:v>1</x:v>
      </x:c>
      <x:c r="F44" s="21" t="n">
        <x:v>1</x:v>
      </x:c>
      <x:c r="G44" s="23" t="str">
        <x:f>IF(E44=F44,"PASS","FAIL")</x:f>
        <x:v>PASS</x:v>
      </x:c>
    </x:row>
    <x:row r="45">
      <x:c r="B45" s="21" t="str">
        <x:v>A00039</x:v>
      </x:c>
      <x:c r="C45" s="21" t="str">
        <x:v>family</x:v>
      </x:c>
      <x:c r="D45" s="21" t="str">
        <x:v>F07 declared lot</x:v>
      </x:c>
      <x:c r="E45" s="21" t="n">
        <x:f>IF(AND('Family Register'!G13&gt;0,'Family Register'!H13&gt;0,'Family Register'!I13&gt;=1),1,0)</x:f>
        <x:v>1</x:v>
      </x:c>
      <x:c r="F45" s="21" t="n">
        <x:v>1</x:v>
      </x:c>
      <x:c r="G45" s="23" t="str">
        <x:f>IF(E45=F45,"PASS","FAIL")</x:f>
        <x:v>PASS</x:v>
      </x:c>
    </x:row>
    <x:row r="46">
      <x:c r="B46" s="21" t="str">
        <x:v>A00040</x:v>
      </x:c>
      <x:c r="C46" s="21" t="str">
        <x:v>family</x:v>
      </x:c>
      <x:c r="D46" s="21" t="str">
        <x:v>F08 active requirement</x:v>
      </x:c>
      <x:c r="E46" s="21" t="n">
        <x:f>IF(ABS('Family Register'!L14-'Family Register'!G14*INDEX(Scenarios!$D$7:$D$12,Assumptions!C7))&lt;0.000001,1,0)</x:f>
        <x:v>1</x:v>
      </x:c>
      <x:c r="F46" s="21" t="n">
        <x:v>1</x:v>
      </x:c>
      <x:c r="G46" s="23" t="str">
        <x:f>IF(E46=F46,"PASS","FAIL")</x:f>
        <x:v>PASS</x:v>
      </x:c>
    </x:row>
    <x:row r="47">
      <x:c r="B47" s="21" t="str">
        <x:v>A00041</x:v>
      </x:c>
      <x:c r="C47" s="21" t="str">
        <x:v>family</x:v>
      </x:c>
      <x:c r="D47" s="21" t="str">
        <x:v>F08 declared lot</x:v>
      </x:c>
      <x:c r="E47" s="21" t="n">
        <x:f>IF(AND('Family Register'!G14&gt;0,'Family Register'!H14&gt;0,'Family Register'!I14&gt;=1),1,0)</x:f>
        <x:v>1</x:v>
      </x:c>
      <x:c r="F47" s="21" t="n">
        <x:v>1</x:v>
      </x:c>
      <x:c r="G47" s="23" t="str">
        <x:f>IF(E47=F47,"PASS","FAIL")</x:f>
        <x:v>PASS</x:v>
      </x:c>
    </x:row>
    <x:row r="48">
      <x:c r="B48" s="21" t="str">
        <x:v>A00042</x:v>
      </x:c>
      <x:c r="C48" s="21" t="str">
        <x:v>family</x:v>
      </x:c>
      <x:c r="D48" s="21" t="str">
        <x:v>F09 active requirement</x:v>
      </x:c>
      <x:c r="E48" s="21" t="n">
        <x:f>IF(ABS('Family Register'!L15-'Family Register'!G15*INDEX(Scenarios!$D$7:$D$12,Assumptions!C7))&lt;0.000001,1,0)</x:f>
        <x:v>1</x:v>
      </x:c>
      <x:c r="F48" s="21" t="n">
        <x:v>1</x:v>
      </x:c>
      <x:c r="G48" s="23" t="str">
        <x:f>IF(E48=F48,"PASS","FAIL")</x:f>
        <x:v>PASS</x:v>
      </x:c>
    </x:row>
    <x:row r="49">
      <x:c r="B49" s="21" t="str">
        <x:v>A00043</x:v>
      </x:c>
      <x:c r="C49" s="21" t="str">
        <x:v>family</x:v>
      </x:c>
      <x:c r="D49" s="21" t="str">
        <x:v>F09 declared lot</x:v>
      </x:c>
      <x:c r="E49" s="21" t="n">
        <x:f>IF(AND('Family Register'!G15&gt;0,'Family Register'!H15&gt;0,'Family Register'!I15&gt;=1),1,0)</x:f>
        <x:v>1</x:v>
      </x:c>
      <x:c r="F49" s="21" t="n">
        <x:v>1</x:v>
      </x:c>
      <x:c r="G49" s="23" t="str">
        <x:f>IF(E49=F49,"PASS","FAIL")</x:f>
        <x:v>PASS</x:v>
      </x:c>
    </x:row>
    <x:row r="50">
      <x:c r="B50" s="21" t="str">
        <x:v>A00044</x:v>
      </x:c>
      <x:c r="C50" s="21" t="str">
        <x:v>family</x:v>
      </x:c>
      <x:c r="D50" s="21" t="str">
        <x:v>F10 active requirement</x:v>
      </x:c>
      <x:c r="E50" s="21" t="n">
        <x:f>IF(ABS('Family Register'!L16-'Family Register'!G16*INDEX(Scenarios!$D$7:$D$12,Assumptions!C7))&lt;0.000001,1,0)</x:f>
        <x:v>1</x:v>
      </x:c>
      <x:c r="F50" s="21" t="n">
        <x:v>1</x:v>
      </x:c>
      <x:c r="G50" s="23" t="str">
        <x:f>IF(E50=F50,"PASS","FAIL")</x:f>
        <x:v>PASS</x:v>
      </x:c>
    </x:row>
    <x:row r="51">
      <x:c r="B51" s="21" t="str">
        <x:v>A00045</x:v>
      </x:c>
      <x:c r="C51" s="21" t="str">
        <x:v>family</x:v>
      </x:c>
      <x:c r="D51" s="21" t="str">
        <x:v>F10 declared lot</x:v>
      </x:c>
      <x:c r="E51" s="21" t="n">
        <x:f>IF(AND('Family Register'!G16&gt;0,'Family Register'!H16&gt;0,'Family Register'!I16&gt;=1),1,0)</x:f>
        <x:v>1</x:v>
      </x:c>
      <x:c r="F51" s="21" t="n">
        <x:v>1</x:v>
      </x:c>
      <x:c r="G51" s="23" t="str">
        <x:f>IF(E51=F51,"PASS","FAIL")</x:f>
        <x:v>PASS</x:v>
      </x:c>
    </x:row>
    <x:row r="52">
      <x:c r="B52" s="21" t="str">
        <x:v>A00046</x:v>
      </x:c>
      <x:c r="C52" s="21" t="str">
        <x:v>family</x:v>
      </x:c>
      <x:c r="D52" s="21" t="str">
        <x:v>F11 active requirement</x:v>
      </x:c>
      <x:c r="E52" s="21" t="n">
        <x:f>IF(ABS('Family Register'!L17-'Family Register'!G17*INDEX(Scenarios!$D$7:$D$12,Assumptions!C7))&lt;0.000001,1,0)</x:f>
        <x:v>1</x:v>
      </x:c>
      <x:c r="F52" s="21" t="n">
        <x:v>1</x:v>
      </x:c>
      <x:c r="G52" s="23" t="str">
        <x:f>IF(E52=F52,"PASS","FAIL")</x:f>
        <x:v>PASS</x:v>
      </x:c>
    </x:row>
    <x:row r="53">
      <x:c r="B53" s="21" t="str">
        <x:v>A00047</x:v>
      </x:c>
      <x:c r="C53" s="21" t="str">
        <x:v>family</x:v>
      </x:c>
      <x:c r="D53" s="21" t="str">
        <x:v>F11 declared lot</x:v>
      </x:c>
      <x:c r="E53" s="21" t="n">
        <x:f>IF(AND('Family Register'!G17&gt;0,'Family Register'!H17&gt;0,'Family Register'!I17&gt;=1),1,0)</x:f>
        <x:v>1</x:v>
      </x:c>
      <x:c r="F53" s="21" t="n">
        <x:v>1</x:v>
      </x:c>
      <x:c r="G53" s="23" t="str">
        <x:f>IF(E53=F53,"PASS","FAIL")</x:f>
        <x:v>PASS</x:v>
      </x:c>
    </x:row>
    <x:row r="54">
      <x:c r="B54" s="21" t="str">
        <x:v>A00048</x:v>
      </x:c>
      <x:c r="C54" s="21" t="str">
        <x:v>family</x:v>
      </x:c>
      <x:c r="D54" s="21" t="str">
        <x:v>F12 active requirement</x:v>
      </x:c>
      <x:c r="E54" s="21" t="n">
        <x:f>IF(ABS('Family Register'!L18-'Family Register'!G18*INDEX(Scenarios!$D$7:$D$12,Assumptions!C7))&lt;0.000001,1,0)</x:f>
        <x:v>1</x:v>
      </x:c>
      <x:c r="F54" s="21" t="n">
        <x:v>1</x:v>
      </x:c>
      <x:c r="G54" s="23" t="str">
        <x:f>IF(E54=F54,"PASS","FAIL")</x:f>
        <x:v>PASS</x:v>
      </x:c>
    </x:row>
    <x:row r="55">
      <x:c r="B55" s="21" t="str">
        <x:v>A00049</x:v>
      </x:c>
      <x:c r="C55" s="21" t="str">
        <x:v>family</x:v>
      </x:c>
      <x:c r="D55" s="21" t="str">
        <x:v>F12 declared lot</x:v>
      </x:c>
      <x:c r="E55" s="21" t="n">
        <x:f>IF(AND('Family Register'!G18&gt;0,'Family Register'!H18&gt;0,'Family Register'!I18&gt;=1),1,0)</x:f>
        <x:v>1</x:v>
      </x:c>
      <x:c r="F55" s="21" t="n">
        <x:v>1</x:v>
      </x:c>
      <x:c r="G55" s="23" t="str">
        <x:f>IF(E55=F55,"PASS","FAIL")</x:f>
        <x:v>PASS</x:v>
      </x:c>
    </x:row>
    <x:row r="56">
      <x:c r="B56" s="21" t="str">
        <x:v>A00050</x:v>
      </x:c>
      <x:c r="C56" s="21" t="str">
        <x:v>family</x:v>
      </x:c>
      <x:c r="D56" s="21" t="str">
        <x:v>F13 active requirement</x:v>
      </x:c>
      <x:c r="E56" s="21" t="n">
        <x:f>IF(ABS('Family Register'!L19-'Family Register'!G19*INDEX(Scenarios!$D$7:$D$12,Assumptions!C7))&lt;0.000001,1,0)</x:f>
        <x:v>1</x:v>
      </x:c>
      <x:c r="F56" s="21" t="n">
        <x:v>1</x:v>
      </x:c>
      <x:c r="G56" s="23" t="str">
        <x:f>IF(E56=F56,"PASS","FAIL")</x:f>
        <x:v>PASS</x:v>
      </x:c>
    </x:row>
    <x:row r="57">
      <x:c r="B57" s="21" t="str">
        <x:v>A00051</x:v>
      </x:c>
      <x:c r="C57" s="21" t="str">
        <x:v>family</x:v>
      </x:c>
      <x:c r="D57" s="21" t="str">
        <x:v>F13 declared lot</x:v>
      </x:c>
      <x:c r="E57" s="21" t="n">
        <x:f>IF(AND('Family Register'!G19&gt;0,'Family Register'!H19&gt;0,'Family Register'!I19&gt;=1),1,0)</x:f>
        <x:v>1</x:v>
      </x:c>
      <x:c r="F57" s="21" t="n">
        <x:v>1</x:v>
      </x:c>
      <x:c r="G57" s="23" t="str">
        <x:f>IF(E57=F57,"PASS","FAIL")</x:f>
        <x:v>PASS</x:v>
      </x:c>
    </x:row>
    <x:row r="58">
      <x:c r="B58" s="21" t="str">
        <x:v>A00052</x:v>
      </x:c>
      <x:c r="C58" s="21" t="str">
        <x:v>family</x:v>
      </x:c>
      <x:c r="D58" s="21" t="str">
        <x:v>F14 active requirement</x:v>
      </x:c>
      <x:c r="E58" s="21" t="n">
        <x:f>IF(ABS('Family Register'!L20-'Family Register'!G20*INDEX(Scenarios!$D$7:$D$12,Assumptions!C7))&lt;0.000001,1,0)</x:f>
        <x:v>1</x:v>
      </x:c>
      <x:c r="F58" s="21" t="n">
        <x:v>1</x:v>
      </x:c>
      <x:c r="G58" s="23" t="str">
        <x:f>IF(E58=F58,"PASS","FAIL")</x:f>
        <x:v>PASS</x:v>
      </x:c>
    </x:row>
    <x:row r="59">
      <x:c r="B59" s="21" t="str">
        <x:v>A00053</x:v>
      </x:c>
      <x:c r="C59" s="21" t="str">
        <x:v>family</x:v>
      </x:c>
      <x:c r="D59" s="21" t="str">
        <x:v>F14 declared lot</x:v>
      </x:c>
      <x:c r="E59" s="21" t="n">
        <x:f>IF(AND('Family Register'!G20&gt;0,'Family Register'!H20&gt;0,'Family Register'!I20&gt;=1),1,0)</x:f>
        <x:v>1</x:v>
      </x:c>
      <x:c r="F59" s="21" t="n">
        <x:v>1</x:v>
      </x:c>
      <x:c r="G59" s="23" t="str">
        <x:f>IF(E59=F59,"PASS","FAIL")</x:f>
        <x:v>PASS</x:v>
      </x:c>
    </x:row>
    <x:row r="60">
      <x:c r="B60" s="21" t="str">
        <x:v>A00054</x:v>
      </x:c>
      <x:c r="C60" s="21" t="str">
        <x:v>family</x:v>
      </x:c>
      <x:c r="D60" s="21" t="str">
        <x:v>F15 active requirement</x:v>
      </x:c>
      <x:c r="E60" s="21" t="n">
        <x:f>IF(ABS('Family Register'!L21-'Family Register'!G21*INDEX(Scenarios!$D$7:$D$12,Assumptions!C7))&lt;0.000001,1,0)</x:f>
        <x:v>1</x:v>
      </x:c>
      <x:c r="F60" s="21" t="n">
        <x:v>1</x:v>
      </x:c>
      <x:c r="G60" s="23" t="str">
        <x:f>IF(E60=F60,"PASS","FAIL")</x:f>
        <x:v>PASS</x:v>
      </x:c>
    </x:row>
    <x:row r="61">
      <x:c r="B61" s="21" t="str">
        <x:v>A00055</x:v>
      </x:c>
      <x:c r="C61" s="21" t="str">
        <x:v>family</x:v>
      </x:c>
      <x:c r="D61" s="21" t="str">
        <x:v>F15 declared lot</x:v>
      </x:c>
      <x:c r="E61" s="21" t="n">
        <x:f>IF(AND('Family Register'!G21&gt;0,'Family Register'!H21&gt;0,'Family Register'!I21&gt;=1),1,0)</x:f>
        <x:v>1</x:v>
      </x:c>
      <x:c r="F61" s="21" t="n">
        <x:v>1</x:v>
      </x:c>
      <x:c r="G61" s="23" t="str">
        <x:f>IF(E61=F61,"PASS","FAIL")</x:f>
        <x:v>PASS</x:v>
      </x:c>
    </x:row>
    <x:row r="62">
      <x:c r="B62" s="21" t="str">
        <x:v>A00056</x:v>
      </x:c>
      <x:c r="C62" s="21" t="str">
        <x:v>family</x:v>
      </x:c>
      <x:c r="D62" s="21" t="str">
        <x:v>F16 active requirement</x:v>
      </x:c>
      <x:c r="E62" s="21" t="n">
        <x:f>IF(ABS('Family Register'!L22-'Family Register'!G22*INDEX(Scenarios!$D$7:$D$12,Assumptions!C7))&lt;0.000001,1,0)</x:f>
        <x:v>1</x:v>
      </x:c>
      <x:c r="F62" s="21" t="n">
        <x:v>1</x:v>
      </x:c>
      <x:c r="G62" s="23" t="str">
        <x:f>IF(E62=F62,"PASS","FAIL")</x:f>
        <x:v>PASS</x:v>
      </x:c>
    </x:row>
    <x:row r="63">
      <x:c r="B63" s="21" t="str">
        <x:v>A00057</x:v>
      </x:c>
      <x:c r="C63" s="21" t="str">
        <x:v>family</x:v>
      </x:c>
      <x:c r="D63" s="21" t="str">
        <x:v>F16 declared lot</x:v>
      </x:c>
      <x:c r="E63" s="21" t="n">
        <x:f>IF(AND('Family Register'!G22&gt;0,'Family Register'!H22&gt;0,'Family Register'!I22&gt;=1),1,0)</x:f>
        <x:v>1</x:v>
      </x:c>
      <x:c r="F63" s="21" t="n">
        <x:v>1</x:v>
      </x:c>
      <x:c r="G63" s="23" t="str">
        <x:f>IF(E63=F63,"PASS","FAIL")</x:f>
        <x:v>PASS</x:v>
      </x:c>
    </x:row>
    <x:row r="64">
      <x:c r="B64" s="21" t="str">
        <x:v>A00058</x:v>
      </x:c>
      <x:c r="C64" s="21" t="str">
        <x:v>family</x:v>
      </x:c>
      <x:c r="D64" s="21" t="str">
        <x:v>F17 active requirement</x:v>
      </x:c>
      <x:c r="E64" s="21" t="n">
        <x:f>IF(ABS('Family Register'!L23-'Family Register'!G23*INDEX(Scenarios!$D$7:$D$12,Assumptions!C7))&lt;0.000001,1,0)</x:f>
        <x:v>1</x:v>
      </x:c>
      <x:c r="F64" s="21" t="n">
        <x:v>1</x:v>
      </x:c>
      <x:c r="G64" s="23" t="str">
        <x:f>IF(E64=F64,"PASS","FAIL")</x:f>
        <x:v>PASS</x:v>
      </x:c>
    </x:row>
    <x:row r="65">
      <x:c r="B65" s="21" t="str">
        <x:v>A00059</x:v>
      </x:c>
      <x:c r="C65" s="21" t="str">
        <x:v>family</x:v>
      </x:c>
      <x:c r="D65" s="21" t="str">
        <x:v>F17 declared lot</x:v>
      </x:c>
      <x:c r="E65" s="21" t="n">
        <x:f>IF(AND('Family Register'!G23&gt;0,'Family Register'!H23&gt;0,'Family Register'!I23&gt;=1),1,0)</x:f>
        <x:v>1</x:v>
      </x:c>
      <x:c r="F65" s="21" t="n">
        <x:v>1</x:v>
      </x:c>
      <x:c r="G65" s="23" t="str">
        <x:f>IF(E65=F65,"PASS","FAIL")</x:f>
        <x:v>PASS</x:v>
      </x:c>
    </x:row>
    <x:row r="66">
      <x:c r="B66" s="21" t="str">
        <x:v>A00060</x:v>
      </x:c>
      <x:c r="C66" s="21" t="str">
        <x:v>family</x:v>
      </x:c>
      <x:c r="D66" s="21" t="str">
        <x:v>F18 active requirement</x:v>
      </x:c>
      <x:c r="E66" s="21" t="n">
        <x:f>IF(ABS('Family Register'!L24-'Family Register'!G24*INDEX(Scenarios!$D$7:$D$12,Assumptions!C7))&lt;0.000001,1,0)</x:f>
        <x:v>1</x:v>
      </x:c>
      <x:c r="F66" s="21" t="n">
        <x:v>1</x:v>
      </x:c>
      <x:c r="G66" s="23" t="str">
        <x:f>IF(E66=F66,"PASS","FAIL")</x:f>
        <x:v>PASS</x:v>
      </x:c>
    </x:row>
    <x:row r="67">
      <x:c r="B67" s="21" t="str">
        <x:v>A00061</x:v>
      </x:c>
      <x:c r="C67" s="21" t="str">
        <x:v>family</x:v>
      </x:c>
      <x:c r="D67" s="21" t="str">
        <x:v>F18 declared lot</x:v>
      </x:c>
      <x:c r="E67" s="21" t="n">
        <x:f>IF(AND('Family Register'!G24&gt;0,'Family Register'!H24&gt;0,'Family Register'!I24&gt;=1),1,0)</x:f>
        <x:v>1</x:v>
      </x:c>
      <x:c r="F67" s="21" t="n">
        <x:v>1</x:v>
      </x:c>
      <x:c r="G67" s="23" t="str">
        <x:f>IF(E67=F67,"PASS","FAIL")</x:f>
        <x:v>PASS</x:v>
      </x:c>
    </x:row>
    <x:row r="68">
      <x:c r="B68" s="21" t="str">
        <x:v>A00062</x:v>
      </x:c>
      <x:c r="C68" s="21" t="str">
        <x:v>family</x:v>
      </x:c>
      <x:c r="D68" s="21" t="str">
        <x:v>F19 active requirement</x:v>
      </x:c>
      <x:c r="E68" s="21" t="n">
        <x:f>IF(ABS('Family Register'!L25-'Family Register'!G25*INDEX(Scenarios!$D$7:$D$12,Assumptions!C7))&lt;0.000001,1,0)</x:f>
        <x:v>1</x:v>
      </x:c>
      <x:c r="F68" s="21" t="n">
        <x:v>1</x:v>
      </x:c>
      <x:c r="G68" s="23" t="str">
        <x:f>IF(E68=F68,"PASS","FAIL")</x:f>
        <x:v>PASS</x:v>
      </x:c>
    </x:row>
    <x:row r="69">
      <x:c r="B69" s="21" t="str">
        <x:v>A00063</x:v>
      </x:c>
      <x:c r="C69" s="21" t="str">
        <x:v>family</x:v>
      </x:c>
      <x:c r="D69" s="21" t="str">
        <x:v>F19 declared lot</x:v>
      </x:c>
      <x:c r="E69" s="21" t="n">
        <x:f>IF(AND('Family Register'!G25&gt;0,'Family Register'!H25&gt;0,'Family Register'!I25&gt;=1),1,0)</x:f>
        <x:v>1</x:v>
      </x:c>
      <x:c r="F69" s="21" t="n">
        <x:v>1</x:v>
      </x:c>
      <x:c r="G69" s="23" t="str">
        <x:f>IF(E69=F69,"PASS","FAIL")</x:f>
        <x:v>PASS</x:v>
      </x:c>
    </x:row>
    <x:row r="70">
      <x:c r="B70" s="21" t="str">
        <x:v>A00064</x:v>
      </x:c>
      <x:c r="C70" s="21" t="str">
        <x:v>family</x:v>
      </x:c>
      <x:c r="D70" s="21" t="str">
        <x:v>F20 active requirement</x:v>
      </x:c>
      <x:c r="E70" s="21" t="n">
        <x:f>IF(ABS('Family Register'!L26-'Family Register'!G26*INDEX(Scenarios!$D$7:$D$12,Assumptions!C7))&lt;0.000001,1,0)</x:f>
        <x:v>1</x:v>
      </x:c>
      <x:c r="F70" s="21" t="n">
        <x:v>1</x:v>
      </x:c>
      <x:c r="G70" s="23" t="str">
        <x:f>IF(E70=F70,"PASS","FAIL")</x:f>
        <x:v>PASS</x:v>
      </x:c>
    </x:row>
    <x:row r="71">
      <x:c r="B71" s="21" t="str">
        <x:v>A00065</x:v>
      </x:c>
      <x:c r="C71" s="21" t="str">
        <x:v>family</x:v>
      </x:c>
      <x:c r="D71" s="21" t="str">
        <x:v>F20 declared lot</x:v>
      </x:c>
      <x:c r="E71" s="21" t="n">
        <x:f>IF(AND('Family Register'!G26&gt;0,'Family Register'!H26&gt;0,'Family Register'!I26&gt;=1),1,0)</x:f>
        <x:v>1</x:v>
      </x:c>
      <x:c r="F71" s="21" t="n">
        <x:v>1</x:v>
      </x:c>
      <x:c r="G71" s="23" t="str">
        <x:f>IF(E71=F71,"PASS","FAIL")</x:f>
        <x:v>PASS</x:v>
      </x:c>
    </x:row>
    <x:row r="72">
      <x:c r="B72" s="21" t="str">
        <x:v>A00066</x:v>
      </x:c>
      <x:c r="C72" s="21" t="str">
        <x:v>family</x:v>
      </x:c>
      <x:c r="D72" s="21" t="str">
        <x:v>F21 active requirement</x:v>
      </x:c>
      <x:c r="E72" s="21" t="n">
        <x:f>IF(ABS('Family Register'!L27-'Family Register'!G27*INDEX(Scenarios!$D$7:$D$12,Assumptions!C7))&lt;0.000001,1,0)</x:f>
        <x:v>1</x:v>
      </x:c>
      <x:c r="F72" s="21" t="n">
        <x:v>1</x:v>
      </x:c>
      <x:c r="G72" s="23" t="str">
        <x:f>IF(E72=F72,"PASS","FAIL")</x:f>
        <x:v>PASS</x:v>
      </x:c>
    </x:row>
    <x:row r="73">
      <x:c r="B73" s="21" t="str">
        <x:v>A00067</x:v>
      </x:c>
      <x:c r="C73" s="21" t="str">
        <x:v>family</x:v>
      </x:c>
      <x:c r="D73" s="21" t="str">
        <x:v>F21 declared lot</x:v>
      </x:c>
      <x:c r="E73" s="21" t="n">
        <x:f>IF(AND('Family Register'!G27&gt;0,'Family Register'!H27&gt;0,'Family Register'!I27&gt;=1),1,0)</x:f>
        <x:v>1</x:v>
      </x:c>
      <x:c r="F73" s="21" t="n">
        <x:v>1</x:v>
      </x:c>
      <x:c r="G73" s="23" t="str">
        <x:f>IF(E73=F73,"PASS","FAIL")</x:f>
        <x:v>PASS</x:v>
      </x:c>
    </x:row>
    <x:row r="74">
      <x:c r="B74" s="21" t="str">
        <x:v>A00068</x:v>
      </x:c>
      <x:c r="C74" s="21" t="str">
        <x:v>family</x:v>
      </x:c>
      <x:c r="D74" s="21" t="str">
        <x:v>F22 active requirement</x:v>
      </x:c>
      <x:c r="E74" s="21" t="n">
        <x:f>IF(ABS('Family Register'!L28-'Family Register'!G28*INDEX(Scenarios!$D$7:$D$12,Assumptions!C7))&lt;0.000001,1,0)</x:f>
        <x:v>1</x:v>
      </x:c>
      <x:c r="F74" s="21" t="n">
        <x:v>1</x:v>
      </x:c>
      <x:c r="G74" s="23" t="str">
        <x:f>IF(E74=F74,"PASS","FAIL")</x:f>
        <x:v>PASS</x:v>
      </x:c>
    </x:row>
    <x:row r="75">
      <x:c r="B75" s="21" t="str">
        <x:v>A00069</x:v>
      </x:c>
      <x:c r="C75" s="21" t="str">
        <x:v>family</x:v>
      </x:c>
      <x:c r="D75" s="21" t="str">
        <x:v>F22 declared lot</x:v>
      </x:c>
      <x:c r="E75" s="21" t="n">
        <x:f>IF(AND('Family Register'!G28&gt;0,'Family Register'!H28&gt;0,'Family Register'!I28&gt;=1),1,0)</x:f>
        <x:v>1</x:v>
      </x:c>
      <x:c r="F75" s="21" t="n">
        <x:v>1</x:v>
      </x:c>
      <x:c r="G75" s="23" t="str">
        <x:f>IF(E75=F75,"PASS","FAIL")</x:f>
        <x:v>PASS</x:v>
      </x:c>
    </x:row>
    <x:row r="76">
      <x:c r="B76" s="21" t="str">
        <x:v>A00070</x:v>
      </x:c>
      <x:c r="C76" s="21" t="str">
        <x:v>family</x:v>
      </x:c>
      <x:c r="D76" s="21" t="str">
        <x:v>F23 active requirement</x:v>
      </x:c>
      <x:c r="E76" s="21" t="n">
        <x:f>IF(ABS('Family Register'!L29-'Family Register'!G29*INDEX(Scenarios!$D$7:$D$12,Assumptions!C7))&lt;0.000001,1,0)</x:f>
        <x:v>1</x:v>
      </x:c>
      <x:c r="F76" s="21" t="n">
        <x:v>1</x:v>
      </x:c>
      <x:c r="G76" s="23" t="str">
        <x:f>IF(E76=F76,"PASS","FAIL")</x:f>
        <x:v>PASS</x:v>
      </x:c>
    </x:row>
    <x:row r="77">
      <x:c r="B77" s="21" t="str">
        <x:v>A00071</x:v>
      </x:c>
      <x:c r="C77" s="21" t="str">
        <x:v>family</x:v>
      </x:c>
      <x:c r="D77" s="21" t="str">
        <x:v>F23 declared lot</x:v>
      </x:c>
      <x:c r="E77" s="21" t="n">
        <x:f>IF(AND('Family Register'!G29&gt;0,'Family Register'!H29&gt;0,'Family Register'!I29&gt;=1),1,0)</x:f>
        <x:v>1</x:v>
      </x:c>
      <x:c r="F77" s="21" t="n">
        <x:v>1</x:v>
      </x:c>
      <x:c r="G77" s="23" t="str">
        <x:f>IF(E77=F77,"PASS","FAIL")</x:f>
        <x:v>PASS</x:v>
      </x:c>
    </x:row>
    <x:row r="78">
      <x:c r="B78" s="21" t="str">
        <x:v>A00072</x:v>
      </x:c>
      <x:c r="C78" s="21" t="str">
        <x:v>family</x:v>
      </x:c>
      <x:c r="D78" s="21" t="str">
        <x:v>F24 active requirement</x:v>
      </x:c>
      <x:c r="E78" s="21" t="n">
        <x:f>IF(ABS('Family Register'!L30-'Family Register'!G30*INDEX(Scenarios!$D$7:$D$12,Assumptions!C7))&lt;0.000001,1,0)</x:f>
        <x:v>1</x:v>
      </x:c>
      <x:c r="F78" s="21" t="n">
        <x:v>1</x:v>
      </x:c>
      <x:c r="G78" s="23" t="str">
        <x:f>IF(E78=F78,"PASS","FAIL")</x:f>
        <x:v>PASS</x:v>
      </x:c>
    </x:row>
    <x:row r="79">
      <x:c r="B79" s="21" t="str">
        <x:v>A00073</x:v>
      </x:c>
      <x:c r="C79" s="21" t="str">
        <x:v>family</x:v>
      </x:c>
      <x:c r="D79" s="21" t="str">
        <x:v>F24 declared lot</x:v>
      </x:c>
      <x:c r="E79" s="21" t="n">
        <x:f>IF(AND('Family Register'!G30&gt;0,'Family Register'!H30&gt;0,'Family Register'!I30&gt;=1),1,0)</x:f>
        <x:v>1</x:v>
      </x:c>
      <x:c r="F79" s="21" t="n">
        <x:v>1</x:v>
      </x:c>
      <x:c r="G79" s="23" t="str">
        <x:f>IF(E79=F79,"PASS","FAIL")</x:f>
        <x:v>PASS</x:v>
      </x:c>
    </x:row>
    <x:row r="80">
      <x:c r="B80" s="21" t="str">
        <x:v>A00074</x:v>
      </x:c>
      <x:c r="C80" s="21" t="str">
        <x:v>family</x:v>
      </x:c>
      <x:c r="D80" s="21" t="str">
        <x:v>F25 active requirement</x:v>
      </x:c>
      <x:c r="E80" s="21" t="n">
        <x:f>IF(ABS('Family Register'!L31-'Family Register'!G31*INDEX(Scenarios!$D$7:$D$12,Assumptions!C7))&lt;0.000001,1,0)</x:f>
        <x:v>1</x:v>
      </x:c>
      <x:c r="F80" s="21" t="n">
        <x:v>1</x:v>
      </x:c>
      <x:c r="G80" s="23" t="str">
        <x:f>IF(E80=F80,"PASS","FAIL")</x:f>
        <x:v>PASS</x:v>
      </x:c>
    </x:row>
    <x:row r="81">
      <x:c r="B81" s="21" t="str">
        <x:v>A00075</x:v>
      </x:c>
      <x:c r="C81" s="21" t="str">
        <x:v>family</x:v>
      </x:c>
      <x:c r="D81" s="21" t="str">
        <x:v>F25 declared lot</x:v>
      </x:c>
      <x:c r="E81" s="21" t="n">
        <x:f>IF(AND('Family Register'!G31&gt;0,'Family Register'!H31&gt;0,'Family Register'!I31&gt;=1),1,0)</x:f>
        <x:v>1</x:v>
      </x:c>
      <x:c r="F81" s="21" t="n">
        <x:v>1</x:v>
      </x:c>
      <x:c r="G81" s="23" t="str">
        <x:f>IF(E81=F81,"PASS","FAIL")</x:f>
        <x:v>PASS</x:v>
      </x:c>
    </x:row>
    <x:row r="82">
      <x:c r="B82" s="21" t="str">
        <x:v>A00076</x:v>
      </x:c>
      <x:c r="C82" s="21" t="str">
        <x:v>family</x:v>
      </x:c>
      <x:c r="D82" s="21" t="str">
        <x:v>F26 active requirement</x:v>
      </x:c>
      <x:c r="E82" s="21" t="n">
        <x:f>IF(ABS('Family Register'!L32-'Family Register'!G32*INDEX(Scenarios!$D$7:$D$12,Assumptions!C7))&lt;0.000001,1,0)</x:f>
        <x:v>1</x:v>
      </x:c>
      <x:c r="F82" s="21" t="n">
        <x:v>1</x:v>
      </x:c>
      <x:c r="G82" s="23" t="str">
        <x:f>IF(E82=F82,"PASS","FAIL")</x:f>
        <x:v>PASS</x:v>
      </x:c>
    </x:row>
    <x:row r="83">
      <x:c r="B83" s="21" t="str">
        <x:v>A00077</x:v>
      </x:c>
      <x:c r="C83" s="21" t="str">
        <x:v>family</x:v>
      </x:c>
      <x:c r="D83" s="21" t="str">
        <x:v>F26 declared lot</x:v>
      </x:c>
      <x:c r="E83" s="21" t="n">
        <x:f>IF(AND('Family Register'!G32&gt;0,'Family Register'!H32&gt;0,'Family Register'!I32&gt;=1),1,0)</x:f>
        <x:v>1</x:v>
      </x:c>
      <x:c r="F83" s="21" t="n">
        <x:v>1</x:v>
      </x:c>
      <x:c r="G83" s="23" t="str">
        <x:f>IF(E83=F83,"PASS","FAIL")</x:f>
        <x:v>PASS</x:v>
      </x:c>
    </x:row>
    <x:row r="84">
      <x:c r="B84" s="21" t="str">
        <x:v>A00078</x:v>
      </x:c>
      <x:c r="C84" s="21" t="str">
        <x:v>family</x:v>
      </x:c>
      <x:c r="D84" s="21" t="str">
        <x:v>F27 active requirement</x:v>
      </x:c>
      <x:c r="E84" s="21" t="n">
        <x:f>IF(ABS('Family Register'!L33-'Family Register'!G33*INDEX(Scenarios!$D$7:$D$12,Assumptions!C7))&lt;0.000001,1,0)</x:f>
        <x:v>1</x:v>
      </x:c>
      <x:c r="F84" s="21" t="n">
        <x:v>1</x:v>
      </x:c>
      <x:c r="G84" s="23" t="str">
        <x:f>IF(E84=F84,"PASS","FAIL")</x:f>
        <x:v>PASS</x:v>
      </x:c>
    </x:row>
    <x:row r="85">
      <x:c r="B85" s="21" t="str">
        <x:v>A00079</x:v>
      </x:c>
      <x:c r="C85" s="21" t="str">
        <x:v>family</x:v>
      </x:c>
      <x:c r="D85" s="21" t="str">
        <x:v>F27 declared lot</x:v>
      </x:c>
      <x:c r="E85" s="21" t="n">
        <x:f>IF(AND('Family Register'!G33&gt;0,'Family Register'!H33&gt;0,'Family Register'!I33&gt;=1),1,0)</x:f>
        <x:v>1</x:v>
      </x:c>
      <x:c r="F85" s="21" t="n">
        <x:v>1</x:v>
      </x:c>
      <x:c r="G85" s="23" t="str">
        <x:f>IF(E85=F85,"PASS","FAIL")</x:f>
        <x:v>PASS</x:v>
      </x:c>
    </x:row>
    <x:row r="86">
      <x:c r="B86" s="21" t="str">
        <x:v>A00080</x:v>
      </x:c>
      <x:c r="C86" s="21" t="str">
        <x:v>family</x:v>
      </x:c>
      <x:c r="D86" s="21" t="str">
        <x:v>F28 active requirement</x:v>
      </x:c>
      <x:c r="E86" s="21" t="n">
        <x:f>IF(ABS('Family Register'!L34-'Family Register'!G34*INDEX(Scenarios!$D$7:$D$12,Assumptions!C7))&lt;0.000001,1,0)</x:f>
        <x:v>1</x:v>
      </x:c>
      <x:c r="F86" s="21" t="n">
        <x:v>1</x:v>
      </x:c>
      <x:c r="G86" s="23" t="str">
        <x:f>IF(E86=F86,"PASS","FAIL")</x:f>
        <x:v>PASS</x:v>
      </x:c>
    </x:row>
    <x:row r="87">
      <x:c r="B87" s="21" t="str">
        <x:v>A00081</x:v>
      </x:c>
      <x:c r="C87" s="21" t="str">
        <x:v>family</x:v>
      </x:c>
      <x:c r="D87" s="21" t="str">
        <x:v>F28 declared lot</x:v>
      </x:c>
      <x:c r="E87" s="21" t="n">
        <x:f>IF(AND('Family Register'!G34&gt;0,'Family Register'!H34&gt;0,'Family Register'!I34&gt;=1),1,0)</x:f>
        <x:v>1</x:v>
      </x:c>
      <x:c r="F87" s="21" t="n">
        <x:v>1</x:v>
      </x:c>
      <x:c r="G87" s="23" t="str">
        <x:f>IF(E87=F87,"PASS","FAIL")</x:f>
        <x:v>PASS</x:v>
      </x:c>
    </x:row>
    <x:row r="88">
      <x:c r="B88" s="21" t="str">
        <x:v>A00082</x:v>
      </x:c>
      <x:c r="C88" s="21" t="str">
        <x:v>family</x:v>
      </x:c>
      <x:c r="D88" s="21" t="str">
        <x:v>F29 active requirement</x:v>
      </x:c>
      <x:c r="E88" s="21" t="n">
        <x:f>IF(ABS('Family Register'!L35-'Family Register'!G35*INDEX(Scenarios!$D$7:$D$12,Assumptions!C7))&lt;0.000001,1,0)</x:f>
        <x:v>1</x:v>
      </x:c>
      <x:c r="F88" s="21" t="n">
        <x:v>1</x:v>
      </x:c>
      <x:c r="G88" s="23" t="str">
        <x:f>IF(E88=F88,"PASS","FAIL")</x:f>
        <x:v>PASS</x:v>
      </x:c>
    </x:row>
    <x:row r="89">
      <x:c r="B89" s="21" t="str">
        <x:v>A00083</x:v>
      </x:c>
      <x:c r="C89" s="21" t="str">
        <x:v>family</x:v>
      </x:c>
      <x:c r="D89" s="21" t="str">
        <x:v>F29 declared lot</x:v>
      </x:c>
      <x:c r="E89" s="21" t="n">
        <x:f>IF(AND('Family Register'!G35&gt;0,'Family Register'!H35&gt;0,'Family Register'!I35&gt;=1),1,0)</x:f>
        <x:v>1</x:v>
      </x:c>
      <x:c r="F89" s="21" t="n">
        <x:v>1</x:v>
      </x:c>
      <x:c r="G89" s="23" t="str">
        <x:f>IF(E89=F89,"PASS","FAIL")</x:f>
        <x:v>PASS</x:v>
      </x:c>
    </x:row>
    <x:row r="90">
      <x:c r="B90" s="21" t="str">
        <x:v>A00084</x:v>
      </x:c>
      <x:c r="C90" s="21" t="str">
        <x:v>family</x:v>
      </x:c>
      <x:c r="D90" s="21" t="str">
        <x:v>F30 active requirement</x:v>
      </x:c>
      <x:c r="E90" s="21" t="n">
        <x:f>IF(ABS('Family Register'!L36-'Family Register'!G36*INDEX(Scenarios!$D$7:$D$12,Assumptions!C7))&lt;0.000001,1,0)</x:f>
        <x:v>1</x:v>
      </x:c>
      <x:c r="F90" s="21" t="n">
        <x:v>1</x:v>
      </x:c>
      <x:c r="G90" s="23" t="str">
        <x:f>IF(E90=F90,"PASS","FAIL")</x:f>
        <x:v>PASS</x:v>
      </x:c>
    </x:row>
    <x:row r="91">
      <x:c r="B91" s="21" t="str">
        <x:v>A00085</x:v>
      </x:c>
      <x:c r="C91" s="21" t="str">
        <x:v>family</x:v>
      </x:c>
      <x:c r="D91" s="21" t="str">
        <x:v>F30 declared lot</x:v>
      </x:c>
      <x:c r="E91" s="21" t="n">
        <x:f>IF(AND('Family Register'!G36&gt;0,'Family Register'!H36&gt;0,'Family Register'!I36&gt;=1),1,0)</x:f>
        <x:v>1</x:v>
      </x:c>
      <x:c r="F91" s="21" t="n">
        <x:v>1</x:v>
      </x:c>
      <x:c r="G91" s="23" t="str">
        <x:f>IF(E91=F91,"PASS","FAIL")</x:f>
        <x:v>PASS</x:v>
      </x:c>
    </x:row>
    <x:row r="92">
      <x:c r="B92" s="21" t="str">
        <x:v>A00086</x:v>
      </x:c>
      <x:c r="C92" s="21" t="str">
        <x:v>family</x:v>
      </x:c>
      <x:c r="D92" s="21" t="str">
        <x:v>F31 active requirement</x:v>
      </x:c>
      <x:c r="E92" s="21" t="n">
        <x:f>IF(ABS('Family Register'!L37-'Family Register'!G37*INDEX(Scenarios!$D$7:$D$12,Assumptions!C7))&lt;0.000001,1,0)</x:f>
        <x:v>1</x:v>
      </x:c>
      <x:c r="F92" s="21" t="n">
        <x:v>1</x:v>
      </x:c>
      <x:c r="G92" s="23" t="str">
        <x:f>IF(E92=F92,"PASS","FAIL")</x:f>
        <x:v>PASS</x:v>
      </x:c>
    </x:row>
    <x:row r="93">
      <x:c r="B93" s="21" t="str">
        <x:v>A00087</x:v>
      </x:c>
      <x:c r="C93" s="21" t="str">
        <x:v>family</x:v>
      </x:c>
      <x:c r="D93" s="21" t="str">
        <x:v>F31 declared lot</x:v>
      </x:c>
      <x:c r="E93" s="21" t="n">
        <x:f>IF(AND('Family Register'!G37&gt;0,'Family Register'!H37&gt;0,'Family Register'!I37&gt;=1),1,0)</x:f>
        <x:v>1</x:v>
      </x:c>
      <x:c r="F93" s="21" t="n">
        <x:v>1</x:v>
      </x:c>
      <x:c r="G93" s="23" t="str">
        <x:f>IF(E93=F93,"PASS","FAIL")</x:f>
        <x:v>PASS</x:v>
      </x:c>
    </x:row>
    <x:row r="94">
      <x:c r="B94" s="21" t="str">
        <x:v>A00088</x:v>
      </x:c>
      <x:c r="C94" s="21" t="str">
        <x:v>family</x:v>
      </x:c>
      <x:c r="D94" s="21" t="str">
        <x:v>F32 active requirement</x:v>
      </x:c>
      <x:c r="E94" s="21" t="n">
        <x:f>IF(ABS('Family Register'!L38-'Family Register'!G38*INDEX(Scenarios!$D$7:$D$12,Assumptions!C7))&lt;0.000001,1,0)</x:f>
        <x:v>1</x:v>
      </x:c>
      <x:c r="F94" s="21" t="n">
        <x:v>1</x:v>
      </x:c>
      <x:c r="G94" s="23" t="str">
        <x:f>IF(E94=F94,"PASS","FAIL")</x:f>
        <x:v>PASS</x:v>
      </x:c>
    </x:row>
    <x:row r="95">
      <x:c r="B95" s="21" t="str">
        <x:v>A00089</x:v>
      </x:c>
      <x:c r="C95" s="21" t="str">
        <x:v>family</x:v>
      </x:c>
      <x:c r="D95" s="21" t="str">
        <x:v>F32 declared lot</x:v>
      </x:c>
      <x:c r="E95" s="21" t="n">
        <x:f>IF(AND('Family Register'!G38&gt;0,'Family Register'!H38&gt;0,'Family Register'!I38&gt;=1),1,0)</x:f>
        <x:v>1</x:v>
      </x:c>
      <x:c r="F95" s="21" t="n">
        <x:v>1</x:v>
      </x:c>
      <x:c r="G95" s="23" t="str">
        <x:f>IF(E95=F95,"PASS","FAIL")</x:f>
        <x:v>PASS</x:v>
      </x:c>
    </x:row>
    <x:row r="96">
      <x:c r="B96" s="21" t="str">
        <x:v>A00090</x:v>
      </x:c>
      <x:c r="C96" s="21" t="str">
        <x:v>family</x:v>
      </x:c>
      <x:c r="D96" s="21" t="str">
        <x:v>F33 active requirement</x:v>
      </x:c>
      <x:c r="E96" s="21" t="n">
        <x:f>IF(ABS('Family Register'!L39-'Family Register'!G39*INDEX(Scenarios!$D$7:$D$12,Assumptions!C7))&lt;0.000001,1,0)</x:f>
        <x:v>1</x:v>
      </x:c>
      <x:c r="F96" s="21" t="n">
        <x:v>1</x:v>
      </x:c>
      <x:c r="G96" s="23" t="str">
        <x:f>IF(E96=F96,"PASS","FAIL")</x:f>
        <x:v>PASS</x:v>
      </x:c>
    </x:row>
    <x:row r="97">
      <x:c r="B97" s="21" t="str">
        <x:v>A00091</x:v>
      </x:c>
      <x:c r="C97" s="21" t="str">
        <x:v>family</x:v>
      </x:c>
      <x:c r="D97" s="21" t="str">
        <x:v>F33 declared lot</x:v>
      </x:c>
      <x:c r="E97" s="21" t="n">
        <x:f>IF(AND('Family Register'!G39&gt;0,'Family Register'!H39&gt;0,'Family Register'!I39&gt;=1),1,0)</x:f>
        <x:v>1</x:v>
      </x:c>
      <x:c r="F97" s="21" t="n">
        <x:v>1</x:v>
      </x:c>
      <x:c r="G97" s="23" t="str">
        <x:f>IF(E97=F97,"PASS","FAIL")</x:f>
        <x:v>PASS</x:v>
      </x:c>
    </x:row>
    <x:row r="98">
      <x:c r="B98" s="21" t="str">
        <x:v>A00092</x:v>
      </x:c>
      <x:c r="C98" s="21" t="str">
        <x:v>family</x:v>
      </x:c>
      <x:c r="D98" s="21" t="str">
        <x:v>F34 active requirement</x:v>
      </x:c>
      <x:c r="E98" s="21" t="n">
        <x:f>IF(ABS('Family Register'!L40-'Family Register'!G40*INDEX(Scenarios!$D$7:$D$12,Assumptions!C7))&lt;0.000001,1,0)</x:f>
        <x:v>1</x:v>
      </x:c>
      <x:c r="F98" s="21" t="n">
        <x:v>1</x:v>
      </x:c>
      <x:c r="G98" s="23" t="str">
        <x:f>IF(E98=F98,"PASS","FAIL")</x:f>
        <x:v>PASS</x:v>
      </x:c>
    </x:row>
    <x:row r="99">
      <x:c r="B99" s="21" t="str">
        <x:v>A00093</x:v>
      </x:c>
      <x:c r="C99" s="21" t="str">
        <x:v>family</x:v>
      </x:c>
      <x:c r="D99" s="21" t="str">
        <x:v>F34 declared lot</x:v>
      </x:c>
      <x:c r="E99" s="21" t="n">
        <x:f>IF(AND('Family Register'!G40&gt;0,'Family Register'!H40&gt;0,'Family Register'!I40&gt;=1),1,0)</x:f>
        <x:v>1</x:v>
      </x:c>
      <x:c r="F99" s="21" t="n">
        <x:v>1</x:v>
      </x:c>
      <x:c r="G99" s="23" t="str">
        <x:f>IF(E99=F99,"PASS","FAIL")</x:f>
        <x:v>PASS</x:v>
      </x:c>
    </x:row>
    <x:row r="100">
      <x:c r="B100" s="21" t="str">
        <x:v>A00094</x:v>
      </x:c>
      <x:c r="C100" s="21" t="str">
        <x:v>family</x:v>
      </x:c>
      <x:c r="D100" s="21" t="str">
        <x:v>F35 active requirement</x:v>
      </x:c>
      <x:c r="E100" s="21" t="n">
        <x:f>IF(ABS('Family Register'!L41-'Family Register'!G41*INDEX(Scenarios!$D$7:$D$12,Assumptions!C7))&lt;0.000001,1,0)</x:f>
        <x:v>1</x:v>
      </x:c>
      <x:c r="F100" s="21" t="n">
        <x:v>1</x:v>
      </x:c>
      <x:c r="G100" s="23" t="str">
        <x:f>IF(E100=F100,"PASS","FAIL")</x:f>
        <x:v>PASS</x:v>
      </x:c>
    </x:row>
    <x:row r="101">
      <x:c r="B101" s="21" t="str">
        <x:v>A00095</x:v>
      </x:c>
      <x:c r="C101" s="21" t="str">
        <x:v>family</x:v>
      </x:c>
      <x:c r="D101" s="21" t="str">
        <x:v>F35 declared lot</x:v>
      </x:c>
      <x:c r="E101" s="21" t="n">
        <x:f>IF(AND('Family Register'!G41&gt;0,'Family Register'!H41&gt;0,'Family Register'!I41&gt;=1),1,0)</x:f>
        <x:v>1</x:v>
      </x:c>
      <x:c r="F101" s="21" t="n">
        <x:v>1</x:v>
      </x:c>
      <x:c r="G101" s="23" t="str">
        <x:f>IF(E101=F101,"PASS","FAIL")</x:f>
        <x:v>PASS</x:v>
      </x:c>
    </x:row>
    <x:row r="102">
      <x:c r="B102" s="21" t="str">
        <x:v>A00096</x:v>
      </x:c>
      <x:c r="C102" s="21" t="str">
        <x:v>family</x:v>
      </x:c>
      <x:c r="D102" s="21" t="str">
        <x:v>F36 active requirement</x:v>
      </x:c>
      <x:c r="E102" s="21" t="n">
        <x:f>IF(ABS('Family Register'!L42-'Family Register'!G42*INDEX(Scenarios!$D$7:$D$12,Assumptions!C7))&lt;0.000001,1,0)</x:f>
        <x:v>1</x:v>
      </x:c>
      <x:c r="F102" s="21" t="n">
        <x:v>1</x:v>
      </x:c>
      <x:c r="G102" s="23" t="str">
        <x:f>IF(E102=F102,"PASS","FAIL")</x:f>
        <x:v>PASS</x:v>
      </x:c>
    </x:row>
    <x:row r="103">
      <x:c r="B103" s="21" t="str">
        <x:v>A00097</x:v>
      </x:c>
      <x:c r="C103" s="21" t="str">
        <x:v>family</x:v>
      </x:c>
      <x:c r="D103" s="21" t="str">
        <x:v>F36 declared lot</x:v>
      </x:c>
      <x:c r="E103" s="21" t="n">
        <x:f>IF(AND('Family Register'!G42&gt;0,'Family Register'!H42&gt;0,'Family Register'!I42&gt;=1),1,0)</x:f>
        <x:v>1</x:v>
      </x:c>
      <x:c r="F103" s="21" t="n">
        <x:v>1</x:v>
      </x:c>
      <x:c r="G103" s="23" t="str">
        <x:f>IF(E103=F103,"PASS","FAIL")</x:f>
        <x:v>PASS</x:v>
      </x:c>
    </x:row>
    <x:row r="104">
      <x:c r="B104" s="21" t="str">
        <x:v>A00098</x:v>
      </x:c>
      <x:c r="C104" s="21" t="str">
        <x:v>family</x:v>
      </x:c>
      <x:c r="D104" s="21" t="str">
        <x:v>F37 active requirement</x:v>
      </x:c>
      <x:c r="E104" s="21" t="n">
        <x:f>IF(ABS('Family Register'!L43-'Family Register'!G43*INDEX(Scenarios!$D$7:$D$12,Assumptions!C7))&lt;0.000001,1,0)</x:f>
        <x:v>1</x:v>
      </x:c>
      <x:c r="F104" s="21" t="n">
        <x:v>1</x:v>
      </x:c>
      <x:c r="G104" s="23" t="str">
        <x:f>IF(E104=F104,"PASS","FAIL")</x:f>
        <x:v>PASS</x:v>
      </x:c>
    </x:row>
    <x:row r="105">
      <x:c r="B105" s="21" t="str">
        <x:v>A00099</x:v>
      </x:c>
      <x:c r="C105" s="21" t="str">
        <x:v>family</x:v>
      </x:c>
      <x:c r="D105" s="21" t="str">
        <x:v>F37 declared lot</x:v>
      </x:c>
      <x:c r="E105" s="21" t="n">
        <x:f>IF(AND('Family Register'!G43&gt;0,'Family Register'!H43&gt;0,'Family Register'!I43&gt;=1),1,0)</x:f>
        <x:v>1</x:v>
      </x:c>
      <x:c r="F105" s="21" t="n">
        <x:v>1</x:v>
      </x:c>
      <x:c r="G105" s="23" t="str">
        <x:f>IF(E105=F105,"PASS","FAIL")</x:f>
        <x:v>PASS</x:v>
      </x:c>
    </x:row>
    <x:row r="106">
      <x:c r="B106" s="21" t="str">
        <x:v>A00100</x:v>
      </x:c>
      <x:c r="C106" s="21" t="str">
        <x:v>family</x:v>
      </x:c>
      <x:c r="D106" s="21" t="str">
        <x:v>F38 active requirement</x:v>
      </x:c>
      <x:c r="E106" s="21" t="n">
        <x:f>IF(ABS('Family Register'!L44-'Family Register'!G44*INDEX(Scenarios!$D$7:$D$12,Assumptions!C7))&lt;0.000001,1,0)</x:f>
        <x:v>1</x:v>
      </x:c>
      <x:c r="F106" s="21" t="n">
        <x:v>1</x:v>
      </x:c>
      <x:c r="G106" s="23" t="str">
        <x:f>IF(E106=F106,"PASS","FAIL")</x:f>
        <x:v>PASS</x:v>
      </x:c>
    </x:row>
    <x:row r="107">
      <x:c r="B107" s="21" t="str">
        <x:v>A00101</x:v>
      </x:c>
      <x:c r="C107" s="21" t="str">
        <x:v>family</x:v>
      </x:c>
      <x:c r="D107" s="21" t="str">
        <x:v>F38 declared lot</x:v>
      </x:c>
      <x:c r="E107" s="21" t="n">
        <x:f>IF(AND('Family Register'!G44&gt;0,'Family Register'!H44&gt;0,'Family Register'!I44&gt;=1),1,0)</x:f>
        <x:v>1</x:v>
      </x:c>
      <x:c r="F107" s="21" t="n">
        <x:v>1</x:v>
      </x:c>
      <x:c r="G107" s="23" t="str">
        <x:f>IF(E107=F107,"PASS","FAIL")</x:f>
        <x:v>PASS</x:v>
      </x:c>
    </x:row>
    <x:row r="108">
      <x:c r="B108" s="21" t="str">
        <x:v>A00102</x:v>
      </x:c>
      <x:c r="C108" s="21" t="str">
        <x:v>family</x:v>
      </x:c>
      <x:c r="D108" s="21" t="str">
        <x:v>F39 active requirement</x:v>
      </x:c>
      <x:c r="E108" s="21" t="n">
        <x:f>IF(ABS('Family Register'!L45-'Family Register'!G45*INDEX(Scenarios!$D$7:$D$12,Assumptions!C7))&lt;0.000001,1,0)</x:f>
        <x:v>1</x:v>
      </x:c>
      <x:c r="F108" s="21" t="n">
        <x:v>1</x:v>
      </x:c>
      <x:c r="G108" s="23" t="str">
        <x:f>IF(E108=F108,"PASS","FAIL")</x:f>
        <x:v>PASS</x:v>
      </x:c>
    </x:row>
    <x:row r="109">
      <x:c r="B109" s="21" t="str">
        <x:v>A00103</x:v>
      </x:c>
      <x:c r="C109" s="21" t="str">
        <x:v>family</x:v>
      </x:c>
      <x:c r="D109" s="21" t="str">
        <x:v>F39 declared lot</x:v>
      </x:c>
      <x:c r="E109" s="21" t="n">
        <x:f>IF(AND('Family Register'!G45&gt;0,'Family Register'!H45&gt;0,'Family Register'!I45&gt;=1),1,0)</x:f>
        <x:v>1</x:v>
      </x:c>
      <x:c r="F109" s="21" t="n">
        <x:v>1</x:v>
      </x:c>
      <x:c r="G109" s="23" t="str">
        <x:f>IF(E109=F109,"PASS","FAIL")</x:f>
        <x:v>PASS</x:v>
      </x:c>
    </x:row>
    <x:row r="110">
      <x:c r="B110" s="21" t="str">
        <x:v>A00104</x:v>
      </x:c>
      <x:c r="C110" s="21" t="str">
        <x:v>family</x:v>
      </x:c>
      <x:c r="D110" s="21" t="str">
        <x:v>F40 active requirement</x:v>
      </x:c>
      <x:c r="E110" s="21" t="n">
        <x:f>IF(ABS('Family Register'!L46-'Family Register'!G46*INDEX(Scenarios!$D$7:$D$12,Assumptions!C7))&lt;0.000001,1,0)</x:f>
        <x:v>1</x:v>
      </x:c>
      <x:c r="F110" s="21" t="n">
        <x:v>1</x:v>
      </x:c>
      <x:c r="G110" s="23" t="str">
        <x:f>IF(E110=F110,"PASS","FAIL")</x:f>
        <x:v>PASS</x:v>
      </x:c>
    </x:row>
    <x:row r="111">
      <x:c r="B111" s="21" t="str">
        <x:v>A00105</x:v>
      </x:c>
      <x:c r="C111" s="21" t="str">
        <x:v>family</x:v>
      </x:c>
      <x:c r="D111" s="21" t="str">
        <x:v>F40 declared lot</x:v>
      </x:c>
      <x:c r="E111" s="21" t="n">
        <x:f>IF(AND('Family Register'!G46&gt;0,'Family Register'!H46&gt;0,'Family Register'!I46&gt;=1),1,0)</x:f>
        <x:v>1</x:v>
      </x:c>
      <x:c r="F111" s="21" t="n">
        <x:v>1</x:v>
      </x:c>
      <x:c r="G111" s="23" t="str">
        <x:f>IF(E111=F111,"PASS","FAIL")</x:f>
        <x:v>PASS</x:v>
      </x:c>
    </x:row>
    <x:row r="112">
      <x:c r="B112" s="21" t="str">
        <x:v>A00106</x:v>
      </x:c>
      <x:c r="C112" s="21" t="str">
        <x:v>family</x:v>
      </x:c>
      <x:c r="D112" s="21" t="str">
        <x:v>F41 active requirement</x:v>
      </x:c>
      <x:c r="E112" s="21" t="n">
        <x:f>IF(ABS('Family Register'!L47-'Family Register'!G47*INDEX(Scenarios!$D$7:$D$12,Assumptions!C7))&lt;0.000001,1,0)</x:f>
        <x:v>1</x:v>
      </x:c>
      <x:c r="F112" s="21" t="n">
        <x:v>1</x:v>
      </x:c>
      <x:c r="G112" s="23" t="str">
        <x:f>IF(E112=F112,"PASS","FAIL")</x:f>
        <x:v>PASS</x:v>
      </x:c>
    </x:row>
    <x:row r="113">
      <x:c r="B113" s="21" t="str">
        <x:v>A00107</x:v>
      </x:c>
      <x:c r="C113" s="21" t="str">
        <x:v>family</x:v>
      </x:c>
      <x:c r="D113" s="21" t="str">
        <x:v>F41 declared lot</x:v>
      </x:c>
      <x:c r="E113" s="21" t="n">
        <x:f>IF(AND('Family Register'!G47&gt;0,'Family Register'!H47&gt;0,'Family Register'!I47&gt;=1),1,0)</x:f>
        <x:v>1</x:v>
      </x:c>
      <x:c r="F113" s="21" t="n">
        <x:v>1</x:v>
      </x:c>
      <x:c r="G113" s="23" t="str">
        <x:f>IF(E113=F113,"PASS","FAIL")</x:f>
        <x:v>PASS</x:v>
      </x:c>
    </x:row>
    <x:row r="114">
      <x:c r="B114" s="21" t="str">
        <x:v>A00108</x:v>
      </x:c>
      <x:c r="C114" s="21" t="str">
        <x:v>family</x:v>
      </x:c>
      <x:c r="D114" s="21" t="str">
        <x:v>F42 active requirement</x:v>
      </x:c>
      <x:c r="E114" s="21" t="n">
        <x:f>IF(ABS('Family Register'!L48-'Family Register'!G48*INDEX(Scenarios!$D$7:$D$12,Assumptions!C7))&lt;0.000001,1,0)</x:f>
        <x:v>1</x:v>
      </x:c>
      <x:c r="F114" s="21" t="n">
        <x:v>1</x:v>
      </x:c>
      <x:c r="G114" s="23" t="str">
        <x:f>IF(E114=F114,"PASS","FAIL")</x:f>
        <x:v>PASS</x:v>
      </x:c>
    </x:row>
    <x:row r="115">
      <x:c r="B115" s="21" t="str">
        <x:v>A00109</x:v>
      </x:c>
      <x:c r="C115" s="21" t="str">
        <x:v>family</x:v>
      </x:c>
      <x:c r="D115" s="21" t="str">
        <x:v>F42 declared lot</x:v>
      </x:c>
      <x:c r="E115" s="21" t="n">
        <x:f>IF(AND('Family Register'!G48&gt;0,'Family Register'!H48&gt;0,'Family Register'!I48&gt;=1),1,0)</x:f>
        <x:v>1</x:v>
      </x:c>
      <x:c r="F115" s="21" t="n">
        <x:v>1</x:v>
      </x:c>
      <x:c r="G115" s="23" t="str">
        <x:f>IF(E115=F115,"PASS","FAIL")</x:f>
        <x:v>PASS</x:v>
      </x:c>
    </x:row>
    <x:row r="116">
      <x:c r="B116" s="21" t="str">
        <x:v>A00110</x:v>
      </x:c>
      <x:c r="C116" s="21" t="str">
        <x:v>family</x:v>
      </x:c>
      <x:c r="D116" s="21" t="str">
        <x:v>F43 active requirement</x:v>
      </x:c>
      <x:c r="E116" s="21" t="n">
        <x:f>IF(ABS('Family Register'!L49-'Family Register'!G49*INDEX(Scenarios!$D$7:$D$12,Assumptions!C7))&lt;0.000001,1,0)</x:f>
        <x:v>1</x:v>
      </x:c>
      <x:c r="F116" s="21" t="n">
        <x:v>1</x:v>
      </x:c>
      <x:c r="G116" s="23" t="str">
        <x:f>IF(E116=F116,"PASS","FAIL")</x:f>
        <x:v>PASS</x:v>
      </x:c>
    </x:row>
    <x:row r="117">
      <x:c r="B117" s="21" t="str">
        <x:v>A00111</x:v>
      </x:c>
      <x:c r="C117" s="21" t="str">
        <x:v>family</x:v>
      </x:c>
      <x:c r="D117" s="21" t="str">
        <x:v>F43 declared lot</x:v>
      </x:c>
      <x:c r="E117" s="21" t="n">
        <x:f>IF(AND('Family Register'!G49&gt;0,'Family Register'!H49&gt;0,'Family Register'!I49&gt;=1),1,0)</x:f>
        <x:v>1</x:v>
      </x:c>
      <x:c r="F117" s="21" t="n">
        <x:v>1</x:v>
      </x:c>
      <x:c r="G117" s="23" t="str">
        <x:f>IF(E117=F117,"PASS","FAIL")</x:f>
        <x:v>PASS</x:v>
      </x:c>
    </x:row>
    <x:row r="118">
      <x:c r="B118" s="21" t="str">
        <x:v>A00112</x:v>
      </x:c>
      <x:c r="C118" s="21" t="str">
        <x:v>family</x:v>
      </x:c>
      <x:c r="D118" s="21" t="str">
        <x:v>F44 active requirement</x:v>
      </x:c>
      <x:c r="E118" s="21" t="n">
        <x:f>IF(ABS('Family Register'!L50-'Family Register'!G50*INDEX(Scenarios!$D$7:$D$12,Assumptions!C7))&lt;0.000001,1,0)</x:f>
        <x:v>1</x:v>
      </x:c>
      <x:c r="F118" s="21" t="n">
        <x:v>1</x:v>
      </x:c>
      <x:c r="G118" s="23" t="str">
        <x:f>IF(E118=F118,"PASS","FAIL")</x:f>
        <x:v>PASS</x:v>
      </x:c>
    </x:row>
    <x:row r="119">
      <x:c r="B119" s="21" t="str">
        <x:v>A00113</x:v>
      </x:c>
      <x:c r="C119" s="21" t="str">
        <x:v>family</x:v>
      </x:c>
      <x:c r="D119" s="21" t="str">
        <x:v>F44 declared lot</x:v>
      </x:c>
      <x:c r="E119" s="21" t="n">
        <x:f>IF(AND('Family Register'!G50&gt;0,'Family Register'!H50&gt;0,'Family Register'!I50&gt;=1),1,0)</x:f>
        <x:v>1</x:v>
      </x:c>
      <x:c r="F119" s="21" t="n">
        <x:v>1</x:v>
      </x:c>
      <x:c r="G119" s="23" t="str">
        <x:f>IF(E119=F119,"PASS","FAIL")</x:f>
        <x:v>PASS</x:v>
      </x:c>
    </x:row>
    <x:row r="120">
      <x:c r="B120" s="21" t="str">
        <x:v>A00114</x:v>
      </x:c>
      <x:c r="C120" s="21" t="str">
        <x:v>family</x:v>
      </x:c>
      <x:c r="D120" s="21" t="str">
        <x:v>F45 active requirement</x:v>
      </x:c>
      <x:c r="E120" s="21" t="n">
        <x:f>IF(ABS('Family Register'!L51-'Family Register'!G51*INDEX(Scenarios!$D$7:$D$12,Assumptions!C7))&lt;0.000001,1,0)</x:f>
        <x:v>1</x:v>
      </x:c>
      <x:c r="F120" s="21" t="n">
        <x:v>1</x:v>
      </x:c>
      <x:c r="G120" s="23" t="str">
        <x:f>IF(E120=F120,"PASS","FAIL")</x:f>
        <x:v>PASS</x:v>
      </x:c>
    </x:row>
    <x:row r="121">
      <x:c r="B121" s="21" t="str">
        <x:v>A00115</x:v>
      </x:c>
      <x:c r="C121" s="21" t="str">
        <x:v>family</x:v>
      </x:c>
      <x:c r="D121" s="21" t="str">
        <x:v>F45 declared lot</x:v>
      </x:c>
      <x:c r="E121" s="21" t="n">
        <x:f>IF(AND('Family Register'!G51&gt;0,'Family Register'!H51&gt;0,'Family Register'!I51&gt;=1),1,0)</x:f>
        <x:v>1</x:v>
      </x:c>
      <x:c r="F121" s="21" t="n">
        <x:v>1</x:v>
      </x:c>
      <x:c r="G121" s="23" t="str">
        <x:f>IF(E121=F121,"PASS","FAIL")</x:f>
        <x:v>PASS</x:v>
      </x:c>
    </x:row>
    <x:row r="122">
      <x:c r="B122" s="21" t="str">
        <x:v>A00116</x:v>
      </x:c>
      <x:c r="C122" s="21" t="str">
        <x:v>family</x:v>
      </x:c>
      <x:c r="D122" s="21" t="str">
        <x:v>F46 active requirement</x:v>
      </x:c>
      <x:c r="E122" s="21" t="n">
        <x:f>IF(ABS('Family Register'!L52-'Family Register'!G52*INDEX(Scenarios!$D$7:$D$12,Assumptions!C7))&lt;0.000001,1,0)</x:f>
        <x:v>1</x:v>
      </x:c>
      <x:c r="F122" s="21" t="n">
        <x:v>1</x:v>
      </x:c>
      <x:c r="G122" s="23" t="str">
        <x:f>IF(E122=F122,"PASS","FAIL")</x:f>
        <x:v>PASS</x:v>
      </x:c>
    </x:row>
    <x:row r="123">
      <x:c r="B123" s="21" t="str">
        <x:v>A00117</x:v>
      </x:c>
      <x:c r="C123" s="21" t="str">
        <x:v>family</x:v>
      </x:c>
      <x:c r="D123" s="21" t="str">
        <x:v>F46 declared lot</x:v>
      </x:c>
      <x:c r="E123" s="21" t="n">
        <x:f>IF(AND('Family Register'!G52&gt;0,'Family Register'!H52&gt;0,'Family Register'!I52&gt;=1),1,0)</x:f>
        <x:v>1</x:v>
      </x:c>
      <x:c r="F123" s="21" t="n">
        <x:v>1</x:v>
      </x:c>
      <x:c r="G123" s="23" t="str">
        <x:f>IF(E123=F123,"PASS","FAIL")</x:f>
        <x:v>PASS</x:v>
      </x:c>
    </x:row>
    <x:row r="124">
      <x:c r="B124" s="21" t="str">
        <x:v>A00118</x:v>
      </x:c>
      <x:c r="C124" s="21" t="str">
        <x:v>family</x:v>
      </x:c>
      <x:c r="D124" s="21" t="str">
        <x:v>F47 active requirement</x:v>
      </x:c>
      <x:c r="E124" s="21" t="n">
        <x:f>IF(ABS('Family Register'!L53-'Family Register'!G53*INDEX(Scenarios!$D$7:$D$12,Assumptions!C7))&lt;0.000001,1,0)</x:f>
        <x:v>1</x:v>
      </x:c>
      <x:c r="F124" s="21" t="n">
        <x:v>1</x:v>
      </x:c>
      <x:c r="G124" s="23" t="str">
        <x:f>IF(E124=F124,"PASS","FAIL")</x:f>
        <x:v>PASS</x:v>
      </x:c>
    </x:row>
    <x:row r="125">
      <x:c r="B125" s="21" t="str">
        <x:v>A00119</x:v>
      </x:c>
      <x:c r="C125" s="21" t="str">
        <x:v>family</x:v>
      </x:c>
      <x:c r="D125" s="21" t="str">
        <x:v>F47 declared lot</x:v>
      </x:c>
      <x:c r="E125" s="21" t="n">
        <x:f>IF(AND('Family Register'!G53&gt;0,'Family Register'!H53&gt;0,'Family Register'!I53&gt;=1),1,0)</x:f>
        <x:v>1</x:v>
      </x:c>
      <x:c r="F125" s="21" t="n">
        <x:v>1</x:v>
      </x:c>
      <x:c r="G125" s="23" t="str">
        <x:f>IF(E125=F125,"PASS","FAIL")</x:f>
        <x:v>PASS</x:v>
      </x:c>
    </x:row>
    <x:row r="126">
      <x:c r="B126" s="21" t="str">
        <x:v>A00120</x:v>
      </x:c>
      <x:c r="C126" s="21" t="str">
        <x:v>family</x:v>
      </x:c>
      <x:c r="D126" s="21" t="str">
        <x:v>F48 active requirement</x:v>
      </x:c>
      <x:c r="E126" s="21" t="n">
        <x:f>IF(ABS('Family Register'!L54-'Family Register'!G54*INDEX(Scenarios!$D$7:$D$12,Assumptions!C7))&lt;0.000001,1,0)</x:f>
        <x:v>1</x:v>
      </x:c>
      <x:c r="F126" s="21" t="n">
        <x:v>1</x:v>
      </x:c>
      <x:c r="G126" s="23" t="str">
        <x:f>IF(E126=F126,"PASS","FAIL")</x:f>
        <x:v>PASS</x:v>
      </x:c>
    </x:row>
    <x:row r="127">
      <x:c r="B127" s="21" t="str">
        <x:v>A00121</x:v>
      </x:c>
      <x:c r="C127" s="21" t="str">
        <x:v>family</x:v>
      </x:c>
      <x:c r="D127" s="21" t="str">
        <x:v>F48 declared lot</x:v>
      </x:c>
      <x:c r="E127" s="21" t="n">
        <x:f>IF(AND('Family Register'!G54&gt;0,'Family Register'!H54&gt;0,'Family Register'!I54&gt;=1),1,0)</x:f>
        <x:v>1</x:v>
      </x:c>
      <x:c r="F127" s="21" t="n">
        <x:v>1</x:v>
      </x:c>
      <x:c r="G127" s="23" t="str">
        <x:f>IF(E127=F127,"PASS","FAIL")</x:f>
        <x:v>PASS</x:v>
      </x:c>
    </x:row>
    <x:row r="128">
      <x:c r="B128" s="21" t="str">
        <x:v>A00122</x:v>
      </x:c>
      <x:c r="C128" s="21" t="str">
        <x:v>scenario</x:v>
      </x:c>
      <x:c r="D128" s="21" t="str">
        <x:v>scenario result 1 conservation</x:v>
      </x:c>
      <x:c r="E128" s="21" t="n">
        <x:f>IF(AND(ABS('Scenario Results'!I7-MIN('Scenario Results'!E7,'Scenario Results'!H7))&lt;0.000001,'Scenario Results'!I7&lt;='Scenario Results'!E7),1,0)</x:f>
        <x:v>1</x:v>
      </x:c>
      <x:c r="F128" s="21" t="n">
        <x:v>1</x:v>
      </x:c>
      <x:c r="G128" s="23" t="str">
        <x:f>IF(E128=F128,"PASS","FAIL")</x:f>
        <x:v>PASS</x:v>
      </x:c>
    </x:row>
    <x:row r="129">
      <x:c r="B129" s="21" t="str">
        <x:v>A00123</x:v>
      </x:c>
      <x:c r="C129" s="21" t="str">
        <x:v>scenario</x:v>
      </x:c>
      <x:c r="D129" s="21" t="str">
        <x:v>scenario result 1 state</x:v>
      </x:c>
      <x:c r="E129" s="21" t="n">
        <x:f>IF('Scenario Results'!K7=IF('Scenario Results'!J7&gt;=1,"ADEQUATE","GAP"),1,0)</x:f>
        <x:v>1</x:v>
      </x:c>
      <x:c r="F129" s="21" t="n">
        <x:v>1</x:v>
      </x:c>
      <x:c r="G129" s="23" t="str">
        <x:f>IF(E129=F129,"PASS","FAIL")</x:f>
        <x:v>PASS</x:v>
      </x:c>
    </x:row>
    <x:row r="130">
      <x:c r="B130" s="21" t="str">
        <x:v>A00124</x:v>
      </x:c>
      <x:c r="C130" s="21" t="str">
        <x:v>scenario</x:v>
      </x:c>
      <x:c r="D130" s="21" t="str">
        <x:v>scenario result 2 conservation</x:v>
      </x:c>
      <x:c r="E130" s="21" t="n">
        <x:f>IF(AND(ABS('Scenario Results'!I8-MIN('Scenario Results'!E8,'Scenario Results'!H8))&lt;0.000001,'Scenario Results'!I8&lt;='Scenario Results'!E8),1,0)</x:f>
        <x:v>1</x:v>
      </x:c>
      <x:c r="F130" s="21" t="n">
        <x:v>1</x:v>
      </x:c>
      <x:c r="G130" s="23" t="str">
        <x:f>IF(E130=F130,"PASS","FAIL")</x:f>
        <x:v>PASS</x:v>
      </x:c>
    </x:row>
    <x:row r="131">
      <x:c r="B131" s="21" t="str">
        <x:v>A00125</x:v>
      </x:c>
      <x:c r="C131" s="21" t="str">
        <x:v>scenario</x:v>
      </x:c>
      <x:c r="D131" s="21" t="str">
        <x:v>scenario result 2 state</x:v>
      </x:c>
      <x:c r="E131" s="21" t="n">
        <x:f>IF('Scenario Results'!K8=IF('Scenario Results'!J8&gt;=1,"ADEQUATE","GAP"),1,0)</x:f>
        <x:v>1</x:v>
      </x:c>
      <x:c r="F131" s="21" t="n">
        <x:v>1</x:v>
      </x:c>
      <x:c r="G131" s="23" t="str">
        <x:f>IF(E131=F131,"PASS","FAIL")</x:f>
        <x:v>PASS</x:v>
      </x:c>
    </x:row>
    <x:row r="132">
      <x:c r="B132" s="21" t="str">
        <x:v>A00126</x:v>
      </x:c>
      <x:c r="C132" s="21" t="str">
        <x:v>scenario</x:v>
      </x:c>
      <x:c r="D132" s="21" t="str">
        <x:v>scenario result 3 conservation</x:v>
      </x:c>
      <x:c r="E132" s="21" t="n">
        <x:f>IF(AND(ABS('Scenario Results'!I9-MIN('Scenario Results'!E9,'Scenario Results'!H9))&lt;0.000001,'Scenario Results'!I9&lt;='Scenario Results'!E9),1,0)</x:f>
        <x:v>1</x:v>
      </x:c>
      <x:c r="F132" s="21" t="n">
        <x:v>1</x:v>
      </x:c>
      <x:c r="G132" s="23" t="str">
        <x:f>IF(E132=F132,"PASS","FAIL")</x:f>
        <x:v>PASS</x:v>
      </x:c>
    </x:row>
    <x:row r="133">
      <x:c r="B133" s="21" t="str">
        <x:v>A00127</x:v>
      </x:c>
      <x:c r="C133" s="21" t="str">
        <x:v>scenario</x:v>
      </x:c>
      <x:c r="D133" s="21" t="str">
        <x:v>scenario result 3 state</x:v>
      </x:c>
      <x:c r="E133" s="21" t="n">
        <x:f>IF('Scenario Results'!K9=IF('Scenario Results'!J9&gt;=1,"ADEQUATE","GAP"),1,0)</x:f>
        <x:v>1</x:v>
      </x:c>
      <x:c r="F133" s="21" t="n">
        <x:v>1</x:v>
      </x:c>
      <x:c r="G133" s="23" t="str">
        <x:f>IF(E133=F133,"PASS","FAIL")</x:f>
        <x:v>PASS</x:v>
      </x:c>
    </x:row>
    <x:row r="134">
      <x:c r="B134" s="21" t="str">
        <x:v>A00128</x:v>
      </x:c>
      <x:c r="C134" s="21" t="str">
        <x:v>scenario</x:v>
      </x:c>
      <x:c r="D134" s="21" t="str">
        <x:v>scenario result 4 conservation</x:v>
      </x:c>
      <x:c r="E134" s="21" t="n">
        <x:f>IF(AND(ABS('Scenario Results'!I10-MIN('Scenario Results'!E10,'Scenario Results'!H10))&lt;0.000001,'Scenario Results'!I10&lt;='Scenario Results'!E10),1,0)</x:f>
        <x:v>1</x:v>
      </x:c>
      <x:c r="F134" s="21" t="n">
        <x:v>1</x:v>
      </x:c>
      <x:c r="G134" s="23" t="str">
        <x:f>IF(E134=F134,"PASS","FAIL")</x:f>
        <x:v>PASS</x:v>
      </x:c>
    </x:row>
    <x:row r="135">
      <x:c r="B135" s="21" t="str">
        <x:v>A00129</x:v>
      </x:c>
      <x:c r="C135" s="21" t="str">
        <x:v>scenario</x:v>
      </x:c>
      <x:c r="D135" s="21" t="str">
        <x:v>scenario result 4 state</x:v>
      </x:c>
      <x:c r="E135" s="21" t="n">
        <x:f>IF('Scenario Results'!K10=IF('Scenario Results'!J10&gt;=1,"ADEQUATE","GAP"),1,0)</x:f>
        <x:v>1</x:v>
      </x:c>
      <x:c r="F135" s="21" t="n">
        <x:v>1</x:v>
      </x:c>
      <x:c r="G135" s="23" t="str">
        <x:f>IF(E135=F135,"PASS","FAIL")</x:f>
        <x:v>PASS</x:v>
      </x:c>
    </x:row>
    <x:row r="136">
      <x:c r="B136" s="21" t="str">
        <x:v>A00130</x:v>
      </x:c>
      <x:c r="C136" s="21" t="str">
        <x:v>scenario</x:v>
      </x:c>
      <x:c r="D136" s="21" t="str">
        <x:v>scenario result 5 conservation</x:v>
      </x:c>
      <x:c r="E136" s="21" t="n">
        <x:f>IF(AND(ABS('Scenario Results'!I11-MIN('Scenario Results'!E11,'Scenario Results'!H11))&lt;0.000001,'Scenario Results'!I11&lt;='Scenario Results'!E11),1,0)</x:f>
        <x:v>1</x:v>
      </x:c>
      <x:c r="F136" s="21" t="n">
        <x:v>1</x:v>
      </x:c>
      <x:c r="G136" s="23" t="str">
        <x:f>IF(E136=F136,"PASS","FAIL")</x:f>
        <x:v>PASS</x:v>
      </x:c>
    </x:row>
    <x:row r="137">
      <x:c r="B137" s="21" t="str">
        <x:v>A00131</x:v>
      </x:c>
      <x:c r="C137" s="21" t="str">
        <x:v>scenario</x:v>
      </x:c>
      <x:c r="D137" s="21" t="str">
        <x:v>scenario result 5 state</x:v>
      </x:c>
      <x:c r="E137" s="21" t="n">
        <x:f>IF('Scenario Results'!K11=IF('Scenario Results'!J11&gt;=1,"ADEQUATE","GAP"),1,0)</x:f>
        <x:v>1</x:v>
      </x:c>
      <x:c r="F137" s="21" t="n">
        <x:v>1</x:v>
      </x:c>
      <x:c r="G137" s="23" t="str">
        <x:f>IF(E137=F137,"PASS","FAIL")</x:f>
        <x:v>PASS</x:v>
      </x:c>
    </x:row>
    <x:row r="138">
      <x:c r="B138" s="21" t="str">
        <x:v>A00132</x:v>
      </x:c>
      <x:c r="C138" s="21" t="str">
        <x:v>scenario</x:v>
      </x:c>
      <x:c r="D138" s="21" t="str">
        <x:v>scenario result 6 conservation</x:v>
      </x:c>
      <x:c r="E138" s="21" t="n">
        <x:f>IF(AND(ABS('Scenario Results'!I12-MIN('Scenario Results'!E12,'Scenario Results'!H12))&lt;0.000001,'Scenario Results'!I12&lt;='Scenario Results'!E12),1,0)</x:f>
        <x:v>1</x:v>
      </x:c>
      <x:c r="F138" s="21" t="n">
        <x:v>1</x:v>
      </x:c>
      <x:c r="G138" s="23" t="str">
        <x:f>IF(E138=F138,"PASS","FAIL")</x:f>
        <x:v>PASS</x:v>
      </x:c>
    </x:row>
    <x:row r="139">
      <x:c r="B139" s="21" t="str">
        <x:v>A00133</x:v>
      </x:c>
      <x:c r="C139" s="21" t="str">
        <x:v>scenario</x:v>
      </x:c>
      <x:c r="D139" s="21" t="str">
        <x:v>scenario result 6 state</x:v>
      </x:c>
      <x:c r="E139" s="21" t="n">
        <x:f>IF('Scenario Results'!K12=IF('Scenario Results'!J12&gt;=1,"ADEQUATE","GAP"),1,0)</x:f>
        <x:v>1</x:v>
      </x:c>
      <x:c r="F139" s="21" t="n">
        <x:v>1</x:v>
      </x:c>
      <x:c r="G139" s="23" t="str">
        <x:f>IF(E139=F139,"PASS","FAIL")</x:f>
        <x:v>PASS</x:v>
      </x:c>
    </x:row>
    <x:row r="140">
      <x:c r="B140" s="21" t="str">
        <x:v>A00134</x:v>
      </x:c>
      <x:c r="C140" s="21" t="str">
        <x:v>scenario</x:v>
      </x:c>
      <x:c r="D140" s="21" t="str">
        <x:v>scenario result 7 conservation</x:v>
      </x:c>
      <x:c r="E140" s="21" t="n">
        <x:f>IF(AND(ABS('Scenario Results'!I13-MIN('Scenario Results'!E13,'Scenario Results'!H13))&lt;0.000001,'Scenario Results'!I13&lt;='Scenario Results'!E13),1,0)</x:f>
        <x:v>1</x:v>
      </x:c>
      <x:c r="F140" s="21" t="n">
        <x:v>1</x:v>
      </x:c>
      <x:c r="G140" s="23" t="str">
        <x:f>IF(E140=F140,"PASS","FAIL")</x:f>
        <x:v>PASS</x:v>
      </x:c>
    </x:row>
    <x:row r="141">
      <x:c r="B141" s="21" t="str">
        <x:v>A00135</x:v>
      </x:c>
      <x:c r="C141" s="21" t="str">
        <x:v>scenario</x:v>
      </x:c>
      <x:c r="D141" s="21" t="str">
        <x:v>scenario result 7 state</x:v>
      </x:c>
      <x:c r="E141" s="21" t="n">
        <x:f>IF('Scenario Results'!K13=IF('Scenario Results'!J13&gt;=1,"ADEQUATE","GAP"),1,0)</x:f>
        <x:v>1</x:v>
      </x:c>
      <x:c r="F141" s="21" t="n">
        <x:v>1</x:v>
      </x:c>
      <x:c r="G141" s="23" t="str">
        <x:f>IF(E141=F141,"PASS","FAIL")</x:f>
        <x:v>PASS</x:v>
      </x:c>
    </x:row>
    <x:row r="142">
      <x:c r="B142" s="21" t="str">
        <x:v>A00136</x:v>
      </x:c>
      <x:c r="C142" s="21" t="str">
        <x:v>scenario</x:v>
      </x:c>
      <x:c r="D142" s="21" t="str">
        <x:v>scenario result 8 conservation</x:v>
      </x:c>
      <x:c r="E142" s="21" t="n">
        <x:f>IF(AND(ABS('Scenario Results'!I14-MIN('Scenario Results'!E14,'Scenario Results'!H14))&lt;0.000001,'Scenario Results'!I14&lt;='Scenario Results'!E14),1,0)</x:f>
        <x:v>1</x:v>
      </x:c>
      <x:c r="F142" s="21" t="n">
        <x:v>1</x:v>
      </x:c>
      <x:c r="G142" s="23" t="str">
        <x:f>IF(E142=F142,"PASS","FAIL")</x:f>
        <x:v>PASS</x:v>
      </x:c>
    </x:row>
    <x:row r="143">
      <x:c r="B143" s="21" t="str">
        <x:v>A00137</x:v>
      </x:c>
      <x:c r="C143" s="21" t="str">
        <x:v>scenario</x:v>
      </x:c>
      <x:c r="D143" s="21" t="str">
        <x:v>scenario result 8 state</x:v>
      </x:c>
      <x:c r="E143" s="21" t="n">
        <x:f>IF('Scenario Results'!K14=IF('Scenario Results'!J14&gt;=1,"ADEQUATE","GAP"),1,0)</x:f>
        <x:v>1</x:v>
      </x:c>
      <x:c r="F143" s="21" t="n">
        <x:v>1</x:v>
      </x:c>
      <x:c r="G143" s="23" t="str">
        <x:f>IF(E143=F143,"PASS","FAIL")</x:f>
        <x:v>PASS</x:v>
      </x:c>
    </x:row>
    <x:row r="144">
      <x:c r="B144" s="21" t="str">
        <x:v>A00138</x:v>
      </x:c>
      <x:c r="C144" s="21" t="str">
        <x:v>scenario</x:v>
      </x:c>
      <x:c r="D144" s="21" t="str">
        <x:v>scenario result 9 conservation</x:v>
      </x:c>
      <x:c r="E144" s="21" t="n">
        <x:f>IF(AND(ABS('Scenario Results'!I15-MIN('Scenario Results'!E15,'Scenario Results'!H15))&lt;0.000001,'Scenario Results'!I15&lt;='Scenario Results'!E15),1,0)</x:f>
        <x:v>1</x:v>
      </x:c>
      <x:c r="F144" s="21" t="n">
        <x:v>1</x:v>
      </x:c>
      <x:c r="G144" s="23" t="str">
        <x:f>IF(E144=F144,"PASS","FAIL")</x:f>
        <x:v>PASS</x:v>
      </x:c>
    </x:row>
    <x:row r="145">
      <x:c r="B145" s="21" t="str">
        <x:v>A00139</x:v>
      </x:c>
      <x:c r="C145" s="21" t="str">
        <x:v>scenario</x:v>
      </x:c>
      <x:c r="D145" s="21" t="str">
        <x:v>scenario result 9 state</x:v>
      </x:c>
      <x:c r="E145" s="21" t="n">
        <x:f>IF('Scenario Results'!K15=IF('Scenario Results'!J15&gt;=1,"ADEQUATE","GAP"),1,0)</x:f>
        <x:v>1</x:v>
      </x:c>
      <x:c r="F145" s="21" t="n">
        <x:v>1</x:v>
      </x:c>
      <x:c r="G145" s="23" t="str">
        <x:f>IF(E145=F145,"PASS","FAIL")</x:f>
        <x:v>PASS</x:v>
      </x:c>
    </x:row>
    <x:row r="146">
      <x:c r="B146" s="21" t="str">
        <x:v>A00140</x:v>
      </x:c>
      <x:c r="C146" s="21" t="str">
        <x:v>scenario</x:v>
      </x:c>
      <x:c r="D146" s="21" t="str">
        <x:v>scenario result 10 conservation</x:v>
      </x:c>
      <x:c r="E146" s="21" t="n">
        <x:f>IF(AND(ABS('Scenario Results'!I16-MIN('Scenario Results'!E16,'Scenario Results'!H16))&lt;0.000001,'Scenario Results'!I16&lt;='Scenario Results'!E16),1,0)</x:f>
        <x:v>1</x:v>
      </x:c>
      <x:c r="F146" s="21" t="n">
        <x:v>1</x:v>
      </x:c>
      <x:c r="G146" s="23" t="str">
        <x:f>IF(E146=F146,"PASS","FAIL")</x:f>
        <x:v>PASS</x:v>
      </x:c>
    </x:row>
    <x:row r="147">
      <x:c r="B147" s="21" t="str">
        <x:v>A00141</x:v>
      </x:c>
      <x:c r="C147" s="21" t="str">
        <x:v>scenario</x:v>
      </x:c>
      <x:c r="D147" s="21" t="str">
        <x:v>scenario result 10 state</x:v>
      </x:c>
      <x:c r="E147" s="21" t="n">
        <x:f>IF('Scenario Results'!K16=IF('Scenario Results'!J16&gt;=1,"ADEQUATE","GAP"),1,0)</x:f>
        <x:v>1</x:v>
      </x:c>
      <x:c r="F147" s="21" t="n">
        <x:v>1</x:v>
      </x:c>
      <x:c r="G147" s="23" t="str">
        <x:f>IF(E147=F147,"PASS","FAIL")</x:f>
        <x:v>PASS</x:v>
      </x:c>
    </x:row>
    <x:row r="148">
      <x:c r="B148" s="21" t="str">
        <x:v>A00142</x:v>
      </x:c>
      <x:c r="C148" s="21" t="str">
        <x:v>scenario</x:v>
      </x:c>
      <x:c r="D148" s="21" t="str">
        <x:v>scenario result 11 conservation</x:v>
      </x:c>
      <x:c r="E148" s="21" t="n">
        <x:f>IF(AND(ABS('Scenario Results'!I17-MIN('Scenario Results'!E17,'Scenario Results'!H17))&lt;0.000001,'Scenario Results'!I17&lt;='Scenario Results'!E17),1,0)</x:f>
        <x:v>1</x:v>
      </x:c>
      <x:c r="F148" s="21" t="n">
        <x:v>1</x:v>
      </x:c>
      <x:c r="G148" s="23" t="str">
        <x:f>IF(E148=F148,"PASS","FAIL")</x:f>
        <x:v>PASS</x:v>
      </x:c>
    </x:row>
    <x:row r="149">
      <x:c r="B149" s="21" t="str">
        <x:v>A00143</x:v>
      </x:c>
      <x:c r="C149" s="21" t="str">
        <x:v>scenario</x:v>
      </x:c>
      <x:c r="D149" s="21" t="str">
        <x:v>scenario result 11 state</x:v>
      </x:c>
      <x:c r="E149" s="21" t="n">
        <x:f>IF('Scenario Results'!K17=IF('Scenario Results'!J17&gt;=1,"ADEQUATE","GAP"),1,0)</x:f>
        <x:v>1</x:v>
      </x:c>
      <x:c r="F149" s="21" t="n">
        <x:v>1</x:v>
      </x:c>
      <x:c r="G149" s="23" t="str">
        <x:f>IF(E149=F149,"PASS","FAIL")</x:f>
        <x:v>PASS</x:v>
      </x:c>
    </x:row>
    <x:row r="150">
      <x:c r="B150" s="21" t="str">
        <x:v>A00144</x:v>
      </x:c>
      <x:c r="C150" s="21" t="str">
        <x:v>scenario</x:v>
      </x:c>
      <x:c r="D150" s="21" t="str">
        <x:v>scenario result 12 conservation</x:v>
      </x:c>
      <x:c r="E150" s="21" t="n">
        <x:f>IF(AND(ABS('Scenario Results'!I18-MIN('Scenario Results'!E18,'Scenario Results'!H18))&lt;0.000001,'Scenario Results'!I18&lt;='Scenario Results'!E18),1,0)</x:f>
        <x:v>1</x:v>
      </x:c>
      <x:c r="F150" s="21" t="n">
        <x:v>1</x:v>
      </x:c>
      <x:c r="G150" s="23" t="str">
        <x:f>IF(E150=F150,"PASS","FAIL")</x:f>
        <x:v>PASS</x:v>
      </x:c>
    </x:row>
    <x:row r="151">
      <x:c r="B151" s="21" t="str">
        <x:v>A00145</x:v>
      </x:c>
      <x:c r="C151" s="21" t="str">
        <x:v>scenario</x:v>
      </x:c>
      <x:c r="D151" s="21" t="str">
        <x:v>scenario result 12 state</x:v>
      </x:c>
      <x:c r="E151" s="21" t="n">
        <x:f>IF('Scenario Results'!K18=IF('Scenario Results'!J18&gt;=1,"ADEQUATE","GAP"),1,0)</x:f>
        <x:v>1</x:v>
      </x:c>
      <x:c r="F151" s="21" t="n">
        <x:v>1</x:v>
      </x:c>
      <x:c r="G151" s="23" t="str">
        <x:f>IF(E151=F151,"PASS","FAIL")</x:f>
        <x:v>PASS</x:v>
      </x:c>
    </x:row>
    <x:row r="152">
      <x:c r="B152" s="21" t="str">
        <x:v>A00146</x:v>
      </x:c>
      <x:c r="C152" s="21" t="str">
        <x:v>scenario</x:v>
      </x:c>
      <x:c r="D152" s="21" t="str">
        <x:v>scenario result 13 conservation</x:v>
      </x:c>
      <x:c r="E152" s="21" t="n">
        <x:f>IF(AND(ABS('Scenario Results'!I19-MIN('Scenario Results'!E19,'Scenario Results'!H19))&lt;0.000001,'Scenario Results'!I19&lt;='Scenario Results'!E19),1,0)</x:f>
        <x:v>1</x:v>
      </x:c>
      <x:c r="F152" s="21" t="n">
        <x:v>1</x:v>
      </x:c>
      <x:c r="G152" s="23" t="str">
        <x:f>IF(E152=F152,"PASS","FAIL")</x:f>
        <x:v>PASS</x:v>
      </x:c>
    </x:row>
    <x:row r="153">
      <x:c r="B153" s="21" t="str">
        <x:v>A00147</x:v>
      </x:c>
      <x:c r="C153" s="21" t="str">
        <x:v>scenario</x:v>
      </x:c>
      <x:c r="D153" s="21" t="str">
        <x:v>scenario result 13 state</x:v>
      </x:c>
      <x:c r="E153" s="21" t="n">
        <x:f>IF('Scenario Results'!K19=IF('Scenario Results'!J19&gt;=1,"ADEQUATE","GAP"),1,0)</x:f>
        <x:v>1</x:v>
      </x:c>
      <x:c r="F153" s="21" t="n">
        <x:v>1</x:v>
      </x:c>
      <x:c r="G153" s="23" t="str">
        <x:f>IF(E153=F153,"PASS","FAIL")</x:f>
        <x:v>PASS</x:v>
      </x:c>
    </x:row>
    <x:row r="154">
      <x:c r="B154" s="21" t="str">
        <x:v>A00148</x:v>
      </x:c>
      <x:c r="C154" s="21" t="str">
        <x:v>scenario</x:v>
      </x:c>
      <x:c r="D154" s="21" t="str">
        <x:v>scenario result 14 conservation</x:v>
      </x:c>
      <x:c r="E154" s="21" t="n">
        <x:f>IF(AND(ABS('Scenario Results'!I20-MIN('Scenario Results'!E20,'Scenario Results'!H20))&lt;0.000001,'Scenario Results'!I20&lt;='Scenario Results'!E20),1,0)</x:f>
        <x:v>1</x:v>
      </x:c>
      <x:c r="F154" s="21" t="n">
        <x:v>1</x:v>
      </x:c>
      <x:c r="G154" s="23" t="str">
        <x:f>IF(E154=F154,"PASS","FAIL")</x:f>
        <x:v>PASS</x:v>
      </x:c>
    </x:row>
    <x:row r="155">
      <x:c r="B155" s="21" t="str">
        <x:v>A00149</x:v>
      </x:c>
      <x:c r="C155" s="21" t="str">
        <x:v>scenario</x:v>
      </x:c>
      <x:c r="D155" s="21" t="str">
        <x:v>scenario result 14 state</x:v>
      </x:c>
      <x:c r="E155" s="21" t="n">
        <x:f>IF('Scenario Results'!K20=IF('Scenario Results'!J20&gt;=1,"ADEQUATE","GAP"),1,0)</x:f>
        <x:v>1</x:v>
      </x:c>
      <x:c r="F155" s="21" t="n">
        <x:v>1</x:v>
      </x:c>
      <x:c r="G155" s="23" t="str">
        <x:f>IF(E155=F155,"PASS","FAIL")</x:f>
        <x:v>PASS</x:v>
      </x:c>
    </x:row>
    <x:row r="156">
      <x:c r="B156" s="21" t="str">
        <x:v>A00150</x:v>
      </x:c>
      <x:c r="C156" s="21" t="str">
        <x:v>scenario</x:v>
      </x:c>
      <x:c r="D156" s="21" t="str">
        <x:v>scenario result 15 conservation</x:v>
      </x:c>
      <x:c r="E156" s="21" t="n">
        <x:f>IF(AND(ABS('Scenario Results'!I21-MIN('Scenario Results'!E21,'Scenario Results'!H21))&lt;0.000001,'Scenario Results'!I21&lt;='Scenario Results'!E21),1,0)</x:f>
        <x:v>1</x:v>
      </x:c>
      <x:c r="F156" s="21" t="n">
        <x:v>1</x:v>
      </x:c>
      <x:c r="G156" s="23" t="str">
        <x:f>IF(E156=F156,"PASS","FAIL")</x:f>
        <x:v>PASS</x:v>
      </x:c>
    </x:row>
    <x:row r="157">
      <x:c r="B157" s="21" t="str">
        <x:v>A00151</x:v>
      </x:c>
      <x:c r="C157" s="21" t="str">
        <x:v>scenario</x:v>
      </x:c>
      <x:c r="D157" s="21" t="str">
        <x:v>scenario result 15 state</x:v>
      </x:c>
      <x:c r="E157" s="21" t="n">
        <x:f>IF('Scenario Results'!K21=IF('Scenario Results'!J21&gt;=1,"ADEQUATE","GAP"),1,0)</x:f>
        <x:v>1</x:v>
      </x:c>
      <x:c r="F157" s="21" t="n">
        <x:v>1</x:v>
      </x:c>
      <x:c r="G157" s="23" t="str">
        <x:f>IF(E157=F157,"PASS","FAIL")</x:f>
        <x:v>PASS</x:v>
      </x:c>
    </x:row>
    <x:row r="158">
      <x:c r="B158" s="21" t="str">
        <x:v>A00152</x:v>
      </x:c>
      <x:c r="C158" s="21" t="str">
        <x:v>scenario</x:v>
      </x:c>
      <x:c r="D158" s="21" t="str">
        <x:v>scenario result 16 conservation</x:v>
      </x:c>
      <x:c r="E158" s="21" t="n">
        <x:f>IF(AND(ABS('Scenario Results'!I22-MIN('Scenario Results'!E22,'Scenario Results'!H22))&lt;0.000001,'Scenario Results'!I22&lt;='Scenario Results'!E22),1,0)</x:f>
        <x:v>1</x:v>
      </x:c>
      <x:c r="F158" s="21" t="n">
        <x:v>1</x:v>
      </x:c>
      <x:c r="G158" s="23" t="str">
        <x:f>IF(E158=F158,"PASS","FAIL")</x:f>
        <x:v>PASS</x:v>
      </x:c>
    </x:row>
    <x:row r="159">
      <x:c r="B159" s="21" t="str">
        <x:v>A00153</x:v>
      </x:c>
      <x:c r="C159" s="21" t="str">
        <x:v>scenario</x:v>
      </x:c>
      <x:c r="D159" s="21" t="str">
        <x:v>scenario result 16 state</x:v>
      </x:c>
      <x:c r="E159" s="21" t="n">
        <x:f>IF('Scenario Results'!K22=IF('Scenario Results'!J22&gt;=1,"ADEQUATE","GAP"),1,0)</x:f>
        <x:v>1</x:v>
      </x:c>
      <x:c r="F159" s="21" t="n">
        <x:v>1</x:v>
      </x:c>
      <x:c r="G159" s="23" t="str">
        <x:f>IF(E159=F159,"PASS","FAIL")</x:f>
        <x:v>PASS</x:v>
      </x:c>
    </x:row>
    <x:row r="160">
      <x:c r="B160" s="21" t="str">
        <x:v>A00154</x:v>
      </x:c>
      <x:c r="C160" s="21" t="str">
        <x:v>scenario</x:v>
      </x:c>
      <x:c r="D160" s="21" t="str">
        <x:v>scenario result 17 conservation</x:v>
      </x:c>
      <x:c r="E160" s="21" t="n">
        <x:f>IF(AND(ABS('Scenario Results'!I23-MIN('Scenario Results'!E23,'Scenario Results'!H23))&lt;0.000001,'Scenario Results'!I23&lt;='Scenario Results'!E23),1,0)</x:f>
        <x:v>1</x:v>
      </x:c>
      <x:c r="F160" s="21" t="n">
        <x:v>1</x:v>
      </x:c>
      <x:c r="G160" s="23" t="str">
        <x:f>IF(E160=F160,"PASS","FAIL")</x:f>
        <x:v>PASS</x:v>
      </x:c>
    </x:row>
    <x:row r="161">
      <x:c r="B161" s="21" t="str">
        <x:v>A00155</x:v>
      </x:c>
      <x:c r="C161" s="21" t="str">
        <x:v>scenario</x:v>
      </x:c>
      <x:c r="D161" s="21" t="str">
        <x:v>scenario result 17 state</x:v>
      </x:c>
      <x:c r="E161" s="21" t="n">
        <x:f>IF('Scenario Results'!K23=IF('Scenario Results'!J23&gt;=1,"ADEQUATE","GAP"),1,0)</x:f>
        <x:v>1</x:v>
      </x:c>
      <x:c r="F161" s="21" t="n">
        <x:v>1</x:v>
      </x:c>
      <x:c r="G161" s="23" t="str">
        <x:f>IF(E161=F161,"PASS","FAIL")</x:f>
        <x:v>PASS</x:v>
      </x:c>
    </x:row>
    <x:row r="162">
      <x:c r="B162" s="21" t="str">
        <x:v>A00156</x:v>
      </x:c>
      <x:c r="C162" s="21" t="str">
        <x:v>scenario</x:v>
      </x:c>
      <x:c r="D162" s="21" t="str">
        <x:v>scenario result 18 conservation</x:v>
      </x:c>
      <x:c r="E162" s="21" t="n">
        <x:f>IF(AND(ABS('Scenario Results'!I24-MIN('Scenario Results'!E24,'Scenario Results'!H24))&lt;0.000001,'Scenario Results'!I24&lt;='Scenario Results'!E24),1,0)</x:f>
        <x:v>1</x:v>
      </x:c>
      <x:c r="F162" s="21" t="n">
        <x:v>1</x:v>
      </x:c>
      <x:c r="G162" s="23" t="str">
        <x:f>IF(E162=F162,"PASS","FAIL")</x:f>
        <x:v>PASS</x:v>
      </x:c>
    </x:row>
    <x:row r="163">
      <x:c r="B163" s="21" t="str">
        <x:v>A00157</x:v>
      </x:c>
      <x:c r="C163" s="21" t="str">
        <x:v>scenario</x:v>
      </x:c>
      <x:c r="D163" s="21" t="str">
        <x:v>scenario result 18 state</x:v>
      </x:c>
      <x:c r="E163" s="21" t="n">
        <x:f>IF('Scenario Results'!K24=IF('Scenario Results'!J24&gt;=1,"ADEQUATE","GAP"),1,0)</x:f>
        <x:v>1</x:v>
      </x:c>
      <x:c r="F163" s="21" t="n">
        <x:v>1</x:v>
      </x:c>
      <x:c r="G163" s="23" t="str">
        <x:f>IF(E163=F163,"PASS","FAIL")</x:f>
        <x:v>PASS</x:v>
      </x:c>
    </x:row>
    <x:row r="164">
      <x:c r="B164" s="21" t="str">
        <x:v>A00158</x:v>
      </x:c>
      <x:c r="C164" s="21" t="str">
        <x:v>scenario</x:v>
      </x:c>
      <x:c r="D164" s="21" t="str">
        <x:v>scenario result 19 conservation</x:v>
      </x:c>
      <x:c r="E164" s="21" t="n">
        <x:f>IF(AND(ABS('Scenario Results'!I25-MIN('Scenario Results'!E25,'Scenario Results'!H25))&lt;0.000001,'Scenario Results'!I25&lt;='Scenario Results'!E25),1,0)</x:f>
        <x:v>1</x:v>
      </x:c>
      <x:c r="F164" s="21" t="n">
        <x:v>1</x:v>
      </x:c>
      <x:c r="G164" s="23" t="str">
        <x:f>IF(E164=F164,"PASS","FAIL")</x:f>
        <x:v>PASS</x:v>
      </x:c>
    </x:row>
    <x:row r="165">
      <x:c r="B165" s="21" t="str">
        <x:v>A00159</x:v>
      </x:c>
      <x:c r="C165" s="21" t="str">
        <x:v>scenario</x:v>
      </x:c>
      <x:c r="D165" s="21" t="str">
        <x:v>scenario result 19 state</x:v>
      </x:c>
      <x:c r="E165" s="21" t="n">
        <x:f>IF('Scenario Results'!K25=IF('Scenario Results'!J25&gt;=1,"ADEQUATE","GAP"),1,0)</x:f>
        <x:v>1</x:v>
      </x:c>
      <x:c r="F165" s="21" t="n">
        <x:v>1</x:v>
      </x:c>
      <x:c r="G165" s="23" t="str">
        <x:f>IF(E165=F165,"PASS","FAIL")</x:f>
        <x:v>PASS</x:v>
      </x:c>
    </x:row>
    <x:row r="166">
      <x:c r="B166" s="21" t="str">
        <x:v>A00160</x:v>
      </x:c>
      <x:c r="C166" s="21" t="str">
        <x:v>scenario</x:v>
      </x:c>
      <x:c r="D166" s="21" t="str">
        <x:v>scenario result 20 conservation</x:v>
      </x:c>
      <x:c r="E166" s="21" t="n">
        <x:f>IF(AND(ABS('Scenario Results'!I26-MIN('Scenario Results'!E26,'Scenario Results'!H26))&lt;0.000001,'Scenario Results'!I26&lt;='Scenario Results'!E26),1,0)</x:f>
        <x:v>1</x:v>
      </x:c>
      <x:c r="F166" s="21" t="n">
        <x:v>1</x:v>
      </x:c>
      <x:c r="G166" s="23" t="str">
        <x:f>IF(E166=F166,"PASS","FAIL")</x:f>
        <x:v>PASS</x:v>
      </x:c>
    </x:row>
    <x:row r="167">
      <x:c r="B167" s="21" t="str">
        <x:v>A00161</x:v>
      </x:c>
      <x:c r="C167" s="21" t="str">
        <x:v>scenario</x:v>
      </x:c>
      <x:c r="D167" s="21" t="str">
        <x:v>scenario result 20 state</x:v>
      </x:c>
      <x:c r="E167" s="21" t="n">
        <x:f>IF('Scenario Results'!K26=IF('Scenario Results'!J26&gt;=1,"ADEQUATE","GAP"),1,0)</x:f>
        <x:v>1</x:v>
      </x:c>
      <x:c r="F167" s="21" t="n">
        <x:v>1</x:v>
      </x:c>
      <x:c r="G167" s="23" t="str">
        <x:f>IF(E167=F167,"PASS","FAIL")</x:f>
        <x:v>PASS</x:v>
      </x:c>
    </x:row>
    <x:row r="168">
      <x:c r="B168" s="21" t="str">
        <x:v>A00162</x:v>
      </x:c>
      <x:c r="C168" s="21" t="str">
        <x:v>scenario</x:v>
      </x:c>
      <x:c r="D168" s="21" t="str">
        <x:v>scenario result 21 conservation</x:v>
      </x:c>
      <x:c r="E168" s="21" t="n">
        <x:f>IF(AND(ABS('Scenario Results'!I27-MIN('Scenario Results'!E27,'Scenario Results'!H27))&lt;0.000001,'Scenario Results'!I27&lt;='Scenario Results'!E27),1,0)</x:f>
        <x:v>1</x:v>
      </x:c>
      <x:c r="F168" s="21" t="n">
        <x:v>1</x:v>
      </x:c>
      <x:c r="G168" s="23" t="str">
        <x:f>IF(E168=F168,"PASS","FAIL")</x:f>
        <x:v>PASS</x:v>
      </x:c>
    </x:row>
    <x:row r="169">
      <x:c r="B169" s="21" t="str">
        <x:v>A00163</x:v>
      </x:c>
      <x:c r="C169" s="21" t="str">
        <x:v>scenario</x:v>
      </x:c>
      <x:c r="D169" s="21" t="str">
        <x:v>scenario result 21 state</x:v>
      </x:c>
      <x:c r="E169" s="21" t="n">
        <x:f>IF('Scenario Results'!K27=IF('Scenario Results'!J27&gt;=1,"ADEQUATE","GAP"),1,0)</x:f>
        <x:v>1</x:v>
      </x:c>
      <x:c r="F169" s="21" t="n">
        <x:v>1</x:v>
      </x:c>
      <x:c r="G169" s="23" t="str">
        <x:f>IF(E169=F169,"PASS","FAIL")</x:f>
        <x:v>PASS</x:v>
      </x:c>
    </x:row>
    <x:row r="170">
      <x:c r="B170" s="21" t="str">
        <x:v>A00164</x:v>
      </x:c>
      <x:c r="C170" s="21" t="str">
        <x:v>scenario</x:v>
      </x:c>
      <x:c r="D170" s="21" t="str">
        <x:v>scenario result 22 conservation</x:v>
      </x:c>
      <x:c r="E170" s="21" t="n">
        <x:f>IF(AND(ABS('Scenario Results'!I28-MIN('Scenario Results'!E28,'Scenario Results'!H28))&lt;0.000001,'Scenario Results'!I28&lt;='Scenario Results'!E28),1,0)</x:f>
        <x:v>1</x:v>
      </x:c>
      <x:c r="F170" s="21" t="n">
        <x:v>1</x:v>
      </x:c>
      <x:c r="G170" s="23" t="str">
        <x:f>IF(E170=F170,"PASS","FAIL")</x:f>
        <x:v>PASS</x:v>
      </x:c>
    </x:row>
    <x:row r="171">
      <x:c r="B171" s="21" t="str">
        <x:v>A00165</x:v>
      </x:c>
      <x:c r="C171" s="21" t="str">
        <x:v>scenario</x:v>
      </x:c>
      <x:c r="D171" s="21" t="str">
        <x:v>scenario result 22 state</x:v>
      </x:c>
      <x:c r="E171" s="21" t="n">
        <x:f>IF('Scenario Results'!K28=IF('Scenario Results'!J28&gt;=1,"ADEQUATE","GAP"),1,0)</x:f>
        <x:v>1</x:v>
      </x:c>
      <x:c r="F171" s="21" t="n">
        <x:v>1</x:v>
      </x:c>
      <x:c r="G171" s="23" t="str">
        <x:f>IF(E171=F171,"PASS","FAIL")</x:f>
        <x:v>PASS</x:v>
      </x:c>
    </x:row>
    <x:row r="172">
      <x:c r="B172" s="21" t="str">
        <x:v>A00166</x:v>
      </x:c>
      <x:c r="C172" s="21" t="str">
        <x:v>scenario</x:v>
      </x:c>
      <x:c r="D172" s="21" t="str">
        <x:v>scenario result 23 conservation</x:v>
      </x:c>
      <x:c r="E172" s="21" t="n">
        <x:f>IF(AND(ABS('Scenario Results'!I29-MIN('Scenario Results'!E29,'Scenario Results'!H29))&lt;0.000001,'Scenario Results'!I29&lt;='Scenario Results'!E29),1,0)</x:f>
        <x:v>1</x:v>
      </x:c>
      <x:c r="F172" s="21" t="n">
        <x:v>1</x:v>
      </x:c>
      <x:c r="G172" s="23" t="str">
        <x:f>IF(E172=F172,"PASS","FAIL")</x:f>
        <x:v>PASS</x:v>
      </x:c>
    </x:row>
    <x:row r="173">
      <x:c r="B173" s="21" t="str">
        <x:v>A00167</x:v>
      </x:c>
      <x:c r="C173" s="21" t="str">
        <x:v>scenario</x:v>
      </x:c>
      <x:c r="D173" s="21" t="str">
        <x:v>scenario result 23 state</x:v>
      </x:c>
      <x:c r="E173" s="21" t="n">
        <x:f>IF('Scenario Results'!K29=IF('Scenario Results'!J29&gt;=1,"ADEQUATE","GAP"),1,0)</x:f>
        <x:v>1</x:v>
      </x:c>
      <x:c r="F173" s="21" t="n">
        <x:v>1</x:v>
      </x:c>
      <x:c r="G173" s="23" t="str">
        <x:f>IF(E173=F173,"PASS","FAIL")</x:f>
        <x:v>PASS</x:v>
      </x:c>
    </x:row>
    <x:row r="174">
      <x:c r="B174" s="21" t="str">
        <x:v>A00168</x:v>
      </x:c>
      <x:c r="C174" s="21" t="str">
        <x:v>scenario</x:v>
      </x:c>
      <x:c r="D174" s="21" t="str">
        <x:v>scenario result 24 conservation</x:v>
      </x:c>
      <x:c r="E174" s="21" t="n">
        <x:f>IF(AND(ABS('Scenario Results'!I30-MIN('Scenario Results'!E30,'Scenario Results'!H30))&lt;0.000001,'Scenario Results'!I30&lt;='Scenario Results'!E30),1,0)</x:f>
        <x:v>1</x:v>
      </x:c>
      <x:c r="F174" s="21" t="n">
        <x:v>1</x:v>
      </x:c>
      <x:c r="G174" s="23" t="str">
        <x:f>IF(E174=F174,"PASS","FAIL")</x:f>
        <x:v>PASS</x:v>
      </x:c>
    </x:row>
    <x:row r="175">
      <x:c r="B175" s="21" t="str">
        <x:v>A00169</x:v>
      </x:c>
      <x:c r="C175" s="21" t="str">
        <x:v>scenario</x:v>
      </x:c>
      <x:c r="D175" s="21" t="str">
        <x:v>scenario result 24 state</x:v>
      </x:c>
      <x:c r="E175" s="21" t="n">
        <x:f>IF('Scenario Results'!K30=IF('Scenario Results'!J30&gt;=1,"ADEQUATE","GAP"),1,0)</x:f>
        <x:v>1</x:v>
      </x:c>
      <x:c r="F175" s="21" t="n">
        <x:v>1</x:v>
      </x:c>
      <x:c r="G175" s="23" t="str">
        <x:f>IF(E175=F175,"PASS","FAIL")</x:f>
        <x:v>PASS</x:v>
      </x:c>
    </x:row>
    <x:row r="176">
      <x:c r="B176" s="21" t="str">
        <x:v>A00170</x:v>
      </x:c>
      <x:c r="C176" s="21" t="str">
        <x:v>scenario</x:v>
      </x:c>
      <x:c r="D176" s="21" t="str">
        <x:v>scenario result 25 conservation</x:v>
      </x:c>
      <x:c r="E176" s="21" t="n">
        <x:f>IF(AND(ABS('Scenario Results'!I31-MIN('Scenario Results'!E31,'Scenario Results'!H31))&lt;0.000001,'Scenario Results'!I31&lt;='Scenario Results'!E31),1,0)</x:f>
        <x:v>1</x:v>
      </x:c>
      <x:c r="F176" s="21" t="n">
        <x:v>1</x:v>
      </x:c>
      <x:c r="G176" s="23" t="str">
        <x:f>IF(E176=F176,"PASS","FAIL")</x:f>
        <x:v>PASS</x:v>
      </x:c>
    </x:row>
    <x:row r="177">
      <x:c r="B177" s="21" t="str">
        <x:v>A00171</x:v>
      </x:c>
      <x:c r="C177" s="21" t="str">
        <x:v>scenario</x:v>
      </x:c>
      <x:c r="D177" s="21" t="str">
        <x:v>scenario result 25 state</x:v>
      </x:c>
      <x:c r="E177" s="21" t="n">
        <x:f>IF('Scenario Results'!K31=IF('Scenario Results'!J31&gt;=1,"ADEQUATE","GAP"),1,0)</x:f>
        <x:v>1</x:v>
      </x:c>
      <x:c r="F177" s="21" t="n">
        <x:v>1</x:v>
      </x:c>
      <x:c r="G177" s="23" t="str">
        <x:f>IF(E177=F177,"PASS","FAIL")</x:f>
        <x:v>PASS</x:v>
      </x:c>
    </x:row>
    <x:row r="178">
      <x:c r="B178" s="21" t="str">
        <x:v>A00172</x:v>
      </x:c>
      <x:c r="C178" s="21" t="str">
        <x:v>scenario</x:v>
      </x:c>
      <x:c r="D178" s="21" t="str">
        <x:v>scenario result 26 conservation</x:v>
      </x:c>
      <x:c r="E178" s="21" t="n">
        <x:f>IF(AND(ABS('Scenario Results'!I32-MIN('Scenario Results'!E32,'Scenario Results'!H32))&lt;0.000001,'Scenario Results'!I32&lt;='Scenario Results'!E32),1,0)</x:f>
        <x:v>1</x:v>
      </x:c>
      <x:c r="F178" s="21" t="n">
        <x:v>1</x:v>
      </x:c>
      <x:c r="G178" s="23" t="str">
        <x:f>IF(E178=F178,"PASS","FAIL")</x:f>
        <x:v>PASS</x:v>
      </x:c>
    </x:row>
    <x:row r="179">
      <x:c r="B179" s="21" t="str">
        <x:v>A00173</x:v>
      </x:c>
      <x:c r="C179" s="21" t="str">
        <x:v>scenario</x:v>
      </x:c>
      <x:c r="D179" s="21" t="str">
        <x:v>scenario result 26 state</x:v>
      </x:c>
      <x:c r="E179" s="21" t="n">
        <x:f>IF('Scenario Results'!K32=IF('Scenario Results'!J32&gt;=1,"ADEQUATE","GAP"),1,0)</x:f>
        <x:v>1</x:v>
      </x:c>
      <x:c r="F179" s="21" t="n">
        <x:v>1</x:v>
      </x:c>
      <x:c r="G179" s="23" t="str">
        <x:f>IF(E179=F179,"PASS","FAIL")</x:f>
        <x:v>PASS</x:v>
      </x:c>
    </x:row>
    <x:row r="180">
      <x:c r="B180" s="21" t="str">
        <x:v>A00174</x:v>
      </x:c>
      <x:c r="C180" s="21" t="str">
        <x:v>scenario</x:v>
      </x:c>
      <x:c r="D180" s="21" t="str">
        <x:v>scenario result 27 conservation</x:v>
      </x:c>
      <x:c r="E180" s="21" t="n">
        <x:f>IF(AND(ABS('Scenario Results'!I33-MIN('Scenario Results'!E33,'Scenario Results'!H33))&lt;0.000001,'Scenario Results'!I33&lt;='Scenario Results'!E33),1,0)</x:f>
        <x:v>1</x:v>
      </x:c>
      <x:c r="F180" s="21" t="n">
        <x:v>1</x:v>
      </x:c>
      <x:c r="G180" s="23" t="str">
        <x:f>IF(E180=F180,"PASS","FAIL")</x:f>
        <x:v>PASS</x:v>
      </x:c>
    </x:row>
    <x:row r="181">
      <x:c r="B181" s="21" t="str">
        <x:v>A00175</x:v>
      </x:c>
      <x:c r="C181" s="21" t="str">
        <x:v>scenario</x:v>
      </x:c>
      <x:c r="D181" s="21" t="str">
        <x:v>scenario result 27 state</x:v>
      </x:c>
      <x:c r="E181" s="21" t="n">
        <x:f>IF('Scenario Results'!K33=IF('Scenario Results'!J33&gt;=1,"ADEQUATE","GAP"),1,0)</x:f>
        <x:v>1</x:v>
      </x:c>
      <x:c r="F181" s="21" t="n">
        <x:v>1</x:v>
      </x:c>
      <x:c r="G181" s="23" t="str">
        <x:f>IF(E181=F181,"PASS","FAIL")</x:f>
        <x:v>PASS</x:v>
      </x:c>
    </x:row>
    <x:row r="182">
      <x:c r="B182" s="21" t="str">
        <x:v>A00176</x:v>
      </x:c>
      <x:c r="C182" s="21" t="str">
        <x:v>scenario</x:v>
      </x:c>
      <x:c r="D182" s="21" t="str">
        <x:v>scenario result 28 conservation</x:v>
      </x:c>
      <x:c r="E182" s="21" t="n">
        <x:f>IF(AND(ABS('Scenario Results'!I34-MIN('Scenario Results'!E34,'Scenario Results'!H34))&lt;0.000001,'Scenario Results'!I34&lt;='Scenario Results'!E34),1,0)</x:f>
        <x:v>1</x:v>
      </x:c>
      <x:c r="F182" s="21" t="n">
        <x:v>1</x:v>
      </x:c>
      <x:c r="G182" s="23" t="str">
        <x:f>IF(E182=F182,"PASS","FAIL")</x:f>
        <x:v>PASS</x:v>
      </x:c>
    </x:row>
    <x:row r="183">
      <x:c r="B183" s="21" t="str">
        <x:v>A00177</x:v>
      </x:c>
      <x:c r="C183" s="21" t="str">
        <x:v>scenario</x:v>
      </x:c>
      <x:c r="D183" s="21" t="str">
        <x:v>scenario result 28 state</x:v>
      </x:c>
      <x:c r="E183" s="21" t="n">
        <x:f>IF('Scenario Results'!K34=IF('Scenario Results'!J34&gt;=1,"ADEQUATE","GAP"),1,0)</x:f>
        <x:v>1</x:v>
      </x:c>
      <x:c r="F183" s="21" t="n">
        <x:v>1</x:v>
      </x:c>
      <x:c r="G183" s="23" t="str">
        <x:f>IF(E183=F183,"PASS","FAIL")</x:f>
        <x:v>PASS</x:v>
      </x:c>
    </x:row>
    <x:row r="184">
      <x:c r="B184" s="21" t="str">
        <x:v>A00178</x:v>
      </x:c>
      <x:c r="C184" s="21" t="str">
        <x:v>scenario</x:v>
      </x:c>
      <x:c r="D184" s="21" t="str">
        <x:v>scenario result 29 conservation</x:v>
      </x:c>
      <x:c r="E184" s="21" t="n">
        <x:f>IF(AND(ABS('Scenario Results'!I35-MIN('Scenario Results'!E35,'Scenario Results'!H35))&lt;0.000001,'Scenario Results'!I35&lt;='Scenario Results'!E35),1,0)</x:f>
        <x:v>1</x:v>
      </x:c>
      <x:c r="F184" s="21" t="n">
        <x:v>1</x:v>
      </x:c>
      <x:c r="G184" s="23" t="str">
        <x:f>IF(E184=F184,"PASS","FAIL")</x:f>
        <x:v>PASS</x:v>
      </x:c>
    </x:row>
    <x:row r="185">
      <x:c r="B185" s="21" t="str">
        <x:v>A00179</x:v>
      </x:c>
      <x:c r="C185" s="21" t="str">
        <x:v>scenario</x:v>
      </x:c>
      <x:c r="D185" s="21" t="str">
        <x:v>scenario result 29 state</x:v>
      </x:c>
      <x:c r="E185" s="21" t="n">
        <x:f>IF('Scenario Results'!K35=IF('Scenario Results'!J35&gt;=1,"ADEQUATE","GAP"),1,0)</x:f>
        <x:v>1</x:v>
      </x:c>
      <x:c r="F185" s="21" t="n">
        <x:v>1</x:v>
      </x:c>
      <x:c r="G185" s="23" t="str">
        <x:f>IF(E185=F185,"PASS","FAIL")</x:f>
        <x:v>PASS</x:v>
      </x:c>
    </x:row>
    <x:row r="186">
      <x:c r="B186" s="21" t="str">
        <x:v>A00180</x:v>
      </x:c>
      <x:c r="C186" s="21" t="str">
        <x:v>scenario</x:v>
      </x:c>
      <x:c r="D186" s="21" t="str">
        <x:v>scenario result 30 conservation</x:v>
      </x:c>
      <x:c r="E186" s="21" t="n">
        <x:f>IF(AND(ABS('Scenario Results'!I36-MIN('Scenario Results'!E36,'Scenario Results'!H36))&lt;0.000001,'Scenario Results'!I36&lt;='Scenario Results'!E36),1,0)</x:f>
        <x:v>1</x:v>
      </x:c>
      <x:c r="F186" s="21" t="n">
        <x:v>1</x:v>
      </x:c>
      <x:c r="G186" s="23" t="str">
        <x:f>IF(E186=F186,"PASS","FAIL")</x:f>
        <x:v>PASS</x:v>
      </x:c>
    </x:row>
    <x:row r="187">
      <x:c r="B187" s="21" t="str">
        <x:v>A00181</x:v>
      </x:c>
      <x:c r="C187" s="21" t="str">
        <x:v>scenario</x:v>
      </x:c>
      <x:c r="D187" s="21" t="str">
        <x:v>scenario result 30 state</x:v>
      </x:c>
      <x:c r="E187" s="21" t="n">
        <x:f>IF('Scenario Results'!K36=IF('Scenario Results'!J36&gt;=1,"ADEQUATE","GAP"),1,0)</x:f>
        <x:v>1</x:v>
      </x:c>
      <x:c r="F187" s="21" t="n">
        <x:v>1</x:v>
      </x:c>
      <x:c r="G187" s="23" t="str">
        <x:f>IF(E187=F187,"PASS","FAIL")</x:f>
        <x:v>PASS</x:v>
      </x:c>
    </x:row>
    <x:row r="188">
      <x:c r="B188" s="21" t="str">
        <x:v>A00182</x:v>
      </x:c>
      <x:c r="C188" s="21" t="str">
        <x:v>scenario</x:v>
      </x:c>
      <x:c r="D188" s="21" t="str">
        <x:v>scenario result 31 conservation</x:v>
      </x:c>
      <x:c r="E188" s="21" t="n">
        <x:f>IF(AND(ABS('Scenario Results'!I37-MIN('Scenario Results'!E37,'Scenario Results'!H37))&lt;0.000001,'Scenario Results'!I37&lt;='Scenario Results'!E37),1,0)</x:f>
        <x:v>1</x:v>
      </x:c>
      <x:c r="F188" s="21" t="n">
        <x:v>1</x:v>
      </x:c>
      <x:c r="G188" s="23" t="str">
        <x:f>IF(E188=F188,"PASS","FAIL")</x:f>
        <x:v>PASS</x:v>
      </x:c>
    </x:row>
    <x:row r="189">
      <x:c r="B189" s="21" t="str">
        <x:v>A00183</x:v>
      </x:c>
      <x:c r="C189" s="21" t="str">
        <x:v>scenario</x:v>
      </x:c>
      <x:c r="D189" s="21" t="str">
        <x:v>scenario result 31 state</x:v>
      </x:c>
      <x:c r="E189" s="21" t="n">
        <x:f>IF('Scenario Results'!K37=IF('Scenario Results'!J37&gt;=1,"ADEQUATE","GAP"),1,0)</x:f>
        <x:v>1</x:v>
      </x:c>
      <x:c r="F189" s="21" t="n">
        <x:v>1</x:v>
      </x:c>
      <x:c r="G189" s="23" t="str">
        <x:f>IF(E189=F189,"PASS","FAIL")</x:f>
        <x:v>PASS</x:v>
      </x:c>
    </x:row>
    <x:row r="190">
      <x:c r="B190" s="21" t="str">
        <x:v>A00184</x:v>
      </x:c>
      <x:c r="C190" s="21" t="str">
        <x:v>scenario</x:v>
      </x:c>
      <x:c r="D190" s="21" t="str">
        <x:v>scenario result 32 conservation</x:v>
      </x:c>
      <x:c r="E190" s="21" t="n">
        <x:f>IF(AND(ABS('Scenario Results'!I38-MIN('Scenario Results'!E38,'Scenario Results'!H38))&lt;0.000001,'Scenario Results'!I38&lt;='Scenario Results'!E38),1,0)</x:f>
        <x:v>1</x:v>
      </x:c>
      <x:c r="F190" s="21" t="n">
        <x:v>1</x:v>
      </x:c>
      <x:c r="G190" s="23" t="str">
        <x:f>IF(E190=F190,"PASS","FAIL")</x:f>
        <x:v>PASS</x:v>
      </x:c>
    </x:row>
    <x:row r="191">
      <x:c r="B191" s="21" t="str">
        <x:v>A00185</x:v>
      </x:c>
      <x:c r="C191" s="21" t="str">
        <x:v>scenario</x:v>
      </x:c>
      <x:c r="D191" s="21" t="str">
        <x:v>scenario result 32 state</x:v>
      </x:c>
      <x:c r="E191" s="21" t="n">
        <x:f>IF('Scenario Results'!K38=IF('Scenario Results'!J38&gt;=1,"ADEQUATE","GAP"),1,0)</x:f>
        <x:v>1</x:v>
      </x:c>
      <x:c r="F191" s="21" t="n">
        <x:v>1</x:v>
      </x:c>
      <x:c r="G191" s="23" t="str">
        <x:f>IF(E191=F191,"PASS","FAIL")</x:f>
        <x:v>PASS</x:v>
      </x:c>
    </x:row>
    <x:row r="192">
      <x:c r="B192" s="21" t="str">
        <x:v>A00186</x:v>
      </x:c>
      <x:c r="C192" s="21" t="str">
        <x:v>scenario</x:v>
      </x:c>
      <x:c r="D192" s="21" t="str">
        <x:v>scenario result 33 conservation</x:v>
      </x:c>
      <x:c r="E192" s="21" t="n">
        <x:f>IF(AND(ABS('Scenario Results'!I39-MIN('Scenario Results'!E39,'Scenario Results'!H39))&lt;0.000001,'Scenario Results'!I39&lt;='Scenario Results'!E39),1,0)</x:f>
        <x:v>1</x:v>
      </x:c>
      <x:c r="F192" s="21" t="n">
        <x:v>1</x:v>
      </x:c>
      <x:c r="G192" s="23" t="str">
        <x:f>IF(E192=F192,"PASS","FAIL")</x:f>
        <x:v>PASS</x:v>
      </x:c>
    </x:row>
    <x:row r="193">
      <x:c r="B193" s="21" t="str">
        <x:v>A00187</x:v>
      </x:c>
      <x:c r="C193" s="21" t="str">
        <x:v>scenario</x:v>
      </x:c>
      <x:c r="D193" s="21" t="str">
        <x:v>scenario result 33 state</x:v>
      </x:c>
      <x:c r="E193" s="21" t="n">
        <x:f>IF('Scenario Results'!K39=IF('Scenario Results'!J39&gt;=1,"ADEQUATE","GAP"),1,0)</x:f>
        <x:v>1</x:v>
      </x:c>
      <x:c r="F193" s="21" t="n">
        <x:v>1</x:v>
      </x:c>
      <x:c r="G193" s="23" t="str">
        <x:f>IF(E193=F193,"PASS","FAIL")</x:f>
        <x:v>PASS</x:v>
      </x:c>
    </x:row>
    <x:row r="194">
      <x:c r="B194" s="21" t="str">
        <x:v>A00188</x:v>
      </x:c>
      <x:c r="C194" s="21" t="str">
        <x:v>scenario</x:v>
      </x:c>
      <x:c r="D194" s="21" t="str">
        <x:v>scenario result 34 conservation</x:v>
      </x:c>
      <x:c r="E194" s="21" t="n">
        <x:f>IF(AND(ABS('Scenario Results'!I40-MIN('Scenario Results'!E40,'Scenario Results'!H40))&lt;0.000001,'Scenario Results'!I40&lt;='Scenario Results'!E40),1,0)</x:f>
        <x:v>1</x:v>
      </x:c>
      <x:c r="F194" s="21" t="n">
        <x:v>1</x:v>
      </x:c>
      <x:c r="G194" s="23" t="str">
        <x:f>IF(E194=F194,"PASS","FAIL")</x:f>
        <x:v>PASS</x:v>
      </x:c>
    </x:row>
    <x:row r="195">
      <x:c r="B195" s="21" t="str">
        <x:v>A00189</x:v>
      </x:c>
      <x:c r="C195" s="21" t="str">
        <x:v>scenario</x:v>
      </x:c>
      <x:c r="D195" s="21" t="str">
        <x:v>scenario result 34 state</x:v>
      </x:c>
      <x:c r="E195" s="21" t="n">
        <x:f>IF('Scenario Results'!K40=IF('Scenario Results'!J40&gt;=1,"ADEQUATE","GAP"),1,0)</x:f>
        <x:v>1</x:v>
      </x:c>
      <x:c r="F195" s="21" t="n">
        <x:v>1</x:v>
      </x:c>
      <x:c r="G195" s="23" t="str">
        <x:f>IF(E195=F195,"PASS","FAIL")</x:f>
        <x:v>PASS</x:v>
      </x:c>
    </x:row>
    <x:row r="196">
      <x:c r="B196" s="21" t="str">
        <x:v>A00190</x:v>
      </x:c>
      <x:c r="C196" s="21" t="str">
        <x:v>scenario</x:v>
      </x:c>
      <x:c r="D196" s="21" t="str">
        <x:v>scenario result 35 conservation</x:v>
      </x:c>
      <x:c r="E196" s="21" t="n">
        <x:f>IF(AND(ABS('Scenario Results'!I41-MIN('Scenario Results'!E41,'Scenario Results'!H41))&lt;0.000001,'Scenario Results'!I41&lt;='Scenario Results'!E41),1,0)</x:f>
        <x:v>1</x:v>
      </x:c>
      <x:c r="F196" s="21" t="n">
        <x:v>1</x:v>
      </x:c>
      <x:c r="G196" s="23" t="str">
        <x:f>IF(E196=F196,"PASS","FAIL")</x:f>
        <x:v>PASS</x:v>
      </x:c>
    </x:row>
    <x:row r="197">
      <x:c r="B197" s="21" t="str">
        <x:v>A00191</x:v>
      </x:c>
      <x:c r="C197" s="21" t="str">
        <x:v>scenario</x:v>
      </x:c>
      <x:c r="D197" s="21" t="str">
        <x:v>scenario result 35 state</x:v>
      </x:c>
      <x:c r="E197" s="21" t="n">
        <x:f>IF('Scenario Results'!K41=IF('Scenario Results'!J41&gt;=1,"ADEQUATE","GAP"),1,0)</x:f>
        <x:v>1</x:v>
      </x:c>
      <x:c r="F197" s="21" t="n">
        <x:v>1</x:v>
      </x:c>
      <x:c r="G197" s="23" t="str">
        <x:f>IF(E197=F197,"PASS","FAIL")</x:f>
        <x:v>PASS</x:v>
      </x:c>
    </x:row>
    <x:row r="198">
      <x:c r="B198" s="21" t="str">
        <x:v>A00192</x:v>
      </x:c>
      <x:c r="C198" s="21" t="str">
        <x:v>scenario</x:v>
      </x:c>
      <x:c r="D198" s="21" t="str">
        <x:v>scenario result 36 conservation</x:v>
      </x:c>
      <x:c r="E198" s="21" t="n">
        <x:f>IF(AND(ABS('Scenario Results'!I42-MIN('Scenario Results'!E42,'Scenario Results'!H42))&lt;0.000001,'Scenario Results'!I42&lt;='Scenario Results'!E42),1,0)</x:f>
        <x:v>1</x:v>
      </x:c>
      <x:c r="F198" s="21" t="n">
        <x:v>1</x:v>
      </x:c>
      <x:c r="G198" s="23" t="str">
        <x:f>IF(E198=F198,"PASS","FAIL")</x:f>
        <x:v>PASS</x:v>
      </x:c>
    </x:row>
    <x:row r="199">
      <x:c r="B199" s="21" t="str">
        <x:v>A00193</x:v>
      </x:c>
      <x:c r="C199" s="21" t="str">
        <x:v>scenario</x:v>
      </x:c>
      <x:c r="D199" s="21" t="str">
        <x:v>scenario result 36 state</x:v>
      </x:c>
      <x:c r="E199" s="21" t="n">
        <x:f>IF('Scenario Results'!K42=IF('Scenario Results'!J42&gt;=1,"ADEQUATE","GAP"),1,0)</x:f>
        <x:v>1</x:v>
      </x:c>
      <x:c r="F199" s="21" t="n">
        <x:v>1</x:v>
      </x:c>
      <x:c r="G199" s="23" t="str">
        <x:f>IF(E199=F199,"PASS","FAIL")</x:f>
        <x:v>PASS</x:v>
      </x:c>
    </x:row>
    <x:row r="200">
      <x:c r="B200" s="21" t="str">
        <x:v>A00194</x:v>
      </x:c>
      <x:c r="C200" s="21" t="str">
        <x:v>scenario</x:v>
      </x:c>
      <x:c r="D200" s="21" t="str">
        <x:v>scenario result 37 conservation</x:v>
      </x:c>
      <x:c r="E200" s="21" t="n">
        <x:f>IF(AND(ABS('Scenario Results'!I43-MIN('Scenario Results'!E43,'Scenario Results'!H43))&lt;0.000001,'Scenario Results'!I43&lt;='Scenario Results'!E43),1,0)</x:f>
        <x:v>1</x:v>
      </x:c>
      <x:c r="F200" s="21" t="n">
        <x:v>1</x:v>
      </x:c>
      <x:c r="G200" s="23" t="str">
        <x:f>IF(E200=F200,"PASS","FAIL")</x:f>
        <x:v>PASS</x:v>
      </x:c>
    </x:row>
    <x:row r="201">
      <x:c r="B201" s="21" t="str">
        <x:v>A00195</x:v>
      </x:c>
      <x:c r="C201" s="21" t="str">
        <x:v>scenario</x:v>
      </x:c>
      <x:c r="D201" s="21" t="str">
        <x:v>scenario result 37 state</x:v>
      </x:c>
      <x:c r="E201" s="21" t="n">
        <x:f>IF('Scenario Results'!K43=IF('Scenario Results'!J43&gt;=1,"ADEQUATE","GAP"),1,0)</x:f>
        <x:v>1</x:v>
      </x:c>
      <x:c r="F201" s="21" t="n">
        <x:v>1</x:v>
      </x:c>
      <x:c r="G201" s="23" t="str">
        <x:f>IF(E201=F201,"PASS","FAIL")</x:f>
        <x:v>PASS</x:v>
      </x:c>
    </x:row>
    <x:row r="202">
      <x:c r="B202" s="21" t="str">
        <x:v>A00196</x:v>
      </x:c>
      <x:c r="C202" s="21" t="str">
        <x:v>scenario</x:v>
      </x:c>
      <x:c r="D202" s="21" t="str">
        <x:v>scenario result 38 conservation</x:v>
      </x:c>
      <x:c r="E202" s="21" t="n">
        <x:f>IF(AND(ABS('Scenario Results'!I44-MIN('Scenario Results'!E44,'Scenario Results'!H44))&lt;0.000001,'Scenario Results'!I44&lt;='Scenario Results'!E44),1,0)</x:f>
        <x:v>1</x:v>
      </x:c>
      <x:c r="F202" s="21" t="n">
        <x:v>1</x:v>
      </x:c>
      <x:c r="G202" s="23" t="str">
        <x:f>IF(E202=F202,"PASS","FAIL")</x:f>
        <x:v>PASS</x:v>
      </x:c>
    </x:row>
    <x:row r="203">
      <x:c r="B203" s="21" t="str">
        <x:v>A00197</x:v>
      </x:c>
      <x:c r="C203" s="21" t="str">
        <x:v>scenario</x:v>
      </x:c>
      <x:c r="D203" s="21" t="str">
        <x:v>scenario result 38 state</x:v>
      </x:c>
      <x:c r="E203" s="21" t="n">
        <x:f>IF('Scenario Results'!K44=IF('Scenario Results'!J44&gt;=1,"ADEQUATE","GAP"),1,0)</x:f>
        <x:v>1</x:v>
      </x:c>
      <x:c r="F203" s="21" t="n">
        <x:v>1</x:v>
      </x:c>
      <x:c r="G203" s="23" t="str">
        <x:f>IF(E203=F203,"PASS","FAIL")</x:f>
        <x:v>PASS</x:v>
      </x:c>
    </x:row>
    <x:row r="204">
      <x:c r="B204" s="21" t="str">
        <x:v>A00198</x:v>
      </x:c>
      <x:c r="C204" s="21" t="str">
        <x:v>scenario</x:v>
      </x:c>
      <x:c r="D204" s="21" t="str">
        <x:v>scenario result 39 conservation</x:v>
      </x:c>
      <x:c r="E204" s="21" t="n">
        <x:f>IF(AND(ABS('Scenario Results'!I45-MIN('Scenario Results'!E45,'Scenario Results'!H45))&lt;0.000001,'Scenario Results'!I45&lt;='Scenario Results'!E45),1,0)</x:f>
        <x:v>1</x:v>
      </x:c>
      <x:c r="F204" s="21" t="n">
        <x:v>1</x:v>
      </x:c>
      <x:c r="G204" s="23" t="str">
        <x:f>IF(E204=F204,"PASS","FAIL")</x:f>
        <x:v>PASS</x:v>
      </x:c>
    </x:row>
    <x:row r="205">
      <x:c r="B205" s="21" t="str">
        <x:v>A00199</x:v>
      </x:c>
      <x:c r="C205" s="21" t="str">
        <x:v>scenario</x:v>
      </x:c>
      <x:c r="D205" s="21" t="str">
        <x:v>scenario result 39 state</x:v>
      </x:c>
      <x:c r="E205" s="21" t="n">
        <x:f>IF('Scenario Results'!K45=IF('Scenario Results'!J45&gt;=1,"ADEQUATE","GAP"),1,0)</x:f>
        <x:v>1</x:v>
      </x:c>
      <x:c r="F205" s="21" t="n">
        <x:v>1</x:v>
      </x:c>
      <x:c r="G205" s="23" t="str">
        <x:f>IF(E205=F205,"PASS","FAIL")</x:f>
        <x:v>PASS</x:v>
      </x:c>
    </x:row>
    <x:row r="206">
      <x:c r="B206" s="21" t="str">
        <x:v>A00200</x:v>
      </x:c>
      <x:c r="C206" s="21" t="str">
        <x:v>scenario</x:v>
      </x:c>
      <x:c r="D206" s="21" t="str">
        <x:v>scenario result 40 conservation</x:v>
      </x:c>
      <x:c r="E206" s="21" t="n">
        <x:f>IF(AND(ABS('Scenario Results'!I46-MIN('Scenario Results'!E46,'Scenario Results'!H46))&lt;0.000001,'Scenario Results'!I46&lt;='Scenario Results'!E46),1,0)</x:f>
        <x:v>1</x:v>
      </x:c>
      <x:c r="F206" s="21" t="n">
        <x:v>1</x:v>
      </x:c>
      <x:c r="G206" s="23" t="str">
        <x:f>IF(E206=F206,"PASS","FAIL")</x:f>
        <x:v>PASS</x:v>
      </x:c>
    </x:row>
    <x:row r="207">
      <x:c r="B207" s="21" t="str">
        <x:v>A00201</x:v>
      </x:c>
      <x:c r="C207" s="21" t="str">
        <x:v>scenario</x:v>
      </x:c>
      <x:c r="D207" s="21" t="str">
        <x:v>scenario result 40 state</x:v>
      </x:c>
      <x:c r="E207" s="21" t="n">
        <x:f>IF('Scenario Results'!K46=IF('Scenario Results'!J46&gt;=1,"ADEQUATE","GAP"),1,0)</x:f>
        <x:v>1</x:v>
      </x:c>
      <x:c r="F207" s="21" t="n">
        <x:v>1</x:v>
      </x:c>
      <x:c r="G207" s="23" t="str">
        <x:f>IF(E207=F207,"PASS","FAIL")</x:f>
        <x:v>PASS</x:v>
      </x:c>
    </x:row>
    <x:row r="208">
      <x:c r="B208" s="21" t="str">
        <x:v>A00202</x:v>
      </x:c>
      <x:c r="C208" s="21" t="str">
        <x:v>scenario</x:v>
      </x:c>
      <x:c r="D208" s="21" t="str">
        <x:v>scenario result 41 conservation</x:v>
      </x:c>
      <x:c r="E208" s="21" t="n">
        <x:f>IF(AND(ABS('Scenario Results'!I47-MIN('Scenario Results'!E47,'Scenario Results'!H47))&lt;0.000001,'Scenario Results'!I47&lt;='Scenario Results'!E47),1,0)</x:f>
        <x:v>1</x:v>
      </x:c>
      <x:c r="F208" s="21" t="n">
        <x:v>1</x:v>
      </x:c>
      <x:c r="G208" s="23" t="str">
        <x:f>IF(E208=F208,"PASS","FAIL")</x:f>
        <x:v>PASS</x:v>
      </x:c>
    </x:row>
    <x:row r="209">
      <x:c r="B209" s="21" t="str">
        <x:v>A00203</x:v>
      </x:c>
      <x:c r="C209" s="21" t="str">
        <x:v>scenario</x:v>
      </x:c>
      <x:c r="D209" s="21" t="str">
        <x:v>scenario result 41 state</x:v>
      </x:c>
      <x:c r="E209" s="21" t="n">
        <x:f>IF('Scenario Results'!K47=IF('Scenario Results'!J47&gt;=1,"ADEQUATE","GAP"),1,0)</x:f>
        <x:v>1</x:v>
      </x:c>
      <x:c r="F209" s="21" t="n">
        <x:v>1</x:v>
      </x:c>
      <x:c r="G209" s="23" t="str">
        <x:f>IF(E209=F209,"PASS","FAIL")</x:f>
        <x:v>PASS</x:v>
      </x:c>
    </x:row>
    <x:row r="210">
      <x:c r="B210" s="21" t="str">
        <x:v>A00204</x:v>
      </x:c>
      <x:c r="C210" s="21" t="str">
        <x:v>scenario</x:v>
      </x:c>
      <x:c r="D210" s="21" t="str">
        <x:v>scenario result 42 conservation</x:v>
      </x:c>
      <x:c r="E210" s="21" t="n">
        <x:f>IF(AND(ABS('Scenario Results'!I48-MIN('Scenario Results'!E48,'Scenario Results'!H48))&lt;0.000001,'Scenario Results'!I48&lt;='Scenario Results'!E48),1,0)</x:f>
        <x:v>1</x:v>
      </x:c>
      <x:c r="F210" s="21" t="n">
        <x:v>1</x:v>
      </x:c>
      <x:c r="G210" s="23" t="str">
        <x:f>IF(E210=F210,"PASS","FAIL")</x:f>
        <x:v>PASS</x:v>
      </x:c>
    </x:row>
    <x:row r="211">
      <x:c r="B211" s="21" t="str">
        <x:v>A00205</x:v>
      </x:c>
      <x:c r="C211" s="21" t="str">
        <x:v>scenario</x:v>
      </x:c>
      <x:c r="D211" s="21" t="str">
        <x:v>scenario result 42 state</x:v>
      </x:c>
      <x:c r="E211" s="21" t="n">
        <x:f>IF('Scenario Results'!K48=IF('Scenario Results'!J48&gt;=1,"ADEQUATE","GAP"),1,0)</x:f>
        <x:v>1</x:v>
      </x:c>
      <x:c r="F211" s="21" t="n">
        <x:v>1</x:v>
      </x:c>
      <x:c r="G211" s="23" t="str">
        <x:f>IF(E211=F211,"PASS","FAIL")</x:f>
        <x:v>PASS</x:v>
      </x:c>
    </x:row>
    <x:row r="212">
      <x:c r="B212" s="21" t="str">
        <x:v>A00206</x:v>
      </x:c>
      <x:c r="C212" s="21" t="str">
        <x:v>scenario</x:v>
      </x:c>
      <x:c r="D212" s="21" t="str">
        <x:v>scenario result 43 conservation</x:v>
      </x:c>
      <x:c r="E212" s="21" t="n">
        <x:f>IF(AND(ABS('Scenario Results'!I49-MIN('Scenario Results'!E49,'Scenario Results'!H49))&lt;0.000001,'Scenario Results'!I49&lt;='Scenario Results'!E49),1,0)</x:f>
        <x:v>1</x:v>
      </x:c>
      <x:c r="F212" s="21" t="n">
        <x:v>1</x:v>
      </x:c>
      <x:c r="G212" s="23" t="str">
        <x:f>IF(E212=F212,"PASS","FAIL")</x:f>
        <x:v>PASS</x:v>
      </x:c>
    </x:row>
    <x:row r="213">
      <x:c r="B213" s="21" t="str">
        <x:v>A00207</x:v>
      </x:c>
      <x:c r="C213" s="21" t="str">
        <x:v>scenario</x:v>
      </x:c>
      <x:c r="D213" s="21" t="str">
        <x:v>scenario result 43 state</x:v>
      </x:c>
      <x:c r="E213" s="21" t="n">
        <x:f>IF('Scenario Results'!K49=IF('Scenario Results'!J49&gt;=1,"ADEQUATE","GAP"),1,0)</x:f>
        <x:v>1</x:v>
      </x:c>
      <x:c r="F213" s="21" t="n">
        <x:v>1</x:v>
      </x:c>
      <x:c r="G213" s="23" t="str">
        <x:f>IF(E213=F213,"PASS","FAIL")</x:f>
        <x:v>PASS</x:v>
      </x:c>
    </x:row>
    <x:row r="214">
      <x:c r="B214" s="21" t="str">
        <x:v>A00208</x:v>
      </x:c>
      <x:c r="C214" s="21" t="str">
        <x:v>scenario</x:v>
      </x:c>
      <x:c r="D214" s="21" t="str">
        <x:v>scenario result 44 conservation</x:v>
      </x:c>
      <x:c r="E214" s="21" t="n">
        <x:f>IF(AND(ABS('Scenario Results'!I50-MIN('Scenario Results'!E50,'Scenario Results'!H50))&lt;0.000001,'Scenario Results'!I50&lt;='Scenario Results'!E50),1,0)</x:f>
        <x:v>1</x:v>
      </x:c>
      <x:c r="F214" s="21" t="n">
        <x:v>1</x:v>
      </x:c>
      <x:c r="G214" s="23" t="str">
        <x:f>IF(E214=F214,"PASS","FAIL")</x:f>
        <x:v>PASS</x:v>
      </x:c>
    </x:row>
    <x:row r="215">
      <x:c r="B215" s="21" t="str">
        <x:v>A00209</x:v>
      </x:c>
      <x:c r="C215" s="21" t="str">
        <x:v>scenario</x:v>
      </x:c>
      <x:c r="D215" s="21" t="str">
        <x:v>scenario result 44 state</x:v>
      </x:c>
      <x:c r="E215" s="21" t="n">
        <x:f>IF('Scenario Results'!K50=IF('Scenario Results'!J50&gt;=1,"ADEQUATE","GAP"),1,0)</x:f>
        <x:v>1</x:v>
      </x:c>
      <x:c r="F215" s="21" t="n">
        <x:v>1</x:v>
      </x:c>
      <x:c r="G215" s="23" t="str">
        <x:f>IF(E215=F215,"PASS","FAIL")</x:f>
        <x:v>PASS</x:v>
      </x:c>
    </x:row>
    <x:row r="216">
      <x:c r="B216" s="21" t="str">
        <x:v>A00210</x:v>
      </x:c>
      <x:c r="C216" s="21" t="str">
        <x:v>scenario</x:v>
      </x:c>
      <x:c r="D216" s="21" t="str">
        <x:v>scenario result 45 conservation</x:v>
      </x:c>
      <x:c r="E216" s="21" t="n">
        <x:f>IF(AND(ABS('Scenario Results'!I51-MIN('Scenario Results'!E51,'Scenario Results'!H51))&lt;0.000001,'Scenario Results'!I51&lt;='Scenario Results'!E51),1,0)</x:f>
        <x:v>1</x:v>
      </x:c>
      <x:c r="F216" s="21" t="n">
        <x:v>1</x:v>
      </x:c>
      <x:c r="G216" s="23" t="str">
        <x:f>IF(E216=F216,"PASS","FAIL")</x:f>
        <x:v>PASS</x:v>
      </x:c>
    </x:row>
    <x:row r="217">
      <x:c r="B217" s="21" t="str">
        <x:v>A00211</x:v>
      </x:c>
      <x:c r="C217" s="21" t="str">
        <x:v>scenario</x:v>
      </x:c>
      <x:c r="D217" s="21" t="str">
        <x:v>scenario result 45 state</x:v>
      </x:c>
      <x:c r="E217" s="21" t="n">
        <x:f>IF('Scenario Results'!K51=IF('Scenario Results'!J51&gt;=1,"ADEQUATE","GAP"),1,0)</x:f>
        <x:v>1</x:v>
      </x:c>
      <x:c r="F217" s="21" t="n">
        <x:v>1</x:v>
      </x:c>
      <x:c r="G217" s="23" t="str">
        <x:f>IF(E217=F217,"PASS","FAIL")</x:f>
        <x:v>PASS</x:v>
      </x:c>
    </x:row>
    <x:row r="218">
      <x:c r="B218" s="21" t="str">
        <x:v>A00212</x:v>
      </x:c>
      <x:c r="C218" s="21" t="str">
        <x:v>scenario</x:v>
      </x:c>
      <x:c r="D218" s="21" t="str">
        <x:v>scenario result 46 conservation</x:v>
      </x:c>
      <x:c r="E218" s="21" t="n">
        <x:f>IF(AND(ABS('Scenario Results'!I52-MIN('Scenario Results'!E52,'Scenario Results'!H52))&lt;0.000001,'Scenario Results'!I52&lt;='Scenario Results'!E52),1,0)</x:f>
        <x:v>1</x:v>
      </x:c>
      <x:c r="F218" s="21" t="n">
        <x:v>1</x:v>
      </x:c>
      <x:c r="G218" s="23" t="str">
        <x:f>IF(E218=F218,"PASS","FAIL")</x:f>
        <x:v>PASS</x:v>
      </x:c>
    </x:row>
    <x:row r="219">
      <x:c r="B219" s="21" t="str">
        <x:v>A00213</x:v>
      </x:c>
      <x:c r="C219" s="21" t="str">
        <x:v>scenario</x:v>
      </x:c>
      <x:c r="D219" s="21" t="str">
        <x:v>scenario result 46 state</x:v>
      </x:c>
      <x:c r="E219" s="21" t="n">
        <x:f>IF('Scenario Results'!K52=IF('Scenario Results'!J52&gt;=1,"ADEQUATE","GAP"),1,0)</x:f>
        <x:v>1</x:v>
      </x:c>
      <x:c r="F219" s="21" t="n">
        <x:v>1</x:v>
      </x:c>
      <x:c r="G219" s="23" t="str">
        <x:f>IF(E219=F219,"PASS","FAIL")</x:f>
        <x:v>PASS</x:v>
      </x:c>
    </x:row>
    <x:row r="220">
      <x:c r="B220" s="21" t="str">
        <x:v>A00214</x:v>
      </x:c>
      <x:c r="C220" s="21" t="str">
        <x:v>scenario</x:v>
      </x:c>
      <x:c r="D220" s="21" t="str">
        <x:v>scenario result 47 conservation</x:v>
      </x:c>
      <x:c r="E220" s="21" t="n">
        <x:f>IF(AND(ABS('Scenario Results'!I53-MIN('Scenario Results'!E53,'Scenario Results'!H53))&lt;0.000001,'Scenario Results'!I53&lt;='Scenario Results'!E53),1,0)</x:f>
        <x:v>1</x:v>
      </x:c>
      <x:c r="F220" s="21" t="n">
        <x:v>1</x:v>
      </x:c>
      <x:c r="G220" s="23" t="str">
        <x:f>IF(E220=F220,"PASS","FAIL")</x:f>
        <x:v>PASS</x:v>
      </x:c>
    </x:row>
    <x:row r="221">
      <x:c r="B221" s="21" t="str">
        <x:v>A00215</x:v>
      </x:c>
      <x:c r="C221" s="21" t="str">
        <x:v>scenario</x:v>
      </x:c>
      <x:c r="D221" s="21" t="str">
        <x:v>scenario result 47 state</x:v>
      </x:c>
      <x:c r="E221" s="21" t="n">
        <x:f>IF('Scenario Results'!K53=IF('Scenario Results'!J53&gt;=1,"ADEQUATE","GAP"),1,0)</x:f>
        <x:v>1</x:v>
      </x:c>
      <x:c r="F221" s="21" t="n">
        <x:v>1</x:v>
      </x:c>
      <x:c r="G221" s="23" t="str">
        <x:f>IF(E221=F221,"PASS","FAIL")</x:f>
        <x:v>PASS</x:v>
      </x:c>
    </x:row>
    <x:row r="222">
      <x:c r="B222" s="21" t="str">
        <x:v>A00216</x:v>
      </x:c>
      <x:c r="C222" s="21" t="str">
        <x:v>scenario</x:v>
      </x:c>
      <x:c r="D222" s="21" t="str">
        <x:v>scenario result 48 conservation</x:v>
      </x:c>
      <x:c r="E222" s="21" t="n">
        <x:f>IF(AND(ABS('Scenario Results'!I54-MIN('Scenario Results'!E54,'Scenario Results'!H54))&lt;0.000001,'Scenario Results'!I54&lt;='Scenario Results'!E54),1,0)</x:f>
        <x:v>1</x:v>
      </x:c>
      <x:c r="F222" s="21" t="n">
        <x:v>1</x:v>
      </x:c>
      <x:c r="G222" s="23" t="str">
        <x:f>IF(E222=F222,"PASS","FAIL")</x:f>
        <x:v>PASS</x:v>
      </x:c>
    </x:row>
    <x:row r="223">
      <x:c r="B223" s="21" t="str">
        <x:v>A00217</x:v>
      </x:c>
      <x:c r="C223" s="21" t="str">
        <x:v>scenario</x:v>
      </x:c>
      <x:c r="D223" s="21" t="str">
        <x:v>scenario result 48 state</x:v>
      </x:c>
      <x:c r="E223" s="21" t="n">
        <x:f>IF('Scenario Results'!K54=IF('Scenario Results'!J54&gt;=1,"ADEQUATE","GAP"),1,0)</x:f>
        <x:v>1</x:v>
      </x:c>
      <x:c r="F223" s="21" t="n">
        <x:v>1</x:v>
      </x:c>
      <x:c r="G223" s="23" t="str">
        <x:f>IF(E223=F223,"PASS","FAIL")</x:f>
        <x:v>PASS</x:v>
      </x:c>
    </x:row>
    <x:row r="224">
      <x:c r="B224" s="21" t="str">
        <x:v>A00218</x:v>
      </x:c>
      <x:c r="C224" s="21" t="str">
        <x:v>scenario</x:v>
      </x:c>
      <x:c r="D224" s="21" t="str">
        <x:v>scenario result 49 conservation</x:v>
      </x:c>
      <x:c r="E224" s="21" t="n">
        <x:f>IF(AND(ABS('Scenario Results'!I55-MIN('Scenario Results'!E55,'Scenario Results'!H55))&lt;0.000001,'Scenario Results'!I55&lt;='Scenario Results'!E55),1,0)</x:f>
        <x:v>1</x:v>
      </x:c>
      <x:c r="F224" s="21" t="n">
        <x:v>1</x:v>
      </x:c>
      <x:c r="G224" s="23" t="str">
        <x:f>IF(E224=F224,"PASS","FAIL")</x:f>
        <x:v>PASS</x:v>
      </x:c>
    </x:row>
    <x:row r="225">
      <x:c r="B225" s="21" t="str">
        <x:v>A00219</x:v>
      </x:c>
      <x:c r="C225" s="21" t="str">
        <x:v>scenario</x:v>
      </x:c>
      <x:c r="D225" s="21" t="str">
        <x:v>scenario result 49 state</x:v>
      </x:c>
      <x:c r="E225" s="21" t="n">
        <x:f>IF('Scenario Results'!K55=IF('Scenario Results'!J55&gt;=1,"ADEQUATE","GAP"),1,0)</x:f>
        <x:v>1</x:v>
      </x:c>
      <x:c r="F225" s="21" t="n">
        <x:v>1</x:v>
      </x:c>
      <x:c r="G225" s="23" t="str">
        <x:f>IF(E225=F225,"PASS","FAIL")</x:f>
        <x:v>PASS</x:v>
      </x:c>
    </x:row>
    <x:row r="226">
      <x:c r="B226" s="21" t="str">
        <x:v>A00220</x:v>
      </x:c>
      <x:c r="C226" s="21" t="str">
        <x:v>scenario</x:v>
      </x:c>
      <x:c r="D226" s="21" t="str">
        <x:v>scenario result 50 conservation</x:v>
      </x:c>
      <x:c r="E226" s="21" t="n">
        <x:f>IF(AND(ABS('Scenario Results'!I56-MIN('Scenario Results'!E56,'Scenario Results'!H56))&lt;0.000001,'Scenario Results'!I56&lt;='Scenario Results'!E56),1,0)</x:f>
        <x:v>1</x:v>
      </x:c>
      <x:c r="F226" s="21" t="n">
        <x:v>1</x:v>
      </x:c>
      <x:c r="G226" s="23" t="str">
        <x:f>IF(E226=F226,"PASS","FAIL")</x:f>
        <x:v>PASS</x:v>
      </x:c>
    </x:row>
    <x:row r="227">
      <x:c r="B227" s="21" t="str">
        <x:v>A00221</x:v>
      </x:c>
      <x:c r="C227" s="21" t="str">
        <x:v>scenario</x:v>
      </x:c>
      <x:c r="D227" s="21" t="str">
        <x:v>scenario result 50 state</x:v>
      </x:c>
      <x:c r="E227" s="21" t="n">
        <x:f>IF('Scenario Results'!K56=IF('Scenario Results'!J56&gt;=1,"ADEQUATE","GAP"),1,0)</x:f>
        <x:v>1</x:v>
      </x:c>
      <x:c r="F227" s="21" t="n">
        <x:v>1</x:v>
      </x:c>
      <x:c r="G227" s="23" t="str">
        <x:f>IF(E227=F227,"PASS","FAIL")</x:f>
        <x:v>PASS</x:v>
      </x:c>
    </x:row>
    <x:row r="228">
      <x:c r="B228" s="21" t="str">
        <x:v>A00222</x:v>
      </x:c>
      <x:c r="C228" s="21" t="str">
        <x:v>scenario</x:v>
      </x:c>
      <x:c r="D228" s="21" t="str">
        <x:v>scenario result 51 conservation</x:v>
      </x:c>
      <x:c r="E228" s="21" t="n">
        <x:f>IF(AND(ABS('Scenario Results'!I57-MIN('Scenario Results'!E57,'Scenario Results'!H57))&lt;0.000001,'Scenario Results'!I57&lt;='Scenario Results'!E57),1,0)</x:f>
        <x:v>1</x:v>
      </x:c>
      <x:c r="F228" s="21" t="n">
        <x:v>1</x:v>
      </x:c>
      <x:c r="G228" s="23" t="str">
        <x:f>IF(E228=F228,"PASS","FAIL")</x:f>
        <x:v>PASS</x:v>
      </x:c>
    </x:row>
    <x:row r="229">
      <x:c r="B229" s="21" t="str">
        <x:v>A00223</x:v>
      </x:c>
      <x:c r="C229" s="21" t="str">
        <x:v>scenario</x:v>
      </x:c>
      <x:c r="D229" s="21" t="str">
        <x:v>scenario result 51 state</x:v>
      </x:c>
      <x:c r="E229" s="21" t="n">
        <x:f>IF('Scenario Results'!K57=IF('Scenario Results'!J57&gt;=1,"ADEQUATE","GAP"),1,0)</x:f>
        <x:v>1</x:v>
      </x:c>
      <x:c r="F229" s="21" t="n">
        <x:v>1</x:v>
      </x:c>
      <x:c r="G229" s="23" t="str">
        <x:f>IF(E229=F229,"PASS","FAIL")</x:f>
        <x:v>PASS</x:v>
      </x:c>
    </x:row>
    <x:row r="230">
      <x:c r="B230" s="21" t="str">
        <x:v>A00224</x:v>
      </x:c>
      <x:c r="C230" s="21" t="str">
        <x:v>scenario</x:v>
      </x:c>
      <x:c r="D230" s="21" t="str">
        <x:v>scenario result 52 conservation</x:v>
      </x:c>
      <x:c r="E230" s="21" t="n">
        <x:f>IF(AND(ABS('Scenario Results'!I58-MIN('Scenario Results'!E58,'Scenario Results'!H58))&lt;0.000001,'Scenario Results'!I58&lt;='Scenario Results'!E58),1,0)</x:f>
        <x:v>1</x:v>
      </x:c>
      <x:c r="F230" s="21" t="n">
        <x:v>1</x:v>
      </x:c>
      <x:c r="G230" s="23" t="str">
        <x:f>IF(E230=F230,"PASS","FAIL")</x:f>
        <x:v>PASS</x:v>
      </x:c>
    </x:row>
    <x:row r="231">
      <x:c r="B231" s="21" t="str">
        <x:v>A00225</x:v>
      </x:c>
      <x:c r="C231" s="21" t="str">
        <x:v>scenario</x:v>
      </x:c>
      <x:c r="D231" s="21" t="str">
        <x:v>scenario result 52 state</x:v>
      </x:c>
      <x:c r="E231" s="21" t="n">
        <x:f>IF('Scenario Results'!K58=IF('Scenario Results'!J58&gt;=1,"ADEQUATE","GAP"),1,0)</x:f>
        <x:v>1</x:v>
      </x:c>
      <x:c r="F231" s="21" t="n">
        <x:v>1</x:v>
      </x:c>
      <x:c r="G231" s="23" t="str">
        <x:f>IF(E231=F231,"PASS","FAIL")</x:f>
        <x:v>PASS</x:v>
      </x:c>
    </x:row>
    <x:row r="232">
      <x:c r="B232" s="21" t="str">
        <x:v>A00226</x:v>
      </x:c>
      <x:c r="C232" s="21" t="str">
        <x:v>scenario</x:v>
      </x:c>
      <x:c r="D232" s="21" t="str">
        <x:v>scenario result 53 conservation</x:v>
      </x:c>
      <x:c r="E232" s="21" t="n">
        <x:f>IF(AND(ABS('Scenario Results'!I59-MIN('Scenario Results'!E59,'Scenario Results'!H59))&lt;0.000001,'Scenario Results'!I59&lt;='Scenario Results'!E59),1,0)</x:f>
        <x:v>1</x:v>
      </x:c>
      <x:c r="F232" s="21" t="n">
        <x:v>1</x:v>
      </x:c>
      <x:c r="G232" s="23" t="str">
        <x:f>IF(E232=F232,"PASS","FAIL")</x:f>
        <x:v>PASS</x:v>
      </x:c>
    </x:row>
    <x:row r="233">
      <x:c r="B233" s="21" t="str">
        <x:v>A00227</x:v>
      </x:c>
      <x:c r="C233" s="21" t="str">
        <x:v>scenario</x:v>
      </x:c>
      <x:c r="D233" s="21" t="str">
        <x:v>scenario result 53 state</x:v>
      </x:c>
      <x:c r="E233" s="21" t="n">
        <x:f>IF('Scenario Results'!K59=IF('Scenario Results'!J59&gt;=1,"ADEQUATE","GAP"),1,0)</x:f>
        <x:v>1</x:v>
      </x:c>
      <x:c r="F233" s="21" t="n">
        <x:v>1</x:v>
      </x:c>
      <x:c r="G233" s="23" t="str">
        <x:f>IF(E233=F233,"PASS","FAIL")</x:f>
        <x:v>PASS</x:v>
      </x:c>
    </x:row>
    <x:row r="234">
      <x:c r="B234" s="21" t="str">
        <x:v>A00228</x:v>
      </x:c>
      <x:c r="C234" s="21" t="str">
        <x:v>scenario</x:v>
      </x:c>
      <x:c r="D234" s="21" t="str">
        <x:v>scenario result 54 conservation</x:v>
      </x:c>
      <x:c r="E234" s="21" t="n">
        <x:f>IF(AND(ABS('Scenario Results'!I60-MIN('Scenario Results'!E60,'Scenario Results'!H60))&lt;0.000001,'Scenario Results'!I60&lt;='Scenario Results'!E60),1,0)</x:f>
        <x:v>1</x:v>
      </x:c>
      <x:c r="F234" s="21" t="n">
        <x:v>1</x:v>
      </x:c>
      <x:c r="G234" s="23" t="str">
        <x:f>IF(E234=F234,"PASS","FAIL")</x:f>
        <x:v>PASS</x:v>
      </x:c>
    </x:row>
    <x:row r="235">
      <x:c r="B235" s="21" t="str">
        <x:v>A00229</x:v>
      </x:c>
      <x:c r="C235" s="21" t="str">
        <x:v>scenario</x:v>
      </x:c>
      <x:c r="D235" s="21" t="str">
        <x:v>scenario result 54 state</x:v>
      </x:c>
      <x:c r="E235" s="21" t="n">
        <x:f>IF('Scenario Results'!K60=IF('Scenario Results'!J60&gt;=1,"ADEQUATE","GAP"),1,0)</x:f>
        <x:v>1</x:v>
      </x:c>
      <x:c r="F235" s="21" t="n">
        <x:v>1</x:v>
      </x:c>
      <x:c r="G235" s="23" t="str">
        <x:f>IF(E235=F235,"PASS","FAIL")</x:f>
        <x:v>PASS</x:v>
      </x:c>
    </x:row>
    <x:row r="236">
      <x:c r="B236" s="21" t="str">
        <x:v>A00230</x:v>
      </x:c>
      <x:c r="C236" s="21" t="str">
        <x:v>scenario</x:v>
      </x:c>
      <x:c r="D236" s="21" t="str">
        <x:v>scenario result 55 conservation</x:v>
      </x:c>
      <x:c r="E236" s="21" t="n">
        <x:f>IF(AND(ABS('Scenario Results'!I61-MIN('Scenario Results'!E61,'Scenario Results'!H61))&lt;0.000001,'Scenario Results'!I61&lt;='Scenario Results'!E61),1,0)</x:f>
        <x:v>1</x:v>
      </x:c>
      <x:c r="F236" s="21" t="n">
        <x:v>1</x:v>
      </x:c>
      <x:c r="G236" s="23" t="str">
        <x:f>IF(E236=F236,"PASS","FAIL")</x:f>
        <x:v>PASS</x:v>
      </x:c>
    </x:row>
    <x:row r="237">
      <x:c r="B237" s="21" t="str">
        <x:v>A00231</x:v>
      </x:c>
      <x:c r="C237" s="21" t="str">
        <x:v>scenario</x:v>
      </x:c>
      <x:c r="D237" s="21" t="str">
        <x:v>scenario result 55 state</x:v>
      </x:c>
      <x:c r="E237" s="21" t="n">
        <x:f>IF('Scenario Results'!K61=IF('Scenario Results'!J61&gt;=1,"ADEQUATE","GAP"),1,0)</x:f>
        <x:v>1</x:v>
      </x:c>
      <x:c r="F237" s="21" t="n">
        <x:v>1</x:v>
      </x:c>
      <x:c r="G237" s="23" t="str">
        <x:f>IF(E237=F237,"PASS","FAIL")</x:f>
        <x:v>PASS</x:v>
      </x:c>
    </x:row>
    <x:row r="238">
      <x:c r="B238" s="21" t="str">
        <x:v>A00232</x:v>
      </x:c>
      <x:c r="C238" s="21" t="str">
        <x:v>scenario</x:v>
      </x:c>
      <x:c r="D238" s="21" t="str">
        <x:v>scenario result 56 conservation</x:v>
      </x:c>
      <x:c r="E238" s="21" t="n">
        <x:f>IF(AND(ABS('Scenario Results'!I62-MIN('Scenario Results'!E62,'Scenario Results'!H62))&lt;0.000001,'Scenario Results'!I62&lt;='Scenario Results'!E62),1,0)</x:f>
        <x:v>1</x:v>
      </x:c>
      <x:c r="F238" s="21" t="n">
        <x:v>1</x:v>
      </x:c>
      <x:c r="G238" s="23" t="str">
        <x:f>IF(E238=F238,"PASS","FAIL")</x:f>
        <x:v>PASS</x:v>
      </x:c>
    </x:row>
    <x:row r="239">
      <x:c r="B239" s="21" t="str">
        <x:v>A00233</x:v>
      </x:c>
      <x:c r="C239" s="21" t="str">
        <x:v>scenario</x:v>
      </x:c>
      <x:c r="D239" s="21" t="str">
        <x:v>scenario result 56 state</x:v>
      </x:c>
      <x:c r="E239" s="21" t="n">
        <x:f>IF('Scenario Results'!K62=IF('Scenario Results'!J62&gt;=1,"ADEQUATE","GAP"),1,0)</x:f>
        <x:v>1</x:v>
      </x:c>
      <x:c r="F239" s="21" t="n">
        <x:v>1</x:v>
      </x:c>
      <x:c r="G239" s="23" t="str">
        <x:f>IF(E239=F239,"PASS","FAIL")</x:f>
        <x:v>PASS</x:v>
      </x:c>
    </x:row>
    <x:row r="240">
      <x:c r="B240" s="21" t="str">
        <x:v>A00234</x:v>
      </x:c>
      <x:c r="C240" s="21" t="str">
        <x:v>scenario</x:v>
      </x:c>
      <x:c r="D240" s="21" t="str">
        <x:v>scenario result 57 conservation</x:v>
      </x:c>
      <x:c r="E240" s="21" t="n">
        <x:f>IF(AND(ABS('Scenario Results'!I63-MIN('Scenario Results'!E63,'Scenario Results'!H63))&lt;0.000001,'Scenario Results'!I63&lt;='Scenario Results'!E63),1,0)</x:f>
        <x:v>1</x:v>
      </x:c>
      <x:c r="F240" s="21" t="n">
        <x:v>1</x:v>
      </x:c>
      <x:c r="G240" s="23" t="str">
        <x:f>IF(E240=F240,"PASS","FAIL")</x:f>
        <x:v>PASS</x:v>
      </x:c>
    </x:row>
    <x:row r="241">
      <x:c r="B241" s="21" t="str">
        <x:v>A00235</x:v>
      </x:c>
      <x:c r="C241" s="21" t="str">
        <x:v>scenario</x:v>
      </x:c>
      <x:c r="D241" s="21" t="str">
        <x:v>scenario result 57 state</x:v>
      </x:c>
      <x:c r="E241" s="21" t="n">
        <x:f>IF('Scenario Results'!K63=IF('Scenario Results'!J63&gt;=1,"ADEQUATE","GAP"),1,0)</x:f>
        <x:v>1</x:v>
      </x:c>
      <x:c r="F241" s="21" t="n">
        <x:v>1</x:v>
      </x:c>
      <x:c r="G241" s="23" t="str">
        <x:f>IF(E241=F241,"PASS","FAIL")</x:f>
        <x:v>PASS</x:v>
      </x:c>
    </x:row>
    <x:row r="242">
      <x:c r="B242" s="21" t="str">
        <x:v>A00236</x:v>
      </x:c>
      <x:c r="C242" s="21" t="str">
        <x:v>scenario</x:v>
      </x:c>
      <x:c r="D242" s="21" t="str">
        <x:v>scenario result 58 conservation</x:v>
      </x:c>
      <x:c r="E242" s="21" t="n">
        <x:f>IF(AND(ABS('Scenario Results'!I64-MIN('Scenario Results'!E64,'Scenario Results'!H64))&lt;0.000001,'Scenario Results'!I64&lt;='Scenario Results'!E64),1,0)</x:f>
        <x:v>1</x:v>
      </x:c>
      <x:c r="F242" s="21" t="n">
        <x:v>1</x:v>
      </x:c>
      <x:c r="G242" s="23" t="str">
        <x:f>IF(E242=F242,"PASS","FAIL")</x:f>
        <x:v>PASS</x:v>
      </x:c>
    </x:row>
    <x:row r="243">
      <x:c r="B243" s="21" t="str">
        <x:v>A00237</x:v>
      </x:c>
      <x:c r="C243" s="21" t="str">
        <x:v>scenario</x:v>
      </x:c>
      <x:c r="D243" s="21" t="str">
        <x:v>scenario result 58 state</x:v>
      </x:c>
      <x:c r="E243" s="21" t="n">
        <x:f>IF('Scenario Results'!K64=IF('Scenario Results'!J64&gt;=1,"ADEQUATE","GAP"),1,0)</x:f>
        <x:v>1</x:v>
      </x:c>
      <x:c r="F243" s="21" t="n">
        <x:v>1</x:v>
      </x:c>
      <x:c r="G243" s="23" t="str">
        <x:f>IF(E243=F243,"PASS","FAIL")</x:f>
        <x:v>PASS</x:v>
      </x:c>
    </x:row>
    <x:row r="244">
      <x:c r="B244" s="21" t="str">
        <x:v>A00238</x:v>
      </x:c>
      <x:c r="C244" s="21" t="str">
        <x:v>scenario</x:v>
      </x:c>
      <x:c r="D244" s="21" t="str">
        <x:v>scenario result 59 conservation</x:v>
      </x:c>
      <x:c r="E244" s="21" t="n">
        <x:f>IF(AND(ABS('Scenario Results'!I65-MIN('Scenario Results'!E65,'Scenario Results'!H65))&lt;0.000001,'Scenario Results'!I65&lt;='Scenario Results'!E65),1,0)</x:f>
        <x:v>1</x:v>
      </x:c>
      <x:c r="F244" s="21" t="n">
        <x:v>1</x:v>
      </x:c>
      <x:c r="G244" s="23" t="str">
        <x:f>IF(E244=F244,"PASS","FAIL")</x:f>
        <x:v>PASS</x:v>
      </x:c>
    </x:row>
    <x:row r="245">
      <x:c r="B245" s="21" t="str">
        <x:v>A00239</x:v>
      </x:c>
      <x:c r="C245" s="21" t="str">
        <x:v>scenario</x:v>
      </x:c>
      <x:c r="D245" s="21" t="str">
        <x:v>scenario result 59 state</x:v>
      </x:c>
      <x:c r="E245" s="21" t="n">
        <x:f>IF('Scenario Results'!K65=IF('Scenario Results'!J65&gt;=1,"ADEQUATE","GAP"),1,0)</x:f>
        <x:v>1</x:v>
      </x:c>
      <x:c r="F245" s="21" t="n">
        <x:v>1</x:v>
      </x:c>
      <x:c r="G245" s="23" t="str">
        <x:f>IF(E245=F245,"PASS","FAIL")</x:f>
        <x:v>PASS</x:v>
      </x:c>
    </x:row>
    <x:row r="246">
      <x:c r="B246" s="21" t="str">
        <x:v>A00240</x:v>
      </x:c>
      <x:c r="C246" s="21" t="str">
        <x:v>scenario</x:v>
      </x:c>
      <x:c r="D246" s="21" t="str">
        <x:v>scenario result 60 conservation</x:v>
      </x:c>
      <x:c r="E246" s="21" t="n">
        <x:f>IF(AND(ABS('Scenario Results'!I66-MIN('Scenario Results'!E66,'Scenario Results'!H66))&lt;0.000001,'Scenario Results'!I66&lt;='Scenario Results'!E66),1,0)</x:f>
        <x:v>1</x:v>
      </x:c>
      <x:c r="F246" s="21" t="n">
        <x:v>1</x:v>
      </x:c>
      <x:c r="G246" s="23" t="str">
        <x:f>IF(E246=F246,"PASS","FAIL")</x:f>
        <x:v>PASS</x:v>
      </x:c>
    </x:row>
    <x:row r="247">
      <x:c r="B247" s="21" t="str">
        <x:v>A00241</x:v>
      </x:c>
      <x:c r="C247" s="21" t="str">
        <x:v>scenario</x:v>
      </x:c>
      <x:c r="D247" s="21" t="str">
        <x:v>scenario result 60 state</x:v>
      </x:c>
      <x:c r="E247" s="21" t="n">
        <x:f>IF('Scenario Results'!K66=IF('Scenario Results'!J66&gt;=1,"ADEQUATE","GAP"),1,0)</x:f>
        <x:v>1</x:v>
      </x:c>
      <x:c r="F247" s="21" t="n">
        <x:v>1</x:v>
      </x:c>
      <x:c r="G247" s="23" t="str">
        <x:f>IF(E247=F247,"PASS","FAIL")</x:f>
        <x:v>PASS</x:v>
      </x:c>
    </x:row>
    <x:row r="248">
      <x:c r="B248" s="21" t="str">
        <x:v>A00242</x:v>
      </x:c>
      <x:c r="C248" s="21" t="str">
        <x:v>scenario</x:v>
      </x:c>
      <x:c r="D248" s="21" t="str">
        <x:v>scenario result 61 conservation</x:v>
      </x:c>
      <x:c r="E248" s="21" t="n">
        <x:f>IF(AND(ABS('Scenario Results'!I67-MIN('Scenario Results'!E67,'Scenario Results'!H67))&lt;0.000001,'Scenario Results'!I67&lt;='Scenario Results'!E67),1,0)</x:f>
        <x:v>1</x:v>
      </x:c>
      <x:c r="F248" s="21" t="n">
        <x:v>1</x:v>
      </x:c>
      <x:c r="G248" s="23" t="str">
        <x:f>IF(E248=F248,"PASS","FAIL")</x:f>
        <x:v>PASS</x:v>
      </x:c>
    </x:row>
    <x:row r="249">
      <x:c r="B249" s="21" t="str">
        <x:v>A00243</x:v>
      </x:c>
      <x:c r="C249" s="21" t="str">
        <x:v>scenario</x:v>
      </x:c>
      <x:c r="D249" s="21" t="str">
        <x:v>scenario result 61 state</x:v>
      </x:c>
      <x:c r="E249" s="21" t="n">
        <x:f>IF('Scenario Results'!K67=IF('Scenario Results'!J67&gt;=1,"ADEQUATE","GAP"),1,0)</x:f>
        <x:v>1</x:v>
      </x:c>
      <x:c r="F249" s="21" t="n">
        <x:v>1</x:v>
      </x:c>
      <x:c r="G249" s="23" t="str">
        <x:f>IF(E249=F249,"PASS","FAIL")</x:f>
        <x:v>PASS</x:v>
      </x:c>
    </x:row>
    <x:row r="250">
      <x:c r="B250" s="21" t="str">
        <x:v>A00244</x:v>
      </x:c>
      <x:c r="C250" s="21" t="str">
        <x:v>scenario</x:v>
      </x:c>
      <x:c r="D250" s="21" t="str">
        <x:v>scenario result 62 conservation</x:v>
      </x:c>
      <x:c r="E250" s="21" t="n">
        <x:f>IF(AND(ABS('Scenario Results'!I68-MIN('Scenario Results'!E68,'Scenario Results'!H68))&lt;0.000001,'Scenario Results'!I68&lt;='Scenario Results'!E68),1,0)</x:f>
        <x:v>1</x:v>
      </x:c>
      <x:c r="F250" s="21" t="n">
        <x:v>1</x:v>
      </x:c>
      <x:c r="G250" s="23" t="str">
        <x:f>IF(E250=F250,"PASS","FAIL")</x:f>
        <x:v>PASS</x:v>
      </x:c>
    </x:row>
    <x:row r="251">
      <x:c r="B251" s="21" t="str">
        <x:v>A00245</x:v>
      </x:c>
      <x:c r="C251" s="21" t="str">
        <x:v>scenario</x:v>
      </x:c>
      <x:c r="D251" s="21" t="str">
        <x:v>scenario result 62 state</x:v>
      </x:c>
      <x:c r="E251" s="21" t="n">
        <x:f>IF('Scenario Results'!K68=IF('Scenario Results'!J68&gt;=1,"ADEQUATE","GAP"),1,0)</x:f>
        <x:v>1</x:v>
      </x:c>
      <x:c r="F251" s="21" t="n">
        <x:v>1</x:v>
      </x:c>
      <x:c r="G251" s="23" t="str">
        <x:f>IF(E251=F251,"PASS","FAIL")</x:f>
        <x:v>PASS</x:v>
      </x:c>
    </x:row>
    <x:row r="252">
      <x:c r="B252" s="21" t="str">
        <x:v>A00246</x:v>
      </x:c>
      <x:c r="C252" s="21" t="str">
        <x:v>scenario</x:v>
      </x:c>
      <x:c r="D252" s="21" t="str">
        <x:v>scenario result 63 conservation</x:v>
      </x:c>
      <x:c r="E252" s="21" t="n">
        <x:f>IF(AND(ABS('Scenario Results'!I69-MIN('Scenario Results'!E69,'Scenario Results'!H69))&lt;0.000001,'Scenario Results'!I69&lt;='Scenario Results'!E69),1,0)</x:f>
        <x:v>1</x:v>
      </x:c>
      <x:c r="F252" s="21" t="n">
        <x:v>1</x:v>
      </x:c>
      <x:c r="G252" s="23" t="str">
        <x:f>IF(E252=F252,"PASS","FAIL")</x:f>
        <x:v>PASS</x:v>
      </x:c>
    </x:row>
    <x:row r="253">
      <x:c r="B253" s="21" t="str">
        <x:v>A00247</x:v>
      </x:c>
      <x:c r="C253" s="21" t="str">
        <x:v>scenario</x:v>
      </x:c>
      <x:c r="D253" s="21" t="str">
        <x:v>scenario result 63 state</x:v>
      </x:c>
      <x:c r="E253" s="21" t="n">
        <x:f>IF('Scenario Results'!K69=IF('Scenario Results'!J69&gt;=1,"ADEQUATE","GAP"),1,0)</x:f>
        <x:v>1</x:v>
      </x:c>
      <x:c r="F253" s="21" t="n">
        <x:v>1</x:v>
      </x:c>
      <x:c r="G253" s="23" t="str">
        <x:f>IF(E253=F253,"PASS","FAIL")</x:f>
        <x:v>PASS</x:v>
      </x:c>
    </x:row>
    <x:row r="254">
      <x:c r="B254" s="21" t="str">
        <x:v>A00248</x:v>
      </x:c>
      <x:c r="C254" s="21" t="str">
        <x:v>scenario</x:v>
      </x:c>
      <x:c r="D254" s="21" t="str">
        <x:v>scenario result 64 conservation</x:v>
      </x:c>
      <x:c r="E254" s="21" t="n">
        <x:f>IF(AND(ABS('Scenario Results'!I70-MIN('Scenario Results'!E70,'Scenario Results'!H70))&lt;0.000001,'Scenario Results'!I70&lt;='Scenario Results'!E70),1,0)</x:f>
        <x:v>1</x:v>
      </x:c>
      <x:c r="F254" s="21" t="n">
        <x:v>1</x:v>
      </x:c>
      <x:c r="G254" s="23" t="str">
        <x:f>IF(E254=F254,"PASS","FAIL")</x:f>
        <x:v>PASS</x:v>
      </x:c>
    </x:row>
    <x:row r="255">
      <x:c r="B255" s="21" t="str">
        <x:v>A00249</x:v>
      </x:c>
      <x:c r="C255" s="21" t="str">
        <x:v>scenario</x:v>
      </x:c>
      <x:c r="D255" s="21" t="str">
        <x:v>scenario result 64 state</x:v>
      </x:c>
      <x:c r="E255" s="21" t="n">
        <x:f>IF('Scenario Results'!K70=IF('Scenario Results'!J70&gt;=1,"ADEQUATE","GAP"),1,0)</x:f>
        <x:v>1</x:v>
      </x:c>
      <x:c r="F255" s="21" t="n">
        <x:v>1</x:v>
      </x:c>
      <x:c r="G255" s="23" t="str">
        <x:f>IF(E255=F255,"PASS","FAIL")</x:f>
        <x:v>PASS</x:v>
      </x:c>
    </x:row>
    <x:row r="256">
      <x:c r="B256" s="21" t="str">
        <x:v>A00250</x:v>
      </x:c>
      <x:c r="C256" s="21" t="str">
        <x:v>scenario</x:v>
      </x:c>
      <x:c r="D256" s="21" t="str">
        <x:v>scenario result 65 conservation</x:v>
      </x:c>
      <x:c r="E256" s="21" t="n">
        <x:f>IF(AND(ABS('Scenario Results'!I71-MIN('Scenario Results'!E71,'Scenario Results'!H71))&lt;0.000001,'Scenario Results'!I71&lt;='Scenario Results'!E71),1,0)</x:f>
        <x:v>1</x:v>
      </x:c>
      <x:c r="F256" s="21" t="n">
        <x:v>1</x:v>
      </x:c>
      <x:c r="G256" s="23" t="str">
        <x:f>IF(E256=F256,"PASS","FAIL")</x:f>
        <x:v>PASS</x:v>
      </x:c>
    </x:row>
    <x:row r="257">
      <x:c r="B257" s="21" t="str">
        <x:v>A00251</x:v>
      </x:c>
      <x:c r="C257" s="21" t="str">
        <x:v>scenario</x:v>
      </x:c>
      <x:c r="D257" s="21" t="str">
        <x:v>scenario result 65 state</x:v>
      </x:c>
      <x:c r="E257" s="21" t="n">
        <x:f>IF('Scenario Results'!K71=IF('Scenario Results'!J71&gt;=1,"ADEQUATE","GAP"),1,0)</x:f>
        <x:v>1</x:v>
      </x:c>
      <x:c r="F257" s="21" t="n">
        <x:v>1</x:v>
      </x:c>
      <x:c r="G257" s="23" t="str">
        <x:f>IF(E257=F257,"PASS","FAIL")</x:f>
        <x:v>PASS</x:v>
      </x:c>
    </x:row>
    <x:row r="258">
      <x:c r="B258" s="21" t="str">
        <x:v>A00252</x:v>
      </x:c>
      <x:c r="C258" s="21" t="str">
        <x:v>scenario</x:v>
      </x:c>
      <x:c r="D258" s="21" t="str">
        <x:v>scenario result 66 conservation</x:v>
      </x:c>
      <x:c r="E258" s="21" t="n">
        <x:f>IF(AND(ABS('Scenario Results'!I72-MIN('Scenario Results'!E72,'Scenario Results'!H72))&lt;0.000001,'Scenario Results'!I72&lt;='Scenario Results'!E72),1,0)</x:f>
        <x:v>1</x:v>
      </x:c>
      <x:c r="F258" s="21" t="n">
        <x:v>1</x:v>
      </x:c>
      <x:c r="G258" s="23" t="str">
        <x:f>IF(E258=F258,"PASS","FAIL")</x:f>
        <x:v>PASS</x:v>
      </x:c>
    </x:row>
    <x:row r="259">
      <x:c r="B259" s="21" t="str">
        <x:v>A00253</x:v>
      </x:c>
      <x:c r="C259" s="21" t="str">
        <x:v>scenario</x:v>
      </x:c>
      <x:c r="D259" s="21" t="str">
        <x:v>scenario result 66 state</x:v>
      </x:c>
      <x:c r="E259" s="21" t="n">
        <x:f>IF('Scenario Results'!K72=IF('Scenario Results'!J72&gt;=1,"ADEQUATE","GAP"),1,0)</x:f>
        <x:v>1</x:v>
      </x:c>
      <x:c r="F259" s="21" t="n">
        <x:v>1</x:v>
      </x:c>
      <x:c r="G259" s="23" t="str">
        <x:f>IF(E259=F259,"PASS","FAIL")</x:f>
        <x:v>PASS</x:v>
      </x:c>
    </x:row>
    <x:row r="260">
      <x:c r="B260" s="21" t="str">
        <x:v>A00254</x:v>
      </x:c>
      <x:c r="C260" s="21" t="str">
        <x:v>scenario</x:v>
      </x:c>
      <x:c r="D260" s="21" t="str">
        <x:v>scenario result 67 conservation</x:v>
      </x:c>
      <x:c r="E260" s="21" t="n">
        <x:f>IF(AND(ABS('Scenario Results'!I73-MIN('Scenario Results'!E73,'Scenario Results'!H73))&lt;0.000001,'Scenario Results'!I73&lt;='Scenario Results'!E73),1,0)</x:f>
        <x:v>1</x:v>
      </x:c>
      <x:c r="F260" s="21" t="n">
        <x:v>1</x:v>
      </x:c>
      <x:c r="G260" s="23" t="str">
        <x:f>IF(E260=F260,"PASS","FAIL")</x:f>
        <x:v>PASS</x:v>
      </x:c>
    </x:row>
    <x:row r="261">
      <x:c r="B261" s="21" t="str">
        <x:v>A00255</x:v>
      </x:c>
      <x:c r="C261" s="21" t="str">
        <x:v>scenario</x:v>
      </x:c>
      <x:c r="D261" s="21" t="str">
        <x:v>scenario result 67 state</x:v>
      </x:c>
      <x:c r="E261" s="21" t="n">
        <x:f>IF('Scenario Results'!K73=IF('Scenario Results'!J73&gt;=1,"ADEQUATE","GAP"),1,0)</x:f>
        <x:v>1</x:v>
      </x:c>
      <x:c r="F261" s="21" t="n">
        <x:v>1</x:v>
      </x:c>
      <x:c r="G261" s="23" t="str">
        <x:f>IF(E261=F261,"PASS","FAIL")</x:f>
        <x:v>PASS</x:v>
      </x:c>
    </x:row>
    <x:row r="262">
      <x:c r="B262" s="21" t="str">
        <x:v>A00256</x:v>
      </x:c>
      <x:c r="C262" s="21" t="str">
        <x:v>scenario</x:v>
      </x:c>
      <x:c r="D262" s="21" t="str">
        <x:v>scenario result 68 conservation</x:v>
      </x:c>
      <x:c r="E262" s="21" t="n">
        <x:f>IF(AND(ABS('Scenario Results'!I74-MIN('Scenario Results'!E74,'Scenario Results'!H74))&lt;0.000001,'Scenario Results'!I74&lt;='Scenario Results'!E74),1,0)</x:f>
        <x:v>1</x:v>
      </x:c>
      <x:c r="F262" s="21" t="n">
        <x:v>1</x:v>
      </x:c>
      <x:c r="G262" s="23" t="str">
        <x:f>IF(E262=F262,"PASS","FAIL")</x:f>
        <x:v>PASS</x:v>
      </x:c>
    </x:row>
    <x:row r="263">
      <x:c r="B263" s="21" t="str">
        <x:v>A00257</x:v>
      </x:c>
      <x:c r="C263" s="21" t="str">
        <x:v>scenario</x:v>
      </x:c>
      <x:c r="D263" s="21" t="str">
        <x:v>scenario result 68 state</x:v>
      </x:c>
      <x:c r="E263" s="21" t="n">
        <x:f>IF('Scenario Results'!K74=IF('Scenario Results'!J74&gt;=1,"ADEQUATE","GAP"),1,0)</x:f>
        <x:v>1</x:v>
      </x:c>
      <x:c r="F263" s="21" t="n">
        <x:v>1</x:v>
      </x:c>
      <x:c r="G263" s="23" t="str">
        <x:f>IF(E263=F263,"PASS","FAIL")</x:f>
        <x:v>PASS</x:v>
      </x:c>
    </x:row>
    <x:row r="264">
      <x:c r="B264" s="21" t="str">
        <x:v>A00258</x:v>
      </x:c>
      <x:c r="C264" s="21" t="str">
        <x:v>scenario</x:v>
      </x:c>
      <x:c r="D264" s="21" t="str">
        <x:v>scenario result 69 conservation</x:v>
      </x:c>
      <x:c r="E264" s="21" t="n">
        <x:f>IF(AND(ABS('Scenario Results'!I75-MIN('Scenario Results'!E75,'Scenario Results'!H75))&lt;0.000001,'Scenario Results'!I75&lt;='Scenario Results'!E75),1,0)</x:f>
        <x:v>1</x:v>
      </x:c>
      <x:c r="F264" s="21" t="n">
        <x:v>1</x:v>
      </x:c>
      <x:c r="G264" s="23" t="str">
        <x:f>IF(E264=F264,"PASS","FAIL")</x:f>
        <x:v>PASS</x:v>
      </x:c>
    </x:row>
    <x:row r="265">
      <x:c r="B265" s="21" t="str">
        <x:v>A00259</x:v>
      </x:c>
      <x:c r="C265" s="21" t="str">
        <x:v>scenario</x:v>
      </x:c>
      <x:c r="D265" s="21" t="str">
        <x:v>scenario result 69 state</x:v>
      </x:c>
      <x:c r="E265" s="21" t="n">
        <x:f>IF('Scenario Results'!K75=IF('Scenario Results'!J75&gt;=1,"ADEQUATE","GAP"),1,0)</x:f>
        <x:v>1</x:v>
      </x:c>
      <x:c r="F265" s="21" t="n">
        <x:v>1</x:v>
      </x:c>
      <x:c r="G265" s="23" t="str">
        <x:f>IF(E265=F265,"PASS","FAIL")</x:f>
        <x:v>PASS</x:v>
      </x:c>
    </x:row>
    <x:row r="266">
      <x:c r="B266" s="21" t="str">
        <x:v>A00260</x:v>
      </x:c>
      <x:c r="C266" s="21" t="str">
        <x:v>scenario</x:v>
      </x:c>
      <x:c r="D266" s="21" t="str">
        <x:v>scenario result 70 conservation</x:v>
      </x:c>
      <x:c r="E266" s="21" t="n">
        <x:f>IF(AND(ABS('Scenario Results'!I76-MIN('Scenario Results'!E76,'Scenario Results'!H76))&lt;0.000001,'Scenario Results'!I76&lt;='Scenario Results'!E76),1,0)</x:f>
        <x:v>1</x:v>
      </x:c>
      <x:c r="F266" s="21" t="n">
        <x:v>1</x:v>
      </x:c>
      <x:c r="G266" s="23" t="str">
        <x:f>IF(E266=F266,"PASS","FAIL")</x:f>
        <x:v>PASS</x:v>
      </x:c>
    </x:row>
    <x:row r="267">
      <x:c r="B267" s="21" t="str">
        <x:v>A00261</x:v>
      </x:c>
      <x:c r="C267" s="21" t="str">
        <x:v>scenario</x:v>
      </x:c>
      <x:c r="D267" s="21" t="str">
        <x:v>scenario result 70 state</x:v>
      </x:c>
      <x:c r="E267" s="21" t="n">
        <x:f>IF('Scenario Results'!K76=IF('Scenario Results'!J76&gt;=1,"ADEQUATE","GAP"),1,0)</x:f>
        <x:v>1</x:v>
      </x:c>
      <x:c r="F267" s="21" t="n">
        <x:v>1</x:v>
      </x:c>
      <x:c r="G267" s="23" t="str">
        <x:f>IF(E267=F267,"PASS","FAIL")</x:f>
        <x:v>PASS</x:v>
      </x:c>
    </x:row>
    <x:row r="268">
      <x:c r="B268" s="21" t="str">
        <x:v>A00262</x:v>
      </x:c>
      <x:c r="C268" s="21" t="str">
        <x:v>scenario</x:v>
      </x:c>
      <x:c r="D268" s="21" t="str">
        <x:v>scenario result 71 conservation</x:v>
      </x:c>
      <x:c r="E268" s="21" t="n">
        <x:f>IF(AND(ABS('Scenario Results'!I77-MIN('Scenario Results'!E77,'Scenario Results'!H77))&lt;0.000001,'Scenario Results'!I77&lt;='Scenario Results'!E77),1,0)</x:f>
        <x:v>1</x:v>
      </x:c>
      <x:c r="F268" s="21" t="n">
        <x:v>1</x:v>
      </x:c>
      <x:c r="G268" s="23" t="str">
        <x:f>IF(E268=F268,"PASS","FAIL")</x:f>
        <x:v>PASS</x:v>
      </x:c>
    </x:row>
    <x:row r="269">
      <x:c r="B269" s="21" t="str">
        <x:v>A00263</x:v>
      </x:c>
      <x:c r="C269" s="21" t="str">
        <x:v>scenario</x:v>
      </x:c>
      <x:c r="D269" s="21" t="str">
        <x:v>scenario result 71 state</x:v>
      </x:c>
      <x:c r="E269" s="21" t="n">
        <x:f>IF('Scenario Results'!K77=IF('Scenario Results'!J77&gt;=1,"ADEQUATE","GAP"),1,0)</x:f>
        <x:v>1</x:v>
      </x:c>
      <x:c r="F269" s="21" t="n">
        <x:v>1</x:v>
      </x:c>
      <x:c r="G269" s="23" t="str">
        <x:f>IF(E269=F269,"PASS","FAIL")</x:f>
        <x:v>PASS</x:v>
      </x:c>
    </x:row>
    <x:row r="270">
      <x:c r="B270" s="21" t="str">
        <x:v>A00264</x:v>
      </x:c>
      <x:c r="C270" s="21" t="str">
        <x:v>scenario</x:v>
      </x:c>
      <x:c r="D270" s="21" t="str">
        <x:v>scenario result 72 conservation</x:v>
      </x:c>
      <x:c r="E270" s="21" t="n">
        <x:f>IF(AND(ABS('Scenario Results'!I78-MIN('Scenario Results'!E78,'Scenario Results'!H78))&lt;0.000001,'Scenario Results'!I78&lt;='Scenario Results'!E78),1,0)</x:f>
        <x:v>1</x:v>
      </x:c>
      <x:c r="F270" s="21" t="n">
        <x:v>1</x:v>
      </x:c>
      <x:c r="G270" s="23" t="str">
        <x:f>IF(E270=F270,"PASS","FAIL")</x:f>
        <x:v>PASS</x:v>
      </x:c>
    </x:row>
    <x:row r="271">
      <x:c r="B271" s="21" t="str">
        <x:v>A00265</x:v>
      </x:c>
      <x:c r="C271" s="21" t="str">
        <x:v>scenario</x:v>
      </x:c>
      <x:c r="D271" s="21" t="str">
        <x:v>scenario result 72 state</x:v>
      </x:c>
      <x:c r="E271" s="21" t="n">
        <x:f>IF('Scenario Results'!K78=IF('Scenario Results'!J78&gt;=1,"ADEQUATE","GAP"),1,0)</x:f>
        <x:v>1</x:v>
      </x:c>
      <x:c r="F271" s="21" t="n">
        <x:v>1</x:v>
      </x:c>
      <x:c r="G271" s="23" t="str">
        <x:f>IF(E271=F271,"PASS","FAIL")</x:f>
        <x:v>PASS</x:v>
      </x:c>
    </x:row>
    <x:row r="272">
      <x:c r="B272" s="21" t="str">
        <x:v>A00266</x:v>
      </x:c>
      <x:c r="C272" s="21" t="str">
        <x:v>scenario</x:v>
      </x:c>
      <x:c r="D272" s="21" t="str">
        <x:v>scenario result 73 conservation</x:v>
      </x:c>
      <x:c r="E272" s="21" t="n">
        <x:f>IF(AND(ABS('Scenario Results'!I79-MIN('Scenario Results'!E79,'Scenario Results'!H79))&lt;0.000001,'Scenario Results'!I79&lt;='Scenario Results'!E79),1,0)</x:f>
        <x:v>1</x:v>
      </x:c>
      <x:c r="F272" s="21" t="n">
        <x:v>1</x:v>
      </x:c>
      <x:c r="G272" s="23" t="str">
        <x:f>IF(E272=F272,"PASS","FAIL")</x:f>
        <x:v>PASS</x:v>
      </x:c>
    </x:row>
    <x:row r="273">
      <x:c r="B273" s="21" t="str">
        <x:v>A00267</x:v>
      </x:c>
      <x:c r="C273" s="21" t="str">
        <x:v>scenario</x:v>
      </x:c>
      <x:c r="D273" s="21" t="str">
        <x:v>scenario result 73 state</x:v>
      </x:c>
      <x:c r="E273" s="21" t="n">
        <x:f>IF('Scenario Results'!K79=IF('Scenario Results'!J79&gt;=1,"ADEQUATE","GAP"),1,0)</x:f>
        <x:v>1</x:v>
      </x:c>
      <x:c r="F273" s="21" t="n">
        <x:v>1</x:v>
      </x:c>
      <x:c r="G273" s="23" t="str">
        <x:f>IF(E273=F273,"PASS","FAIL")</x:f>
        <x:v>PASS</x:v>
      </x:c>
    </x:row>
    <x:row r="274">
      <x:c r="B274" s="21" t="str">
        <x:v>A00268</x:v>
      </x:c>
      <x:c r="C274" s="21" t="str">
        <x:v>scenario</x:v>
      </x:c>
      <x:c r="D274" s="21" t="str">
        <x:v>scenario result 74 conservation</x:v>
      </x:c>
      <x:c r="E274" s="21" t="n">
        <x:f>IF(AND(ABS('Scenario Results'!I80-MIN('Scenario Results'!E80,'Scenario Results'!H80))&lt;0.000001,'Scenario Results'!I80&lt;='Scenario Results'!E80),1,0)</x:f>
        <x:v>1</x:v>
      </x:c>
      <x:c r="F274" s="21" t="n">
        <x:v>1</x:v>
      </x:c>
      <x:c r="G274" s="23" t="str">
        <x:f>IF(E274=F274,"PASS","FAIL")</x:f>
        <x:v>PASS</x:v>
      </x:c>
    </x:row>
    <x:row r="275">
      <x:c r="B275" s="21" t="str">
        <x:v>A00269</x:v>
      </x:c>
      <x:c r="C275" s="21" t="str">
        <x:v>scenario</x:v>
      </x:c>
      <x:c r="D275" s="21" t="str">
        <x:v>scenario result 74 state</x:v>
      </x:c>
      <x:c r="E275" s="21" t="n">
        <x:f>IF('Scenario Results'!K80=IF('Scenario Results'!J80&gt;=1,"ADEQUATE","GAP"),1,0)</x:f>
        <x:v>1</x:v>
      </x:c>
      <x:c r="F275" s="21" t="n">
        <x:v>1</x:v>
      </x:c>
      <x:c r="G275" s="23" t="str">
        <x:f>IF(E275=F275,"PASS","FAIL")</x:f>
        <x:v>PASS</x:v>
      </x:c>
    </x:row>
    <x:row r="276">
      <x:c r="B276" s="21" t="str">
        <x:v>A00270</x:v>
      </x:c>
      <x:c r="C276" s="21" t="str">
        <x:v>scenario</x:v>
      </x:c>
      <x:c r="D276" s="21" t="str">
        <x:v>scenario result 75 conservation</x:v>
      </x:c>
      <x:c r="E276" s="21" t="n">
        <x:f>IF(AND(ABS('Scenario Results'!I81-MIN('Scenario Results'!E81,'Scenario Results'!H81))&lt;0.000001,'Scenario Results'!I81&lt;='Scenario Results'!E81),1,0)</x:f>
        <x:v>1</x:v>
      </x:c>
      <x:c r="F276" s="21" t="n">
        <x:v>1</x:v>
      </x:c>
      <x:c r="G276" s="23" t="str">
        <x:f>IF(E276=F276,"PASS","FAIL")</x:f>
        <x:v>PASS</x:v>
      </x:c>
    </x:row>
    <x:row r="277">
      <x:c r="B277" s="21" t="str">
        <x:v>A00271</x:v>
      </x:c>
      <x:c r="C277" s="21" t="str">
        <x:v>scenario</x:v>
      </x:c>
      <x:c r="D277" s="21" t="str">
        <x:v>scenario result 75 state</x:v>
      </x:c>
      <x:c r="E277" s="21" t="n">
        <x:f>IF('Scenario Results'!K81=IF('Scenario Results'!J81&gt;=1,"ADEQUATE","GAP"),1,0)</x:f>
        <x:v>1</x:v>
      </x:c>
      <x:c r="F277" s="21" t="n">
        <x:v>1</x:v>
      </x:c>
      <x:c r="G277" s="23" t="str">
        <x:f>IF(E277=F277,"PASS","FAIL")</x:f>
        <x:v>PASS</x:v>
      </x:c>
    </x:row>
    <x:row r="278">
      <x:c r="B278" s="21" t="str">
        <x:v>A00272</x:v>
      </x:c>
      <x:c r="C278" s="21" t="str">
        <x:v>scenario</x:v>
      </x:c>
      <x:c r="D278" s="21" t="str">
        <x:v>scenario result 76 conservation</x:v>
      </x:c>
      <x:c r="E278" s="21" t="n">
        <x:f>IF(AND(ABS('Scenario Results'!I82-MIN('Scenario Results'!E82,'Scenario Results'!H82))&lt;0.000001,'Scenario Results'!I82&lt;='Scenario Results'!E82),1,0)</x:f>
        <x:v>1</x:v>
      </x:c>
      <x:c r="F278" s="21" t="n">
        <x:v>1</x:v>
      </x:c>
      <x:c r="G278" s="23" t="str">
        <x:f>IF(E278=F278,"PASS","FAIL")</x:f>
        <x:v>PASS</x:v>
      </x:c>
    </x:row>
    <x:row r="279">
      <x:c r="B279" s="21" t="str">
        <x:v>A00273</x:v>
      </x:c>
      <x:c r="C279" s="21" t="str">
        <x:v>scenario</x:v>
      </x:c>
      <x:c r="D279" s="21" t="str">
        <x:v>scenario result 76 state</x:v>
      </x:c>
      <x:c r="E279" s="21" t="n">
        <x:f>IF('Scenario Results'!K82=IF('Scenario Results'!J82&gt;=1,"ADEQUATE","GAP"),1,0)</x:f>
        <x:v>1</x:v>
      </x:c>
      <x:c r="F279" s="21" t="n">
        <x:v>1</x:v>
      </x:c>
      <x:c r="G279" s="23" t="str">
        <x:f>IF(E279=F279,"PASS","FAIL")</x:f>
        <x:v>PASS</x:v>
      </x:c>
    </x:row>
    <x:row r="280">
      <x:c r="B280" s="21" t="str">
        <x:v>A00274</x:v>
      </x:c>
      <x:c r="C280" s="21" t="str">
        <x:v>scenario</x:v>
      </x:c>
      <x:c r="D280" s="21" t="str">
        <x:v>scenario result 77 conservation</x:v>
      </x:c>
      <x:c r="E280" s="21" t="n">
        <x:f>IF(AND(ABS('Scenario Results'!I83-MIN('Scenario Results'!E83,'Scenario Results'!H83))&lt;0.000001,'Scenario Results'!I83&lt;='Scenario Results'!E83),1,0)</x:f>
        <x:v>1</x:v>
      </x:c>
      <x:c r="F280" s="21" t="n">
        <x:v>1</x:v>
      </x:c>
      <x:c r="G280" s="23" t="str">
        <x:f>IF(E280=F280,"PASS","FAIL")</x:f>
        <x:v>PASS</x:v>
      </x:c>
    </x:row>
    <x:row r="281">
      <x:c r="B281" s="21" t="str">
        <x:v>A00275</x:v>
      </x:c>
      <x:c r="C281" s="21" t="str">
        <x:v>scenario</x:v>
      </x:c>
      <x:c r="D281" s="21" t="str">
        <x:v>scenario result 77 state</x:v>
      </x:c>
      <x:c r="E281" s="21" t="n">
        <x:f>IF('Scenario Results'!K83=IF('Scenario Results'!J83&gt;=1,"ADEQUATE","GAP"),1,0)</x:f>
        <x:v>1</x:v>
      </x:c>
      <x:c r="F281" s="21" t="n">
        <x:v>1</x:v>
      </x:c>
      <x:c r="G281" s="23" t="str">
        <x:f>IF(E281=F281,"PASS","FAIL")</x:f>
        <x:v>PASS</x:v>
      </x:c>
    </x:row>
    <x:row r="282">
      <x:c r="B282" s="21" t="str">
        <x:v>A00276</x:v>
      </x:c>
      <x:c r="C282" s="21" t="str">
        <x:v>scenario</x:v>
      </x:c>
      <x:c r="D282" s="21" t="str">
        <x:v>scenario result 78 conservation</x:v>
      </x:c>
      <x:c r="E282" s="21" t="n">
        <x:f>IF(AND(ABS('Scenario Results'!I84-MIN('Scenario Results'!E84,'Scenario Results'!H84))&lt;0.000001,'Scenario Results'!I84&lt;='Scenario Results'!E84),1,0)</x:f>
        <x:v>1</x:v>
      </x:c>
      <x:c r="F282" s="21" t="n">
        <x:v>1</x:v>
      </x:c>
      <x:c r="G282" s="23" t="str">
        <x:f>IF(E282=F282,"PASS","FAIL")</x:f>
        <x:v>PASS</x:v>
      </x:c>
    </x:row>
    <x:row r="283">
      <x:c r="B283" s="21" t="str">
        <x:v>A00277</x:v>
      </x:c>
      <x:c r="C283" s="21" t="str">
        <x:v>scenario</x:v>
      </x:c>
      <x:c r="D283" s="21" t="str">
        <x:v>scenario result 78 state</x:v>
      </x:c>
      <x:c r="E283" s="21" t="n">
        <x:f>IF('Scenario Results'!K84=IF('Scenario Results'!J84&gt;=1,"ADEQUATE","GAP"),1,0)</x:f>
        <x:v>1</x:v>
      </x:c>
      <x:c r="F283" s="21" t="n">
        <x:v>1</x:v>
      </x:c>
      <x:c r="G283" s="23" t="str">
        <x:f>IF(E283=F283,"PASS","FAIL")</x:f>
        <x:v>PASS</x:v>
      </x:c>
    </x:row>
    <x:row r="284">
      <x:c r="B284" s="21" t="str">
        <x:v>A00278</x:v>
      </x:c>
      <x:c r="C284" s="21" t="str">
        <x:v>scenario</x:v>
      </x:c>
      <x:c r="D284" s="21" t="str">
        <x:v>scenario result 79 conservation</x:v>
      </x:c>
      <x:c r="E284" s="21" t="n">
        <x:f>IF(AND(ABS('Scenario Results'!I85-MIN('Scenario Results'!E85,'Scenario Results'!H85))&lt;0.000001,'Scenario Results'!I85&lt;='Scenario Results'!E85),1,0)</x:f>
        <x:v>1</x:v>
      </x:c>
      <x:c r="F284" s="21" t="n">
        <x:v>1</x:v>
      </x:c>
      <x:c r="G284" s="23" t="str">
        <x:f>IF(E284=F284,"PASS","FAIL")</x:f>
        <x:v>PASS</x:v>
      </x:c>
    </x:row>
    <x:row r="285">
      <x:c r="B285" s="21" t="str">
        <x:v>A00279</x:v>
      </x:c>
      <x:c r="C285" s="21" t="str">
        <x:v>scenario</x:v>
      </x:c>
      <x:c r="D285" s="21" t="str">
        <x:v>scenario result 79 state</x:v>
      </x:c>
      <x:c r="E285" s="21" t="n">
        <x:f>IF('Scenario Results'!K85=IF('Scenario Results'!J85&gt;=1,"ADEQUATE","GAP"),1,0)</x:f>
        <x:v>1</x:v>
      </x:c>
      <x:c r="F285" s="21" t="n">
        <x:v>1</x:v>
      </x:c>
      <x:c r="G285" s="23" t="str">
        <x:f>IF(E285=F285,"PASS","FAIL")</x:f>
        <x:v>PASS</x:v>
      </x:c>
    </x:row>
    <x:row r="286">
      <x:c r="B286" s="21" t="str">
        <x:v>A00280</x:v>
      </x:c>
      <x:c r="C286" s="21" t="str">
        <x:v>scenario</x:v>
      </x:c>
      <x:c r="D286" s="21" t="str">
        <x:v>scenario result 80 conservation</x:v>
      </x:c>
      <x:c r="E286" s="21" t="n">
        <x:f>IF(AND(ABS('Scenario Results'!I86-MIN('Scenario Results'!E86,'Scenario Results'!H86))&lt;0.000001,'Scenario Results'!I86&lt;='Scenario Results'!E86),1,0)</x:f>
        <x:v>1</x:v>
      </x:c>
      <x:c r="F286" s="21" t="n">
        <x:v>1</x:v>
      </x:c>
      <x:c r="G286" s="23" t="str">
        <x:f>IF(E286=F286,"PASS","FAIL")</x:f>
        <x:v>PASS</x:v>
      </x:c>
    </x:row>
    <x:row r="287">
      <x:c r="B287" s="21" t="str">
        <x:v>A00281</x:v>
      </x:c>
      <x:c r="C287" s="21" t="str">
        <x:v>scenario</x:v>
      </x:c>
      <x:c r="D287" s="21" t="str">
        <x:v>scenario result 80 state</x:v>
      </x:c>
      <x:c r="E287" s="21" t="n">
        <x:f>IF('Scenario Results'!K86=IF('Scenario Results'!J86&gt;=1,"ADEQUATE","GAP"),1,0)</x:f>
        <x:v>1</x:v>
      </x:c>
      <x:c r="F287" s="21" t="n">
        <x:v>1</x:v>
      </x:c>
      <x:c r="G287" s="23" t="str">
        <x:f>IF(E287=F287,"PASS","FAIL")</x:f>
        <x:v>PASS</x:v>
      </x:c>
    </x:row>
    <x:row r="288">
      <x:c r="B288" s="21" t="str">
        <x:v>A00282</x:v>
      </x:c>
      <x:c r="C288" s="21" t="str">
        <x:v>scenario</x:v>
      </x:c>
      <x:c r="D288" s="21" t="str">
        <x:v>scenario result 81 conservation</x:v>
      </x:c>
      <x:c r="E288" s="21" t="n">
        <x:f>IF(AND(ABS('Scenario Results'!I87-MIN('Scenario Results'!E87,'Scenario Results'!H87))&lt;0.000001,'Scenario Results'!I87&lt;='Scenario Results'!E87),1,0)</x:f>
        <x:v>1</x:v>
      </x:c>
      <x:c r="F288" s="21" t="n">
        <x:v>1</x:v>
      </x:c>
      <x:c r="G288" s="23" t="str">
        <x:f>IF(E288=F288,"PASS","FAIL")</x:f>
        <x:v>PASS</x:v>
      </x:c>
    </x:row>
    <x:row r="289">
      <x:c r="B289" s="21" t="str">
        <x:v>A00283</x:v>
      </x:c>
      <x:c r="C289" s="21" t="str">
        <x:v>scenario</x:v>
      </x:c>
      <x:c r="D289" s="21" t="str">
        <x:v>scenario result 81 state</x:v>
      </x:c>
      <x:c r="E289" s="21" t="n">
        <x:f>IF('Scenario Results'!K87=IF('Scenario Results'!J87&gt;=1,"ADEQUATE","GAP"),1,0)</x:f>
        <x:v>1</x:v>
      </x:c>
      <x:c r="F289" s="21" t="n">
        <x:v>1</x:v>
      </x:c>
      <x:c r="G289" s="23" t="str">
        <x:f>IF(E289=F289,"PASS","FAIL")</x:f>
        <x:v>PASS</x:v>
      </x:c>
    </x:row>
    <x:row r="290">
      <x:c r="B290" s="21" t="str">
        <x:v>A00284</x:v>
      </x:c>
      <x:c r="C290" s="21" t="str">
        <x:v>scenario</x:v>
      </x:c>
      <x:c r="D290" s="21" t="str">
        <x:v>scenario result 82 conservation</x:v>
      </x:c>
      <x:c r="E290" s="21" t="n">
        <x:f>IF(AND(ABS('Scenario Results'!I88-MIN('Scenario Results'!E88,'Scenario Results'!H88))&lt;0.000001,'Scenario Results'!I88&lt;='Scenario Results'!E88),1,0)</x:f>
        <x:v>1</x:v>
      </x:c>
      <x:c r="F290" s="21" t="n">
        <x:v>1</x:v>
      </x:c>
      <x:c r="G290" s="23" t="str">
        <x:f>IF(E290=F290,"PASS","FAIL")</x:f>
        <x:v>PASS</x:v>
      </x:c>
    </x:row>
    <x:row r="291">
      <x:c r="B291" s="21" t="str">
        <x:v>A00285</x:v>
      </x:c>
      <x:c r="C291" s="21" t="str">
        <x:v>scenario</x:v>
      </x:c>
      <x:c r="D291" s="21" t="str">
        <x:v>scenario result 82 state</x:v>
      </x:c>
      <x:c r="E291" s="21" t="n">
        <x:f>IF('Scenario Results'!K88=IF('Scenario Results'!J88&gt;=1,"ADEQUATE","GAP"),1,0)</x:f>
        <x:v>1</x:v>
      </x:c>
      <x:c r="F291" s="21" t="n">
        <x:v>1</x:v>
      </x:c>
      <x:c r="G291" s="23" t="str">
        <x:f>IF(E291=F291,"PASS","FAIL")</x:f>
        <x:v>PASS</x:v>
      </x:c>
    </x:row>
    <x:row r="292">
      <x:c r="B292" s="21" t="str">
        <x:v>A00286</x:v>
      </x:c>
      <x:c r="C292" s="21" t="str">
        <x:v>scenario</x:v>
      </x:c>
      <x:c r="D292" s="21" t="str">
        <x:v>scenario result 83 conservation</x:v>
      </x:c>
      <x:c r="E292" s="21" t="n">
        <x:f>IF(AND(ABS('Scenario Results'!I89-MIN('Scenario Results'!E89,'Scenario Results'!H89))&lt;0.000001,'Scenario Results'!I89&lt;='Scenario Results'!E89),1,0)</x:f>
        <x:v>1</x:v>
      </x:c>
      <x:c r="F292" s="21" t="n">
        <x:v>1</x:v>
      </x:c>
      <x:c r="G292" s="23" t="str">
        <x:f>IF(E292=F292,"PASS","FAIL")</x:f>
        <x:v>PASS</x:v>
      </x:c>
    </x:row>
    <x:row r="293">
      <x:c r="B293" s="21" t="str">
        <x:v>A00287</x:v>
      </x:c>
      <x:c r="C293" s="21" t="str">
        <x:v>scenario</x:v>
      </x:c>
      <x:c r="D293" s="21" t="str">
        <x:v>scenario result 83 state</x:v>
      </x:c>
      <x:c r="E293" s="21" t="n">
        <x:f>IF('Scenario Results'!K89=IF('Scenario Results'!J89&gt;=1,"ADEQUATE","GAP"),1,0)</x:f>
        <x:v>1</x:v>
      </x:c>
      <x:c r="F293" s="21" t="n">
        <x:v>1</x:v>
      </x:c>
      <x:c r="G293" s="23" t="str">
        <x:f>IF(E293=F293,"PASS","FAIL")</x:f>
        <x:v>PASS</x:v>
      </x:c>
    </x:row>
    <x:row r="294">
      <x:c r="B294" s="21" t="str">
        <x:v>A00288</x:v>
      </x:c>
      <x:c r="C294" s="21" t="str">
        <x:v>scenario</x:v>
      </x:c>
      <x:c r="D294" s="21" t="str">
        <x:v>scenario result 84 conservation</x:v>
      </x:c>
      <x:c r="E294" s="21" t="n">
        <x:f>IF(AND(ABS('Scenario Results'!I90-MIN('Scenario Results'!E90,'Scenario Results'!H90))&lt;0.000001,'Scenario Results'!I90&lt;='Scenario Results'!E90),1,0)</x:f>
        <x:v>1</x:v>
      </x:c>
      <x:c r="F294" s="21" t="n">
        <x:v>1</x:v>
      </x:c>
      <x:c r="G294" s="23" t="str">
        <x:f>IF(E294=F294,"PASS","FAIL")</x:f>
        <x:v>PASS</x:v>
      </x:c>
    </x:row>
    <x:row r="295">
      <x:c r="B295" s="21" t="str">
        <x:v>A00289</x:v>
      </x:c>
      <x:c r="C295" s="21" t="str">
        <x:v>scenario</x:v>
      </x:c>
      <x:c r="D295" s="21" t="str">
        <x:v>scenario result 84 state</x:v>
      </x:c>
      <x:c r="E295" s="21" t="n">
        <x:f>IF('Scenario Results'!K90=IF('Scenario Results'!J90&gt;=1,"ADEQUATE","GAP"),1,0)</x:f>
        <x:v>1</x:v>
      </x:c>
      <x:c r="F295" s="21" t="n">
        <x:v>1</x:v>
      </x:c>
      <x:c r="G295" s="23" t="str">
        <x:f>IF(E295=F295,"PASS","FAIL")</x:f>
        <x:v>PASS</x:v>
      </x:c>
    </x:row>
    <x:row r="296">
      <x:c r="B296" s="21" t="str">
        <x:v>A00290</x:v>
      </x:c>
      <x:c r="C296" s="21" t="str">
        <x:v>scenario</x:v>
      </x:c>
      <x:c r="D296" s="21" t="str">
        <x:v>scenario result 85 conservation</x:v>
      </x:c>
      <x:c r="E296" s="21" t="n">
        <x:f>IF(AND(ABS('Scenario Results'!I91-MIN('Scenario Results'!E91,'Scenario Results'!H91))&lt;0.000001,'Scenario Results'!I91&lt;='Scenario Results'!E91),1,0)</x:f>
        <x:v>1</x:v>
      </x:c>
      <x:c r="F296" s="21" t="n">
        <x:v>1</x:v>
      </x:c>
      <x:c r="G296" s="23" t="str">
        <x:f>IF(E296=F296,"PASS","FAIL")</x:f>
        <x:v>PASS</x:v>
      </x:c>
    </x:row>
    <x:row r="297">
      <x:c r="B297" s="21" t="str">
        <x:v>A00291</x:v>
      </x:c>
      <x:c r="C297" s="21" t="str">
        <x:v>scenario</x:v>
      </x:c>
      <x:c r="D297" s="21" t="str">
        <x:v>scenario result 85 state</x:v>
      </x:c>
      <x:c r="E297" s="21" t="n">
        <x:f>IF('Scenario Results'!K91=IF('Scenario Results'!J91&gt;=1,"ADEQUATE","GAP"),1,0)</x:f>
        <x:v>1</x:v>
      </x:c>
      <x:c r="F297" s="21" t="n">
        <x:v>1</x:v>
      </x:c>
      <x:c r="G297" s="23" t="str">
        <x:f>IF(E297=F297,"PASS","FAIL")</x:f>
        <x:v>PASS</x:v>
      </x:c>
    </x:row>
    <x:row r="298">
      <x:c r="B298" s="21" t="str">
        <x:v>A00292</x:v>
      </x:c>
      <x:c r="C298" s="21" t="str">
        <x:v>scenario</x:v>
      </x:c>
      <x:c r="D298" s="21" t="str">
        <x:v>scenario result 86 conservation</x:v>
      </x:c>
      <x:c r="E298" s="21" t="n">
        <x:f>IF(AND(ABS('Scenario Results'!I92-MIN('Scenario Results'!E92,'Scenario Results'!H92))&lt;0.000001,'Scenario Results'!I92&lt;='Scenario Results'!E92),1,0)</x:f>
        <x:v>1</x:v>
      </x:c>
      <x:c r="F298" s="21" t="n">
        <x:v>1</x:v>
      </x:c>
      <x:c r="G298" s="23" t="str">
        <x:f>IF(E298=F298,"PASS","FAIL")</x:f>
        <x:v>PASS</x:v>
      </x:c>
    </x:row>
    <x:row r="299">
      <x:c r="B299" s="21" t="str">
        <x:v>A00293</x:v>
      </x:c>
      <x:c r="C299" s="21" t="str">
        <x:v>scenario</x:v>
      </x:c>
      <x:c r="D299" s="21" t="str">
        <x:v>scenario result 86 state</x:v>
      </x:c>
      <x:c r="E299" s="21" t="n">
        <x:f>IF('Scenario Results'!K92=IF('Scenario Results'!J92&gt;=1,"ADEQUATE","GAP"),1,0)</x:f>
        <x:v>1</x:v>
      </x:c>
      <x:c r="F299" s="21" t="n">
        <x:v>1</x:v>
      </x:c>
      <x:c r="G299" s="23" t="str">
        <x:f>IF(E299=F299,"PASS","FAIL")</x:f>
        <x:v>PASS</x:v>
      </x:c>
    </x:row>
    <x:row r="300">
      <x:c r="B300" s="21" t="str">
        <x:v>A00294</x:v>
      </x:c>
      <x:c r="C300" s="21" t="str">
        <x:v>scenario</x:v>
      </x:c>
      <x:c r="D300" s="21" t="str">
        <x:v>scenario result 87 conservation</x:v>
      </x:c>
      <x:c r="E300" s="21" t="n">
        <x:f>IF(AND(ABS('Scenario Results'!I93-MIN('Scenario Results'!E93,'Scenario Results'!H93))&lt;0.000001,'Scenario Results'!I93&lt;='Scenario Results'!E93),1,0)</x:f>
        <x:v>1</x:v>
      </x:c>
      <x:c r="F300" s="21" t="n">
        <x:v>1</x:v>
      </x:c>
      <x:c r="G300" s="23" t="str">
        <x:f>IF(E300=F300,"PASS","FAIL")</x:f>
        <x:v>PASS</x:v>
      </x:c>
    </x:row>
    <x:row r="301">
      <x:c r="B301" s="21" t="str">
        <x:v>A00295</x:v>
      </x:c>
      <x:c r="C301" s="21" t="str">
        <x:v>scenario</x:v>
      </x:c>
      <x:c r="D301" s="21" t="str">
        <x:v>scenario result 87 state</x:v>
      </x:c>
      <x:c r="E301" s="21" t="n">
        <x:f>IF('Scenario Results'!K93=IF('Scenario Results'!J93&gt;=1,"ADEQUATE","GAP"),1,0)</x:f>
        <x:v>1</x:v>
      </x:c>
      <x:c r="F301" s="21" t="n">
        <x:v>1</x:v>
      </x:c>
      <x:c r="G301" s="23" t="str">
        <x:f>IF(E301=F301,"PASS","FAIL")</x:f>
        <x:v>PASS</x:v>
      </x:c>
    </x:row>
    <x:row r="302">
      <x:c r="B302" s="21" t="str">
        <x:v>A00296</x:v>
      </x:c>
      <x:c r="C302" s="21" t="str">
        <x:v>scenario</x:v>
      </x:c>
      <x:c r="D302" s="21" t="str">
        <x:v>scenario result 88 conservation</x:v>
      </x:c>
      <x:c r="E302" s="21" t="n">
        <x:f>IF(AND(ABS('Scenario Results'!I94-MIN('Scenario Results'!E94,'Scenario Results'!H94))&lt;0.000001,'Scenario Results'!I94&lt;='Scenario Results'!E94),1,0)</x:f>
        <x:v>1</x:v>
      </x:c>
      <x:c r="F302" s="21" t="n">
        <x:v>1</x:v>
      </x:c>
      <x:c r="G302" s="23" t="str">
        <x:f>IF(E302=F302,"PASS","FAIL")</x:f>
        <x:v>PASS</x:v>
      </x:c>
    </x:row>
    <x:row r="303">
      <x:c r="B303" s="21" t="str">
        <x:v>A00297</x:v>
      </x:c>
      <x:c r="C303" s="21" t="str">
        <x:v>scenario</x:v>
      </x:c>
      <x:c r="D303" s="21" t="str">
        <x:v>scenario result 88 state</x:v>
      </x:c>
      <x:c r="E303" s="21" t="n">
        <x:f>IF('Scenario Results'!K94=IF('Scenario Results'!J94&gt;=1,"ADEQUATE","GAP"),1,0)</x:f>
        <x:v>1</x:v>
      </x:c>
      <x:c r="F303" s="21" t="n">
        <x:v>1</x:v>
      </x:c>
      <x:c r="G303" s="23" t="str">
        <x:f>IF(E303=F303,"PASS","FAIL")</x:f>
        <x:v>PASS</x:v>
      </x:c>
    </x:row>
    <x:row r="304">
      <x:c r="B304" s="21" t="str">
        <x:v>A00298</x:v>
      </x:c>
      <x:c r="C304" s="21" t="str">
        <x:v>scenario</x:v>
      </x:c>
      <x:c r="D304" s="21" t="str">
        <x:v>scenario result 89 conservation</x:v>
      </x:c>
      <x:c r="E304" s="21" t="n">
        <x:f>IF(AND(ABS('Scenario Results'!I95-MIN('Scenario Results'!E95,'Scenario Results'!H95))&lt;0.000001,'Scenario Results'!I95&lt;='Scenario Results'!E95),1,0)</x:f>
        <x:v>1</x:v>
      </x:c>
      <x:c r="F304" s="21" t="n">
        <x:v>1</x:v>
      </x:c>
      <x:c r="G304" s="23" t="str">
        <x:f>IF(E304=F304,"PASS","FAIL")</x:f>
        <x:v>PASS</x:v>
      </x:c>
    </x:row>
    <x:row r="305">
      <x:c r="B305" s="21" t="str">
        <x:v>A00299</x:v>
      </x:c>
      <x:c r="C305" s="21" t="str">
        <x:v>scenario</x:v>
      </x:c>
      <x:c r="D305" s="21" t="str">
        <x:v>scenario result 89 state</x:v>
      </x:c>
      <x:c r="E305" s="21" t="n">
        <x:f>IF('Scenario Results'!K95=IF('Scenario Results'!J95&gt;=1,"ADEQUATE","GAP"),1,0)</x:f>
        <x:v>1</x:v>
      </x:c>
      <x:c r="F305" s="21" t="n">
        <x:v>1</x:v>
      </x:c>
      <x:c r="G305" s="23" t="str">
        <x:f>IF(E305=F305,"PASS","FAIL")</x:f>
        <x:v>PASS</x:v>
      </x:c>
    </x:row>
    <x:row r="306">
      <x:c r="B306" s="21" t="str">
        <x:v>A00300</x:v>
      </x:c>
      <x:c r="C306" s="21" t="str">
        <x:v>scenario</x:v>
      </x:c>
      <x:c r="D306" s="21" t="str">
        <x:v>scenario result 90 conservation</x:v>
      </x:c>
      <x:c r="E306" s="21" t="n">
        <x:f>IF(AND(ABS('Scenario Results'!I96-MIN('Scenario Results'!E96,'Scenario Results'!H96))&lt;0.000001,'Scenario Results'!I96&lt;='Scenario Results'!E96),1,0)</x:f>
        <x:v>1</x:v>
      </x:c>
      <x:c r="F306" s="21" t="n">
        <x:v>1</x:v>
      </x:c>
      <x:c r="G306" s="23" t="str">
        <x:f>IF(E306=F306,"PASS","FAIL")</x:f>
        <x:v>PASS</x:v>
      </x:c>
    </x:row>
    <x:row r="307">
      <x:c r="B307" s="21" t="str">
        <x:v>A00301</x:v>
      </x:c>
      <x:c r="C307" s="21" t="str">
        <x:v>scenario</x:v>
      </x:c>
      <x:c r="D307" s="21" t="str">
        <x:v>scenario result 90 state</x:v>
      </x:c>
      <x:c r="E307" s="21" t="n">
        <x:f>IF('Scenario Results'!K96=IF('Scenario Results'!J96&gt;=1,"ADEQUATE","GAP"),1,0)</x:f>
        <x:v>1</x:v>
      </x:c>
      <x:c r="F307" s="21" t="n">
        <x:v>1</x:v>
      </x:c>
      <x:c r="G307" s="23" t="str">
        <x:f>IF(E307=F307,"PASS","FAIL")</x:f>
        <x:v>PASS</x:v>
      </x:c>
    </x:row>
    <x:row r="308">
      <x:c r="B308" s="21" t="str">
        <x:v>A00302</x:v>
      </x:c>
      <x:c r="C308" s="21" t="str">
        <x:v>scenario</x:v>
      </x:c>
      <x:c r="D308" s="21" t="str">
        <x:v>scenario result 91 conservation</x:v>
      </x:c>
      <x:c r="E308" s="21" t="n">
        <x:f>IF(AND(ABS('Scenario Results'!I97-MIN('Scenario Results'!E97,'Scenario Results'!H97))&lt;0.000001,'Scenario Results'!I97&lt;='Scenario Results'!E97),1,0)</x:f>
        <x:v>1</x:v>
      </x:c>
      <x:c r="F308" s="21" t="n">
        <x:v>1</x:v>
      </x:c>
      <x:c r="G308" s="23" t="str">
        <x:f>IF(E308=F308,"PASS","FAIL")</x:f>
        <x:v>PASS</x:v>
      </x:c>
    </x:row>
    <x:row r="309">
      <x:c r="B309" s="21" t="str">
        <x:v>A00303</x:v>
      </x:c>
      <x:c r="C309" s="21" t="str">
        <x:v>scenario</x:v>
      </x:c>
      <x:c r="D309" s="21" t="str">
        <x:v>scenario result 91 state</x:v>
      </x:c>
      <x:c r="E309" s="21" t="n">
        <x:f>IF('Scenario Results'!K97=IF('Scenario Results'!J97&gt;=1,"ADEQUATE","GAP"),1,0)</x:f>
        <x:v>1</x:v>
      </x:c>
      <x:c r="F309" s="21" t="n">
        <x:v>1</x:v>
      </x:c>
      <x:c r="G309" s="23" t="str">
        <x:f>IF(E309=F309,"PASS","FAIL")</x:f>
        <x:v>PASS</x:v>
      </x:c>
    </x:row>
    <x:row r="310">
      <x:c r="B310" s="21" t="str">
        <x:v>A00304</x:v>
      </x:c>
      <x:c r="C310" s="21" t="str">
        <x:v>scenario</x:v>
      </x:c>
      <x:c r="D310" s="21" t="str">
        <x:v>scenario result 92 conservation</x:v>
      </x:c>
      <x:c r="E310" s="21" t="n">
        <x:f>IF(AND(ABS('Scenario Results'!I98-MIN('Scenario Results'!E98,'Scenario Results'!H98))&lt;0.000001,'Scenario Results'!I98&lt;='Scenario Results'!E98),1,0)</x:f>
        <x:v>1</x:v>
      </x:c>
      <x:c r="F310" s="21" t="n">
        <x:v>1</x:v>
      </x:c>
      <x:c r="G310" s="23" t="str">
        <x:f>IF(E310=F310,"PASS","FAIL")</x:f>
        <x:v>PASS</x:v>
      </x:c>
    </x:row>
    <x:row r="311">
      <x:c r="B311" s="21" t="str">
        <x:v>A00305</x:v>
      </x:c>
      <x:c r="C311" s="21" t="str">
        <x:v>scenario</x:v>
      </x:c>
      <x:c r="D311" s="21" t="str">
        <x:v>scenario result 92 state</x:v>
      </x:c>
      <x:c r="E311" s="21" t="n">
        <x:f>IF('Scenario Results'!K98=IF('Scenario Results'!J98&gt;=1,"ADEQUATE","GAP"),1,0)</x:f>
        <x:v>1</x:v>
      </x:c>
      <x:c r="F311" s="21" t="n">
        <x:v>1</x:v>
      </x:c>
      <x:c r="G311" s="23" t="str">
        <x:f>IF(E311=F311,"PASS","FAIL")</x:f>
        <x:v>PASS</x:v>
      </x:c>
    </x:row>
    <x:row r="312">
      <x:c r="B312" s="21" t="str">
        <x:v>A00306</x:v>
      </x:c>
      <x:c r="C312" s="21" t="str">
        <x:v>scenario</x:v>
      </x:c>
      <x:c r="D312" s="21" t="str">
        <x:v>scenario result 93 conservation</x:v>
      </x:c>
      <x:c r="E312" s="21" t="n">
        <x:f>IF(AND(ABS('Scenario Results'!I99-MIN('Scenario Results'!E99,'Scenario Results'!H99))&lt;0.000001,'Scenario Results'!I99&lt;='Scenario Results'!E99),1,0)</x:f>
        <x:v>1</x:v>
      </x:c>
      <x:c r="F312" s="21" t="n">
        <x:v>1</x:v>
      </x:c>
      <x:c r="G312" s="23" t="str">
        <x:f>IF(E312=F312,"PASS","FAIL")</x:f>
        <x:v>PASS</x:v>
      </x:c>
    </x:row>
    <x:row r="313">
      <x:c r="B313" s="21" t="str">
        <x:v>A00307</x:v>
      </x:c>
      <x:c r="C313" s="21" t="str">
        <x:v>scenario</x:v>
      </x:c>
      <x:c r="D313" s="21" t="str">
        <x:v>scenario result 93 state</x:v>
      </x:c>
      <x:c r="E313" s="21" t="n">
        <x:f>IF('Scenario Results'!K99=IF('Scenario Results'!J99&gt;=1,"ADEQUATE","GAP"),1,0)</x:f>
        <x:v>1</x:v>
      </x:c>
      <x:c r="F313" s="21" t="n">
        <x:v>1</x:v>
      </x:c>
      <x:c r="G313" s="23" t="str">
        <x:f>IF(E313=F313,"PASS","FAIL")</x:f>
        <x:v>PASS</x:v>
      </x:c>
    </x:row>
    <x:row r="314">
      <x:c r="B314" s="21" t="str">
        <x:v>A00308</x:v>
      </x:c>
      <x:c r="C314" s="21" t="str">
        <x:v>scenario</x:v>
      </x:c>
      <x:c r="D314" s="21" t="str">
        <x:v>scenario result 94 conservation</x:v>
      </x:c>
      <x:c r="E314" s="21" t="n">
        <x:f>IF(AND(ABS('Scenario Results'!I100-MIN('Scenario Results'!E100,'Scenario Results'!H100))&lt;0.000001,'Scenario Results'!I100&lt;='Scenario Results'!E100),1,0)</x:f>
        <x:v>1</x:v>
      </x:c>
      <x:c r="F314" s="21" t="n">
        <x:v>1</x:v>
      </x:c>
      <x:c r="G314" s="23" t="str">
        <x:f>IF(E314=F314,"PASS","FAIL")</x:f>
        <x:v>PASS</x:v>
      </x:c>
    </x:row>
    <x:row r="315">
      <x:c r="B315" s="21" t="str">
        <x:v>A00309</x:v>
      </x:c>
      <x:c r="C315" s="21" t="str">
        <x:v>scenario</x:v>
      </x:c>
      <x:c r="D315" s="21" t="str">
        <x:v>scenario result 94 state</x:v>
      </x:c>
      <x:c r="E315" s="21" t="n">
        <x:f>IF('Scenario Results'!K100=IF('Scenario Results'!J100&gt;=1,"ADEQUATE","GAP"),1,0)</x:f>
        <x:v>1</x:v>
      </x:c>
      <x:c r="F315" s="21" t="n">
        <x:v>1</x:v>
      </x:c>
      <x:c r="G315" s="23" t="str">
        <x:f>IF(E315=F315,"PASS","FAIL")</x:f>
        <x:v>PASS</x:v>
      </x:c>
    </x:row>
    <x:row r="316">
      <x:c r="B316" s="21" t="str">
        <x:v>A00310</x:v>
      </x:c>
      <x:c r="C316" s="21" t="str">
        <x:v>scenario</x:v>
      </x:c>
      <x:c r="D316" s="21" t="str">
        <x:v>scenario result 95 conservation</x:v>
      </x:c>
      <x:c r="E316" s="21" t="n">
        <x:f>IF(AND(ABS('Scenario Results'!I101-MIN('Scenario Results'!E101,'Scenario Results'!H101))&lt;0.000001,'Scenario Results'!I101&lt;='Scenario Results'!E101),1,0)</x:f>
        <x:v>1</x:v>
      </x:c>
      <x:c r="F316" s="21" t="n">
        <x:v>1</x:v>
      </x:c>
      <x:c r="G316" s="23" t="str">
        <x:f>IF(E316=F316,"PASS","FAIL")</x:f>
        <x:v>PASS</x:v>
      </x:c>
    </x:row>
    <x:row r="317">
      <x:c r="B317" s="21" t="str">
        <x:v>A00311</x:v>
      </x:c>
      <x:c r="C317" s="21" t="str">
        <x:v>scenario</x:v>
      </x:c>
      <x:c r="D317" s="21" t="str">
        <x:v>scenario result 95 state</x:v>
      </x:c>
      <x:c r="E317" s="21" t="n">
        <x:f>IF('Scenario Results'!K101=IF('Scenario Results'!J101&gt;=1,"ADEQUATE","GAP"),1,0)</x:f>
        <x:v>1</x:v>
      </x:c>
      <x:c r="F317" s="21" t="n">
        <x:v>1</x:v>
      </x:c>
      <x:c r="G317" s="23" t="str">
        <x:f>IF(E317=F317,"PASS","FAIL")</x:f>
        <x:v>PASS</x:v>
      </x:c>
    </x:row>
    <x:row r="318">
      <x:c r="B318" s="21" t="str">
        <x:v>A00312</x:v>
      </x:c>
      <x:c r="C318" s="21" t="str">
        <x:v>scenario</x:v>
      </x:c>
      <x:c r="D318" s="21" t="str">
        <x:v>scenario result 96 conservation</x:v>
      </x:c>
      <x:c r="E318" s="21" t="n">
        <x:f>IF(AND(ABS('Scenario Results'!I102-MIN('Scenario Results'!E102,'Scenario Results'!H102))&lt;0.000001,'Scenario Results'!I102&lt;='Scenario Results'!E102),1,0)</x:f>
        <x:v>1</x:v>
      </x:c>
      <x:c r="F318" s="21" t="n">
        <x:v>1</x:v>
      </x:c>
      <x:c r="G318" s="23" t="str">
        <x:f>IF(E318=F318,"PASS","FAIL")</x:f>
        <x:v>PASS</x:v>
      </x:c>
    </x:row>
    <x:row r="319">
      <x:c r="B319" s="21" t="str">
        <x:v>A00313</x:v>
      </x:c>
      <x:c r="C319" s="21" t="str">
        <x:v>scenario</x:v>
      </x:c>
      <x:c r="D319" s="21" t="str">
        <x:v>scenario result 96 state</x:v>
      </x:c>
      <x:c r="E319" s="21" t="n">
        <x:f>IF('Scenario Results'!K102=IF('Scenario Results'!J102&gt;=1,"ADEQUATE","GAP"),1,0)</x:f>
        <x:v>1</x:v>
      </x:c>
      <x:c r="F319" s="21" t="n">
        <x:v>1</x:v>
      </x:c>
      <x:c r="G319" s="23" t="str">
        <x:f>IF(E319=F319,"PASS","FAIL")</x:f>
        <x:v>PASS</x:v>
      </x:c>
    </x:row>
    <x:row r="320">
      <x:c r="B320" s="21" t="str">
        <x:v>A00314</x:v>
      </x:c>
      <x:c r="C320" s="21" t="str">
        <x:v>scenario</x:v>
      </x:c>
      <x:c r="D320" s="21" t="str">
        <x:v>scenario result 97 conservation</x:v>
      </x:c>
      <x:c r="E320" s="21" t="n">
        <x:f>IF(AND(ABS('Scenario Results'!I103-MIN('Scenario Results'!E103,'Scenario Results'!H103))&lt;0.000001,'Scenario Results'!I103&lt;='Scenario Results'!E103),1,0)</x:f>
        <x:v>1</x:v>
      </x:c>
      <x:c r="F320" s="21" t="n">
        <x:v>1</x:v>
      </x:c>
      <x:c r="G320" s="23" t="str">
        <x:f>IF(E320=F320,"PASS","FAIL")</x:f>
        <x:v>PASS</x:v>
      </x:c>
    </x:row>
    <x:row r="321">
      <x:c r="B321" s="21" t="str">
        <x:v>A00315</x:v>
      </x:c>
      <x:c r="C321" s="21" t="str">
        <x:v>scenario</x:v>
      </x:c>
      <x:c r="D321" s="21" t="str">
        <x:v>scenario result 97 state</x:v>
      </x:c>
      <x:c r="E321" s="21" t="n">
        <x:f>IF('Scenario Results'!K103=IF('Scenario Results'!J103&gt;=1,"ADEQUATE","GAP"),1,0)</x:f>
        <x:v>1</x:v>
      </x:c>
      <x:c r="F321" s="21" t="n">
        <x:v>1</x:v>
      </x:c>
      <x:c r="G321" s="23" t="str">
        <x:f>IF(E321=F321,"PASS","FAIL")</x:f>
        <x:v>PASS</x:v>
      </x:c>
    </x:row>
    <x:row r="322">
      <x:c r="B322" s="21" t="str">
        <x:v>A00316</x:v>
      </x:c>
      <x:c r="C322" s="21" t="str">
        <x:v>scenario</x:v>
      </x:c>
      <x:c r="D322" s="21" t="str">
        <x:v>scenario result 98 conservation</x:v>
      </x:c>
      <x:c r="E322" s="21" t="n">
        <x:f>IF(AND(ABS('Scenario Results'!I104-MIN('Scenario Results'!E104,'Scenario Results'!H104))&lt;0.000001,'Scenario Results'!I104&lt;='Scenario Results'!E104),1,0)</x:f>
        <x:v>1</x:v>
      </x:c>
      <x:c r="F322" s="21" t="n">
        <x:v>1</x:v>
      </x:c>
      <x:c r="G322" s="23" t="str">
        <x:f>IF(E322=F322,"PASS","FAIL")</x:f>
        <x:v>PASS</x:v>
      </x:c>
    </x:row>
    <x:row r="323">
      <x:c r="B323" s="21" t="str">
        <x:v>A00317</x:v>
      </x:c>
      <x:c r="C323" s="21" t="str">
        <x:v>scenario</x:v>
      </x:c>
      <x:c r="D323" s="21" t="str">
        <x:v>scenario result 98 state</x:v>
      </x:c>
      <x:c r="E323" s="21" t="n">
        <x:f>IF('Scenario Results'!K104=IF('Scenario Results'!J104&gt;=1,"ADEQUATE","GAP"),1,0)</x:f>
        <x:v>1</x:v>
      </x:c>
      <x:c r="F323" s="21" t="n">
        <x:v>1</x:v>
      </x:c>
      <x:c r="G323" s="23" t="str">
        <x:f>IF(E323=F323,"PASS","FAIL")</x:f>
        <x:v>PASS</x:v>
      </x:c>
    </x:row>
    <x:row r="324">
      <x:c r="B324" s="21" t="str">
        <x:v>A00318</x:v>
      </x:c>
      <x:c r="C324" s="21" t="str">
        <x:v>scenario</x:v>
      </x:c>
      <x:c r="D324" s="21" t="str">
        <x:v>scenario result 99 conservation</x:v>
      </x:c>
      <x:c r="E324" s="21" t="n">
        <x:f>IF(AND(ABS('Scenario Results'!I105-MIN('Scenario Results'!E105,'Scenario Results'!H105))&lt;0.000001,'Scenario Results'!I105&lt;='Scenario Results'!E105),1,0)</x:f>
        <x:v>1</x:v>
      </x:c>
      <x:c r="F324" s="21" t="n">
        <x:v>1</x:v>
      </x:c>
      <x:c r="G324" s="23" t="str">
        <x:f>IF(E324=F324,"PASS","FAIL")</x:f>
        <x:v>PASS</x:v>
      </x:c>
    </x:row>
    <x:row r="325">
      <x:c r="B325" s="21" t="str">
        <x:v>A00319</x:v>
      </x:c>
      <x:c r="C325" s="21" t="str">
        <x:v>scenario</x:v>
      </x:c>
      <x:c r="D325" s="21" t="str">
        <x:v>scenario result 99 state</x:v>
      </x:c>
      <x:c r="E325" s="21" t="n">
        <x:f>IF('Scenario Results'!K105=IF('Scenario Results'!J105&gt;=1,"ADEQUATE","GAP"),1,0)</x:f>
        <x:v>1</x:v>
      </x:c>
      <x:c r="F325" s="21" t="n">
        <x:v>1</x:v>
      </x:c>
      <x:c r="G325" s="23" t="str">
        <x:f>IF(E325=F325,"PASS","FAIL")</x:f>
        <x:v>PASS</x:v>
      </x:c>
    </x:row>
    <x:row r="326">
      <x:c r="B326" s="21" t="str">
        <x:v>A00320</x:v>
      </x:c>
      <x:c r="C326" s="21" t="str">
        <x:v>scenario</x:v>
      </x:c>
      <x:c r="D326" s="21" t="str">
        <x:v>scenario result 100 conservation</x:v>
      </x:c>
      <x:c r="E326" s="21" t="n">
        <x:f>IF(AND(ABS('Scenario Results'!I106-MIN('Scenario Results'!E106,'Scenario Results'!H106))&lt;0.000001,'Scenario Results'!I106&lt;='Scenario Results'!E106),1,0)</x:f>
        <x:v>1</x:v>
      </x:c>
      <x:c r="F326" s="21" t="n">
        <x:v>1</x:v>
      </x:c>
      <x:c r="G326" s="23" t="str">
        <x:f>IF(E326=F326,"PASS","FAIL")</x:f>
        <x:v>PASS</x:v>
      </x:c>
    </x:row>
    <x:row r="327">
      <x:c r="B327" s="21" t="str">
        <x:v>A00321</x:v>
      </x:c>
      <x:c r="C327" s="21" t="str">
        <x:v>scenario</x:v>
      </x:c>
      <x:c r="D327" s="21" t="str">
        <x:v>scenario result 100 state</x:v>
      </x:c>
      <x:c r="E327" s="21" t="n">
        <x:f>IF('Scenario Results'!K106=IF('Scenario Results'!J106&gt;=1,"ADEQUATE","GAP"),1,0)</x:f>
        <x:v>1</x:v>
      </x:c>
      <x:c r="F327" s="21" t="n">
        <x:v>1</x:v>
      </x:c>
      <x:c r="G327" s="23" t="str">
        <x:f>IF(E327=F327,"PASS","FAIL")</x:f>
        <x:v>PASS</x:v>
      </x:c>
    </x:row>
    <x:row r="328">
      <x:c r="B328" s="21" t="str">
        <x:v>A00322</x:v>
      </x:c>
      <x:c r="C328" s="21" t="str">
        <x:v>scenario</x:v>
      </x:c>
      <x:c r="D328" s="21" t="str">
        <x:v>scenario result 101 conservation</x:v>
      </x:c>
      <x:c r="E328" s="21" t="n">
        <x:f>IF(AND(ABS('Scenario Results'!I107-MIN('Scenario Results'!E107,'Scenario Results'!H107))&lt;0.000001,'Scenario Results'!I107&lt;='Scenario Results'!E107),1,0)</x:f>
        <x:v>1</x:v>
      </x:c>
      <x:c r="F328" s="21" t="n">
        <x:v>1</x:v>
      </x:c>
      <x:c r="G328" s="23" t="str">
        <x:f>IF(E328=F328,"PASS","FAIL")</x:f>
        <x:v>PASS</x:v>
      </x:c>
    </x:row>
    <x:row r="329">
      <x:c r="B329" s="21" t="str">
        <x:v>A00323</x:v>
      </x:c>
      <x:c r="C329" s="21" t="str">
        <x:v>scenario</x:v>
      </x:c>
      <x:c r="D329" s="21" t="str">
        <x:v>scenario result 101 state</x:v>
      </x:c>
      <x:c r="E329" s="21" t="n">
        <x:f>IF('Scenario Results'!K107=IF('Scenario Results'!J107&gt;=1,"ADEQUATE","GAP"),1,0)</x:f>
        <x:v>1</x:v>
      </x:c>
      <x:c r="F329" s="21" t="n">
        <x:v>1</x:v>
      </x:c>
      <x:c r="G329" s="23" t="str">
        <x:f>IF(E329=F329,"PASS","FAIL")</x:f>
        <x:v>PASS</x:v>
      </x:c>
    </x:row>
    <x:row r="330">
      <x:c r="B330" s="21" t="str">
        <x:v>A00324</x:v>
      </x:c>
      <x:c r="C330" s="21" t="str">
        <x:v>scenario</x:v>
      </x:c>
      <x:c r="D330" s="21" t="str">
        <x:v>scenario result 102 conservation</x:v>
      </x:c>
      <x:c r="E330" s="21" t="n">
        <x:f>IF(AND(ABS('Scenario Results'!I108-MIN('Scenario Results'!E108,'Scenario Results'!H108))&lt;0.000001,'Scenario Results'!I108&lt;='Scenario Results'!E108),1,0)</x:f>
        <x:v>1</x:v>
      </x:c>
      <x:c r="F330" s="21" t="n">
        <x:v>1</x:v>
      </x:c>
      <x:c r="G330" s="23" t="str">
        <x:f>IF(E330=F330,"PASS","FAIL")</x:f>
        <x:v>PASS</x:v>
      </x:c>
    </x:row>
    <x:row r="331">
      <x:c r="B331" s="21" t="str">
        <x:v>A00325</x:v>
      </x:c>
      <x:c r="C331" s="21" t="str">
        <x:v>scenario</x:v>
      </x:c>
      <x:c r="D331" s="21" t="str">
        <x:v>scenario result 102 state</x:v>
      </x:c>
      <x:c r="E331" s="21" t="n">
        <x:f>IF('Scenario Results'!K108=IF('Scenario Results'!J108&gt;=1,"ADEQUATE","GAP"),1,0)</x:f>
        <x:v>1</x:v>
      </x:c>
      <x:c r="F331" s="21" t="n">
        <x:v>1</x:v>
      </x:c>
      <x:c r="G331" s="23" t="str">
        <x:f>IF(E331=F331,"PASS","FAIL")</x:f>
        <x:v>PASS</x:v>
      </x:c>
    </x:row>
    <x:row r="332">
      <x:c r="B332" s="21" t="str">
        <x:v>A00326</x:v>
      </x:c>
      <x:c r="C332" s="21" t="str">
        <x:v>scenario</x:v>
      </x:c>
      <x:c r="D332" s="21" t="str">
        <x:v>scenario result 103 conservation</x:v>
      </x:c>
      <x:c r="E332" s="21" t="n">
        <x:f>IF(AND(ABS('Scenario Results'!I109-MIN('Scenario Results'!E109,'Scenario Results'!H109))&lt;0.000001,'Scenario Results'!I109&lt;='Scenario Results'!E109),1,0)</x:f>
        <x:v>1</x:v>
      </x:c>
      <x:c r="F332" s="21" t="n">
        <x:v>1</x:v>
      </x:c>
      <x:c r="G332" s="23" t="str">
        <x:f>IF(E332=F332,"PASS","FAIL")</x:f>
        <x:v>PASS</x:v>
      </x:c>
    </x:row>
    <x:row r="333">
      <x:c r="B333" s="21" t="str">
        <x:v>A00327</x:v>
      </x:c>
      <x:c r="C333" s="21" t="str">
        <x:v>scenario</x:v>
      </x:c>
      <x:c r="D333" s="21" t="str">
        <x:v>scenario result 103 state</x:v>
      </x:c>
      <x:c r="E333" s="21" t="n">
        <x:f>IF('Scenario Results'!K109=IF('Scenario Results'!J109&gt;=1,"ADEQUATE","GAP"),1,0)</x:f>
        <x:v>1</x:v>
      </x:c>
      <x:c r="F333" s="21" t="n">
        <x:v>1</x:v>
      </x:c>
      <x:c r="G333" s="23" t="str">
        <x:f>IF(E333=F333,"PASS","FAIL")</x:f>
        <x:v>PASS</x:v>
      </x:c>
    </x:row>
    <x:row r="334">
      <x:c r="B334" s="21" t="str">
        <x:v>A00328</x:v>
      </x:c>
      <x:c r="C334" s="21" t="str">
        <x:v>scenario</x:v>
      </x:c>
      <x:c r="D334" s="21" t="str">
        <x:v>scenario result 104 conservation</x:v>
      </x:c>
      <x:c r="E334" s="21" t="n">
        <x:f>IF(AND(ABS('Scenario Results'!I110-MIN('Scenario Results'!E110,'Scenario Results'!H110))&lt;0.000001,'Scenario Results'!I110&lt;='Scenario Results'!E110),1,0)</x:f>
        <x:v>1</x:v>
      </x:c>
      <x:c r="F334" s="21" t="n">
        <x:v>1</x:v>
      </x:c>
      <x:c r="G334" s="23" t="str">
        <x:f>IF(E334=F334,"PASS","FAIL")</x:f>
        <x:v>PASS</x:v>
      </x:c>
    </x:row>
    <x:row r="335">
      <x:c r="B335" s="21" t="str">
        <x:v>A00329</x:v>
      </x:c>
      <x:c r="C335" s="21" t="str">
        <x:v>scenario</x:v>
      </x:c>
      <x:c r="D335" s="21" t="str">
        <x:v>scenario result 104 state</x:v>
      </x:c>
      <x:c r="E335" s="21" t="n">
        <x:f>IF('Scenario Results'!K110=IF('Scenario Results'!J110&gt;=1,"ADEQUATE","GAP"),1,0)</x:f>
        <x:v>1</x:v>
      </x:c>
      <x:c r="F335" s="21" t="n">
        <x:v>1</x:v>
      </x:c>
      <x:c r="G335" s="23" t="str">
        <x:f>IF(E335=F335,"PASS","FAIL")</x:f>
        <x:v>PASS</x:v>
      </x:c>
    </x:row>
    <x:row r="336">
      <x:c r="B336" s="21" t="str">
        <x:v>A00330</x:v>
      </x:c>
      <x:c r="C336" s="21" t="str">
        <x:v>scenario</x:v>
      </x:c>
      <x:c r="D336" s="21" t="str">
        <x:v>scenario result 105 conservation</x:v>
      </x:c>
      <x:c r="E336" s="21" t="n">
        <x:f>IF(AND(ABS('Scenario Results'!I111-MIN('Scenario Results'!E111,'Scenario Results'!H111))&lt;0.000001,'Scenario Results'!I111&lt;='Scenario Results'!E111),1,0)</x:f>
        <x:v>1</x:v>
      </x:c>
      <x:c r="F336" s="21" t="n">
        <x:v>1</x:v>
      </x:c>
      <x:c r="G336" s="23" t="str">
        <x:f>IF(E336=F336,"PASS","FAIL")</x:f>
        <x:v>PASS</x:v>
      </x:c>
    </x:row>
    <x:row r="337">
      <x:c r="B337" s="21" t="str">
        <x:v>A00331</x:v>
      </x:c>
      <x:c r="C337" s="21" t="str">
        <x:v>scenario</x:v>
      </x:c>
      <x:c r="D337" s="21" t="str">
        <x:v>scenario result 105 state</x:v>
      </x:c>
      <x:c r="E337" s="21" t="n">
        <x:f>IF('Scenario Results'!K111=IF('Scenario Results'!J111&gt;=1,"ADEQUATE","GAP"),1,0)</x:f>
        <x:v>1</x:v>
      </x:c>
      <x:c r="F337" s="21" t="n">
        <x:v>1</x:v>
      </x:c>
      <x:c r="G337" s="23" t="str">
        <x:f>IF(E337=F337,"PASS","FAIL")</x:f>
        <x:v>PASS</x:v>
      </x:c>
    </x:row>
    <x:row r="338">
      <x:c r="B338" s="21" t="str">
        <x:v>A00332</x:v>
      </x:c>
      <x:c r="C338" s="21" t="str">
        <x:v>scenario</x:v>
      </x:c>
      <x:c r="D338" s="21" t="str">
        <x:v>scenario result 106 conservation</x:v>
      </x:c>
      <x:c r="E338" s="21" t="n">
        <x:f>IF(AND(ABS('Scenario Results'!I112-MIN('Scenario Results'!E112,'Scenario Results'!H112))&lt;0.000001,'Scenario Results'!I112&lt;='Scenario Results'!E112),1,0)</x:f>
        <x:v>1</x:v>
      </x:c>
      <x:c r="F338" s="21" t="n">
        <x:v>1</x:v>
      </x:c>
      <x:c r="G338" s="23" t="str">
        <x:f>IF(E338=F338,"PASS","FAIL")</x:f>
        <x:v>PASS</x:v>
      </x:c>
    </x:row>
    <x:row r="339">
      <x:c r="B339" s="21" t="str">
        <x:v>A00333</x:v>
      </x:c>
      <x:c r="C339" s="21" t="str">
        <x:v>scenario</x:v>
      </x:c>
      <x:c r="D339" s="21" t="str">
        <x:v>scenario result 106 state</x:v>
      </x:c>
      <x:c r="E339" s="21" t="n">
        <x:f>IF('Scenario Results'!K112=IF('Scenario Results'!J112&gt;=1,"ADEQUATE","GAP"),1,0)</x:f>
        <x:v>1</x:v>
      </x:c>
      <x:c r="F339" s="21" t="n">
        <x:v>1</x:v>
      </x:c>
      <x:c r="G339" s="23" t="str">
        <x:f>IF(E339=F339,"PASS","FAIL")</x:f>
        <x:v>PASS</x:v>
      </x:c>
    </x:row>
    <x:row r="340">
      <x:c r="B340" s="21" t="str">
        <x:v>A00334</x:v>
      </x:c>
      <x:c r="C340" s="21" t="str">
        <x:v>scenario</x:v>
      </x:c>
      <x:c r="D340" s="21" t="str">
        <x:v>scenario result 107 conservation</x:v>
      </x:c>
      <x:c r="E340" s="21" t="n">
        <x:f>IF(AND(ABS('Scenario Results'!I113-MIN('Scenario Results'!E113,'Scenario Results'!H113))&lt;0.000001,'Scenario Results'!I113&lt;='Scenario Results'!E113),1,0)</x:f>
        <x:v>1</x:v>
      </x:c>
      <x:c r="F340" s="21" t="n">
        <x:v>1</x:v>
      </x:c>
      <x:c r="G340" s="23" t="str">
        <x:f>IF(E340=F340,"PASS","FAIL")</x:f>
        <x:v>PASS</x:v>
      </x:c>
    </x:row>
    <x:row r="341">
      <x:c r="B341" s="21" t="str">
        <x:v>A00335</x:v>
      </x:c>
      <x:c r="C341" s="21" t="str">
        <x:v>scenario</x:v>
      </x:c>
      <x:c r="D341" s="21" t="str">
        <x:v>scenario result 107 state</x:v>
      </x:c>
      <x:c r="E341" s="21" t="n">
        <x:f>IF('Scenario Results'!K113=IF('Scenario Results'!J113&gt;=1,"ADEQUATE","GAP"),1,0)</x:f>
        <x:v>1</x:v>
      </x:c>
      <x:c r="F341" s="21" t="n">
        <x:v>1</x:v>
      </x:c>
      <x:c r="G341" s="23" t="str">
        <x:f>IF(E341=F341,"PASS","FAIL")</x:f>
        <x:v>PASS</x:v>
      </x:c>
    </x:row>
    <x:row r="342">
      <x:c r="B342" s="21" t="str">
        <x:v>A00336</x:v>
      </x:c>
      <x:c r="C342" s="21" t="str">
        <x:v>scenario</x:v>
      </x:c>
      <x:c r="D342" s="21" t="str">
        <x:v>scenario result 108 conservation</x:v>
      </x:c>
      <x:c r="E342" s="21" t="n">
        <x:f>IF(AND(ABS('Scenario Results'!I114-MIN('Scenario Results'!E114,'Scenario Results'!H114))&lt;0.000001,'Scenario Results'!I114&lt;='Scenario Results'!E114),1,0)</x:f>
        <x:v>1</x:v>
      </x:c>
      <x:c r="F342" s="21" t="n">
        <x:v>1</x:v>
      </x:c>
      <x:c r="G342" s="23" t="str">
        <x:f>IF(E342=F342,"PASS","FAIL")</x:f>
        <x:v>PASS</x:v>
      </x:c>
    </x:row>
    <x:row r="343">
      <x:c r="B343" s="21" t="str">
        <x:v>A00337</x:v>
      </x:c>
      <x:c r="C343" s="21" t="str">
        <x:v>scenario</x:v>
      </x:c>
      <x:c r="D343" s="21" t="str">
        <x:v>scenario result 108 state</x:v>
      </x:c>
      <x:c r="E343" s="21" t="n">
        <x:f>IF('Scenario Results'!K114=IF('Scenario Results'!J114&gt;=1,"ADEQUATE","GAP"),1,0)</x:f>
        <x:v>1</x:v>
      </x:c>
      <x:c r="F343" s="21" t="n">
        <x:v>1</x:v>
      </x:c>
      <x:c r="G343" s="23" t="str">
        <x:f>IF(E343=F343,"PASS","FAIL")</x:f>
        <x:v>PASS</x:v>
      </x:c>
    </x:row>
    <x:row r="344">
      <x:c r="B344" s="21" t="str">
        <x:v>A00338</x:v>
      </x:c>
      <x:c r="C344" s="21" t="str">
        <x:v>scenario</x:v>
      </x:c>
      <x:c r="D344" s="21" t="str">
        <x:v>scenario result 109 conservation</x:v>
      </x:c>
      <x:c r="E344" s="21" t="n">
        <x:f>IF(AND(ABS('Scenario Results'!I115-MIN('Scenario Results'!E115,'Scenario Results'!H115))&lt;0.000001,'Scenario Results'!I115&lt;='Scenario Results'!E115),1,0)</x:f>
        <x:v>1</x:v>
      </x:c>
      <x:c r="F344" s="21" t="n">
        <x:v>1</x:v>
      </x:c>
      <x:c r="G344" s="23" t="str">
        <x:f>IF(E344=F344,"PASS","FAIL")</x:f>
        <x:v>PASS</x:v>
      </x:c>
    </x:row>
    <x:row r="345">
      <x:c r="B345" s="21" t="str">
        <x:v>A00339</x:v>
      </x:c>
      <x:c r="C345" s="21" t="str">
        <x:v>scenario</x:v>
      </x:c>
      <x:c r="D345" s="21" t="str">
        <x:v>scenario result 109 state</x:v>
      </x:c>
      <x:c r="E345" s="21" t="n">
        <x:f>IF('Scenario Results'!K115=IF('Scenario Results'!J115&gt;=1,"ADEQUATE","GAP"),1,0)</x:f>
        <x:v>1</x:v>
      </x:c>
      <x:c r="F345" s="21" t="n">
        <x:v>1</x:v>
      </x:c>
      <x:c r="G345" s="23" t="str">
        <x:f>IF(E345=F345,"PASS","FAIL")</x:f>
        <x:v>PASS</x:v>
      </x:c>
    </x:row>
    <x:row r="346">
      <x:c r="B346" s="21" t="str">
        <x:v>A00340</x:v>
      </x:c>
      <x:c r="C346" s="21" t="str">
        <x:v>scenario</x:v>
      </x:c>
      <x:c r="D346" s="21" t="str">
        <x:v>scenario result 110 conservation</x:v>
      </x:c>
      <x:c r="E346" s="21" t="n">
        <x:f>IF(AND(ABS('Scenario Results'!I116-MIN('Scenario Results'!E116,'Scenario Results'!H116))&lt;0.000001,'Scenario Results'!I116&lt;='Scenario Results'!E116),1,0)</x:f>
        <x:v>1</x:v>
      </x:c>
      <x:c r="F346" s="21" t="n">
        <x:v>1</x:v>
      </x:c>
      <x:c r="G346" s="23" t="str">
        <x:f>IF(E346=F346,"PASS","FAIL")</x:f>
        <x:v>PASS</x:v>
      </x:c>
    </x:row>
    <x:row r="347">
      <x:c r="B347" s="21" t="str">
        <x:v>A00341</x:v>
      </x:c>
      <x:c r="C347" s="21" t="str">
        <x:v>scenario</x:v>
      </x:c>
      <x:c r="D347" s="21" t="str">
        <x:v>scenario result 110 state</x:v>
      </x:c>
      <x:c r="E347" s="21" t="n">
        <x:f>IF('Scenario Results'!K116=IF('Scenario Results'!J116&gt;=1,"ADEQUATE","GAP"),1,0)</x:f>
        <x:v>1</x:v>
      </x:c>
      <x:c r="F347" s="21" t="n">
        <x:v>1</x:v>
      </x:c>
      <x:c r="G347" s="23" t="str">
        <x:f>IF(E347=F347,"PASS","FAIL")</x:f>
        <x:v>PASS</x:v>
      </x:c>
    </x:row>
    <x:row r="348">
      <x:c r="B348" s="21" t="str">
        <x:v>A00342</x:v>
      </x:c>
      <x:c r="C348" s="21" t="str">
        <x:v>scenario</x:v>
      </x:c>
      <x:c r="D348" s="21" t="str">
        <x:v>scenario result 111 conservation</x:v>
      </x:c>
      <x:c r="E348" s="21" t="n">
        <x:f>IF(AND(ABS('Scenario Results'!I117-MIN('Scenario Results'!E117,'Scenario Results'!H117))&lt;0.000001,'Scenario Results'!I117&lt;='Scenario Results'!E117),1,0)</x:f>
        <x:v>1</x:v>
      </x:c>
      <x:c r="F348" s="21" t="n">
        <x:v>1</x:v>
      </x:c>
      <x:c r="G348" s="23" t="str">
        <x:f>IF(E348=F348,"PASS","FAIL")</x:f>
        <x:v>PASS</x:v>
      </x:c>
    </x:row>
    <x:row r="349">
      <x:c r="B349" s="21" t="str">
        <x:v>A00343</x:v>
      </x:c>
      <x:c r="C349" s="21" t="str">
        <x:v>scenario</x:v>
      </x:c>
      <x:c r="D349" s="21" t="str">
        <x:v>scenario result 111 state</x:v>
      </x:c>
      <x:c r="E349" s="21" t="n">
        <x:f>IF('Scenario Results'!K117=IF('Scenario Results'!J117&gt;=1,"ADEQUATE","GAP"),1,0)</x:f>
        <x:v>1</x:v>
      </x:c>
      <x:c r="F349" s="21" t="n">
        <x:v>1</x:v>
      </x:c>
      <x:c r="G349" s="23" t="str">
        <x:f>IF(E349=F349,"PASS","FAIL")</x:f>
        <x:v>PASS</x:v>
      </x:c>
    </x:row>
    <x:row r="350">
      <x:c r="B350" s="21" t="str">
        <x:v>A00344</x:v>
      </x:c>
      <x:c r="C350" s="21" t="str">
        <x:v>scenario</x:v>
      </x:c>
      <x:c r="D350" s="21" t="str">
        <x:v>scenario result 112 conservation</x:v>
      </x:c>
      <x:c r="E350" s="21" t="n">
        <x:f>IF(AND(ABS('Scenario Results'!I118-MIN('Scenario Results'!E118,'Scenario Results'!H118))&lt;0.000001,'Scenario Results'!I118&lt;='Scenario Results'!E118),1,0)</x:f>
        <x:v>1</x:v>
      </x:c>
      <x:c r="F350" s="21" t="n">
        <x:v>1</x:v>
      </x:c>
      <x:c r="G350" s="23" t="str">
        <x:f>IF(E350=F350,"PASS","FAIL")</x:f>
        <x:v>PASS</x:v>
      </x:c>
    </x:row>
    <x:row r="351">
      <x:c r="B351" s="21" t="str">
        <x:v>A00345</x:v>
      </x:c>
      <x:c r="C351" s="21" t="str">
        <x:v>scenario</x:v>
      </x:c>
      <x:c r="D351" s="21" t="str">
        <x:v>scenario result 112 state</x:v>
      </x:c>
      <x:c r="E351" s="21" t="n">
        <x:f>IF('Scenario Results'!K118=IF('Scenario Results'!J118&gt;=1,"ADEQUATE","GAP"),1,0)</x:f>
        <x:v>1</x:v>
      </x:c>
      <x:c r="F351" s="21" t="n">
        <x:v>1</x:v>
      </x:c>
      <x:c r="G351" s="23" t="str">
        <x:f>IF(E351=F351,"PASS","FAIL")</x:f>
        <x:v>PASS</x:v>
      </x:c>
    </x:row>
    <x:row r="352">
      <x:c r="B352" s="21" t="str">
        <x:v>A00346</x:v>
      </x:c>
      <x:c r="C352" s="21" t="str">
        <x:v>scenario</x:v>
      </x:c>
      <x:c r="D352" s="21" t="str">
        <x:v>scenario result 113 conservation</x:v>
      </x:c>
      <x:c r="E352" s="21" t="n">
        <x:f>IF(AND(ABS('Scenario Results'!I119-MIN('Scenario Results'!E119,'Scenario Results'!H119))&lt;0.000001,'Scenario Results'!I119&lt;='Scenario Results'!E119),1,0)</x:f>
        <x:v>1</x:v>
      </x:c>
      <x:c r="F352" s="21" t="n">
        <x:v>1</x:v>
      </x:c>
      <x:c r="G352" s="23" t="str">
        <x:f>IF(E352=F352,"PASS","FAIL")</x:f>
        <x:v>PASS</x:v>
      </x:c>
    </x:row>
    <x:row r="353">
      <x:c r="B353" s="21" t="str">
        <x:v>A00347</x:v>
      </x:c>
      <x:c r="C353" s="21" t="str">
        <x:v>scenario</x:v>
      </x:c>
      <x:c r="D353" s="21" t="str">
        <x:v>scenario result 113 state</x:v>
      </x:c>
      <x:c r="E353" s="21" t="n">
        <x:f>IF('Scenario Results'!K119=IF('Scenario Results'!J119&gt;=1,"ADEQUATE","GAP"),1,0)</x:f>
        <x:v>1</x:v>
      </x:c>
      <x:c r="F353" s="21" t="n">
        <x:v>1</x:v>
      </x:c>
      <x:c r="G353" s="23" t="str">
        <x:f>IF(E353=F353,"PASS","FAIL")</x:f>
        <x:v>PASS</x:v>
      </x:c>
    </x:row>
    <x:row r="354">
      <x:c r="B354" s="21" t="str">
        <x:v>A00348</x:v>
      </x:c>
      <x:c r="C354" s="21" t="str">
        <x:v>scenario</x:v>
      </x:c>
      <x:c r="D354" s="21" t="str">
        <x:v>scenario result 114 conservation</x:v>
      </x:c>
      <x:c r="E354" s="21" t="n">
        <x:f>IF(AND(ABS('Scenario Results'!I120-MIN('Scenario Results'!E120,'Scenario Results'!H120))&lt;0.000001,'Scenario Results'!I120&lt;='Scenario Results'!E120),1,0)</x:f>
        <x:v>1</x:v>
      </x:c>
      <x:c r="F354" s="21" t="n">
        <x:v>1</x:v>
      </x:c>
      <x:c r="G354" s="23" t="str">
        <x:f>IF(E354=F354,"PASS","FAIL")</x:f>
        <x:v>PASS</x:v>
      </x:c>
    </x:row>
    <x:row r="355">
      <x:c r="B355" s="21" t="str">
        <x:v>A00349</x:v>
      </x:c>
      <x:c r="C355" s="21" t="str">
        <x:v>scenario</x:v>
      </x:c>
      <x:c r="D355" s="21" t="str">
        <x:v>scenario result 114 state</x:v>
      </x:c>
      <x:c r="E355" s="21" t="n">
        <x:f>IF('Scenario Results'!K120=IF('Scenario Results'!J120&gt;=1,"ADEQUATE","GAP"),1,0)</x:f>
        <x:v>1</x:v>
      </x:c>
      <x:c r="F355" s="21" t="n">
        <x:v>1</x:v>
      </x:c>
      <x:c r="G355" s="23" t="str">
        <x:f>IF(E355=F355,"PASS","FAIL")</x:f>
        <x:v>PASS</x:v>
      </x:c>
    </x:row>
    <x:row r="356">
      <x:c r="B356" s="21" t="str">
        <x:v>A00350</x:v>
      </x:c>
      <x:c r="C356" s="21" t="str">
        <x:v>scenario</x:v>
      </x:c>
      <x:c r="D356" s="21" t="str">
        <x:v>scenario result 115 conservation</x:v>
      </x:c>
      <x:c r="E356" s="21" t="n">
        <x:f>IF(AND(ABS('Scenario Results'!I121-MIN('Scenario Results'!E121,'Scenario Results'!H121))&lt;0.000001,'Scenario Results'!I121&lt;='Scenario Results'!E121),1,0)</x:f>
        <x:v>1</x:v>
      </x:c>
      <x:c r="F356" s="21" t="n">
        <x:v>1</x:v>
      </x:c>
      <x:c r="G356" s="23" t="str">
        <x:f>IF(E356=F356,"PASS","FAIL")</x:f>
        <x:v>PASS</x:v>
      </x:c>
    </x:row>
    <x:row r="357">
      <x:c r="B357" s="21" t="str">
        <x:v>A00351</x:v>
      </x:c>
      <x:c r="C357" s="21" t="str">
        <x:v>scenario</x:v>
      </x:c>
      <x:c r="D357" s="21" t="str">
        <x:v>scenario result 115 state</x:v>
      </x:c>
      <x:c r="E357" s="21" t="n">
        <x:f>IF('Scenario Results'!K121=IF('Scenario Results'!J121&gt;=1,"ADEQUATE","GAP"),1,0)</x:f>
        <x:v>1</x:v>
      </x:c>
      <x:c r="F357" s="21" t="n">
        <x:v>1</x:v>
      </x:c>
      <x:c r="G357" s="23" t="str">
        <x:f>IF(E357=F357,"PASS","FAIL")</x:f>
        <x:v>PASS</x:v>
      </x:c>
    </x:row>
    <x:row r="358">
      <x:c r="B358" s="21" t="str">
        <x:v>A00352</x:v>
      </x:c>
      <x:c r="C358" s="21" t="str">
        <x:v>scenario</x:v>
      </x:c>
      <x:c r="D358" s="21" t="str">
        <x:v>scenario result 116 conservation</x:v>
      </x:c>
      <x:c r="E358" s="21" t="n">
        <x:f>IF(AND(ABS('Scenario Results'!I122-MIN('Scenario Results'!E122,'Scenario Results'!H122))&lt;0.000001,'Scenario Results'!I122&lt;='Scenario Results'!E122),1,0)</x:f>
        <x:v>1</x:v>
      </x:c>
      <x:c r="F358" s="21" t="n">
        <x:v>1</x:v>
      </x:c>
      <x:c r="G358" s="23" t="str">
        <x:f>IF(E358=F358,"PASS","FAIL")</x:f>
        <x:v>PASS</x:v>
      </x:c>
    </x:row>
    <x:row r="359">
      <x:c r="B359" s="21" t="str">
        <x:v>A00353</x:v>
      </x:c>
      <x:c r="C359" s="21" t="str">
        <x:v>scenario</x:v>
      </x:c>
      <x:c r="D359" s="21" t="str">
        <x:v>scenario result 116 state</x:v>
      </x:c>
      <x:c r="E359" s="21" t="n">
        <x:f>IF('Scenario Results'!K122=IF('Scenario Results'!J122&gt;=1,"ADEQUATE","GAP"),1,0)</x:f>
        <x:v>1</x:v>
      </x:c>
      <x:c r="F359" s="21" t="n">
        <x:v>1</x:v>
      </x:c>
      <x:c r="G359" s="23" t="str">
        <x:f>IF(E359=F359,"PASS","FAIL")</x:f>
        <x:v>PASS</x:v>
      </x:c>
    </x:row>
    <x:row r="360">
      <x:c r="B360" s="21" t="str">
        <x:v>A00354</x:v>
      </x:c>
      <x:c r="C360" s="21" t="str">
        <x:v>scenario</x:v>
      </x:c>
      <x:c r="D360" s="21" t="str">
        <x:v>scenario result 117 conservation</x:v>
      </x:c>
      <x:c r="E360" s="21" t="n">
        <x:f>IF(AND(ABS('Scenario Results'!I123-MIN('Scenario Results'!E123,'Scenario Results'!H123))&lt;0.000001,'Scenario Results'!I123&lt;='Scenario Results'!E123),1,0)</x:f>
        <x:v>1</x:v>
      </x:c>
      <x:c r="F360" s="21" t="n">
        <x:v>1</x:v>
      </x:c>
      <x:c r="G360" s="23" t="str">
        <x:f>IF(E360=F360,"PASS","FAIL")</x:f>
        <x:v>PASS</x:v>
      </x:c>
    </x:row>
    <x:row r="361">
      <x:c r="B361" s="21" t="str">
        <x:v>A00355</x:v>
      </x:c>
      <x:c r="C361" s="21" t="str">
        <x:v>scenario</x:v>
      </x:c>
      <x:c r="D361" s="21" t="str">
        <x:v>scenario result 117 state</x:v>
      </x:c>
      <x:c r="E361" s="21" t="n">
        <x:f>IF('Scenario Results'!K123=IF('Scenario Results'!J123&gt;=1,"ADEQUATE","GAP"),1,0)</x:f>
        <x:v>1</x:v>
      </x:c>
      <x:c r="F361" s="21" t="n">
        <x:v>1</x:v>
      </x:c>
      <x:c r="G361" s="23" t="str">
        <x:f>IF(E361=F361,"PASS","FAIL")</x:f>
        <x:v>PASS</x:v>
      </x:c>
    </x:row>
    <x:row r="362">
      <x:c r="B362" s="21" t="str">
        <x:v>A00356</x:v>
      </x:c>
      <x:c r="C362" s="21" t="str">
        <x:v>scenario</x:v>
      </x:c>
      <x:c r="D362" s="21" t="str">
        <x:v>scenario result 118 conservation</x:v>
      </x:c>
      <x:c r="E362" s="21" t="n">
        <x:f>IF(AND(ABS('Scenario Results'!I124-MIN('Scenario Results'!E124,'Scenario Results'!H124))&lt;0.000001,'Scenario Results'!I124&lt;='Scenario Results'!E124),1,0)</x:f>
        <x:v>1</x:v>
      </x:c>
      <x:c r="F362" s="21" t="n">
        <x:v>1</x:v>
      </x:c>
      <x:c r="G362" s="23" t="str">
        <x:f>IF(E362=F362,"PASS","FAIL")</x:f>
        <x:v>PASS</x:v>
      </x:c>
    </x:row>
    <x:row r="363">
      <x:c r="B363" s="21" t="str">
        <x:v>A00357</x:v>
      </x:c>
      <x:c r="C363" s="21" t="str">
        <x:v>scenario</x:v>
      </x:c>
      <x:c r="D363" s="21" t="str">
        <x:v>scenario result 118 state</x:v>
      </x:c>
      <x:c r="E363" s="21" t="n">
        <x:f>IF('Scenario Results'!K124=IF('Scenario Results'!J124&gt;=1,"ADEQUATE","GAP"),1,0)</x:f>
        <x:v>1</x:v>
      </x:c>
      <x:c r="F363" s="21" t="n">
        <x:v>1</x:v>
      </x:c>
      <x:c r="G363" s="23" t="str">
        <x:f>IF(E363=F363,"PASS","FAIL")</x:f>
        <x:v>PASS</x:v>
      </x:c>
    </x:row>
    <x:row r="364">
      <x:c r="B364" s="21" t="str">
        <x:v>A00358</x:v>
      </x:c>
      <x:c r="C364" s="21" t="str">
        <x:v>scenario</x:v>
      </x:c>
      <x:c r="D364" s="21" t="str">
        <x:v>scenario result 119 conservation</x:v>
      </x:c>
      <x:c r="E364" s="21" t="n">
        <x:f>IF(AND(ABS('Scenario Results'!I125-MIN('Scenario Results'!E125,'Scenario Results'!H125))&lt;0.000001,'Scenario Results'!I125&lt;='Scenario Results'!E125),1,0)</x:f>
        <x:v>1</x:v>
      </x:c>
      <x:c r="F364" s="21" t="n">
        <x:v>1</x:v>
      </x:c>
      <x:c r="G364" s="23" t="str">
        <x:f>IF(E364=F364,"PASS","FAIL")</x:f>
        <x:v>PASS</x:v>
      </x:c>
    </x:row>
    <x:row r="365">
      <x:c r="B365" s="21" t="str">
        <x:v>A00359</x:v>
      </x:c>
      <x:c r="C365" s="21" t="str">
        <x:v>scenario</x:v>
      </x:c>
      <x:c r="D365" s="21" t="str">
        <x:v>scenario result 119 state</x:v>
      </x:c>
      <x:c r="E365" s="21" t="n">
        <x:f>IF('Scenario Results'!K125=IF('Scenario Results'!J125&gt;=1,"ADEQUATE","GAP"),1,0)</x:f>
        <x:v>1</x:v>
      </x:c>
      <x:c r="F365" s="21" t="n">
        <x:v>1</x:v>
      </x:c>
      <x:c r="G365" s="23" t="str">
        <x:f>IF(E365=F365,"PASS","FAIL")</x:f>
        <x:v>PASS</x:v>
      </x:c>
    </x:row>
    <x:row r="366">
      <x:c r="B366" s="21" t="str">
        <x:v>A00360</x:v>
      </x:c>
      <x:c r="C366" s="21" t="str">
        <x:v>scenario</x:v>
      </x:c>
      <x:c r="D366" s="21" t="str">
        <x:v>scenario result 120 conservation</x:v>
      </x:c>
      <x:c r="E366" s="21" t="n">
        <x:f>IF(AND(ABS('Scenario Results'!I126-MIN('Scenario Results'!E126,'Scenario Results'!H126))&lt;0.000001,'Scenario Results'!I126&lt;='Scenario Results'!E126),1,0)</x:f>
        <x:v>1</x:v>
      </x:c>
      <x:c r="F366" s="21" t="n">
        <x:v>1</x:v>
      </x:c>
      <x:c r="G366" s="23" t="str">
        <x:f>IF(E366=F366,"PASS","FAIL")</x:f>
        <x:v>PASS</x:v>
      </x:c>
    </x:row>
    <x:row r="367">
      <x:c r="B367" s="21" t="str">
        <x:v>A00361</x:v>
      </x:c>
      <x:c r="C367" s="21" t="str">
        <x:v>scenario</x:v>
      </x:c>
      <x:c r="D367" s="21" t="str">
        <x:v>scenario result 120 state</x:v>
      </x:c>
      <x:c r="E367" s="21" t="n">
        <x:f>IF('Scenario Results'!K126=IF('Scenario Results'!J126&gt;=1,"ADEQUATE","GAP"),1,0)</x:f>
        <x:v>1</x:v>
      </x:c>
      <x:c r="F367" s="21" t="n">
        <x:v>1</x:v>
      </x:c>
      <x:c r="G367" s="23" t="str">
        <x:f>IF(E367=F367,"PASS","FAIL")</x:f>
        <x:v>PASS</x:v>
      </x:c>
    </x:row>
    <x:row r="368">
      <x:c r="B368" s="21" t="str">
        <x:v>A00362</x:v>
      </x:c>
      <x:c r="C368" s="21" t="str">
        <x:v>scenario</x:v>
      </x:c>
      <x:c r="D368" s="21" t="str">
        <x:v>scenario result 121 conservation</x:v>
      </x:c>
      <x:c r="E368" s="21" t="n">
        <x:f>IF(AND(ABS('Scenario Results'!I127-MIN('Scenario Results'!E127,'Scenario Results'!H127))&lt;0.000001,'Scenario Results'!I127&lt;='Scenario Results'!E127),1,0)</x:f>
        <x:v>1</x:v>
      </x:c>
      <x:c r="F368" s="21" t="n">
        <x:v>1</x:v>
      </x:c>
      <x:c r="G368" s="23" t="str">
        <x:f>IF(E368=F368,"PASS","FAIL")</x:f>
        <x:v>PASS</x:v>
      </x:c>
    </x:row>
    <x:row r="369">
      <x:c r="B369" s="21" t="str">
        <x:v>A00363</x:v>
      </x:c>
      <x:c r="C369" s="21" t="str">
        <x:v>scenario</x:v>
      </x:c>
      <x:c r="D369" s="21" t="str">
        <x:v>scenario result 121 state</x:v>
      </x:c>
      <x:c r="E369" s="21" t="n">
        <x:f>IF('Scenario Results'!K127=IF('Scenario Results'!J127&gt;=1,"ADEQUATE","GAP"),1,0)</x:f>
        <x:v>1</x:v>
      </x:c>
      <x:c r="F369" s="21" t="n">
        <x:v>1</x:v>
      </x:c>
      <x:c r="G369" s="23" t="str">
        <x:f>IF(E369=F369,"PASS","FAIL")</x:f>
        <x:v>PASS</x:v>
      </x:c>
    </x:row>
    <x:row r="370">
      <x:c r="B370" s="21" t="str">
        <x:v>A00364</x:v>
      </x:c>
      <x:c r="C370" s="21" t="str">
        <x:v>scenario</x:v>
      </x:c>
      <x:c r="D370" s="21" t="str">
        <x:v>scenario result 122 conservation</x:v>
      </x:c>
      <x:c r="E370" s="21" t="n">
        <x:f>IF(AND(ABS('Scenario Results'!I128-MIN('Scenario Results'!E128,'Scenario Results'!H128))&lt;0.000001,'Scenario Results'!I128&lt;='Scenario Results'!E128),1,0)</x:f>
        <x:v>1</x:v>
      </x:c>
      <x:c r="F370" s="21" t="n">
        <x:v>1</x:v>
      </x:c>
      <x:c r="G370" s="23" t="str">
        <x:f>IF(E370=F370,"PASS","FAIL")</x:f>
        <x:v>PASS</x:v>
      </x:c>
    </x:row>
    <x:row r="371">
      <x:c r="B371" s="21" t="str">
        <x:v>A00365</x:v>
      </x:c>
      <x:c r="C371" s="21" t="str">
        <x:v>scenario</x:v>
      </x:c>
      <x:c r="D371" s="21" t="str">
        <x:v>scenario result 122 state</x:v>
      </x:c>
      <x:c r="E371" s="21" t="n">
        <x:f>IF('Scenario Results'!K128=IF('Scenario Results'!J128&gt;=1,"ADEQUATE","GAP"),1,0)</x:f>
        <x:v>1</x:v>
      </x:c>
      <x:c r="F371" s="21" t="n">
        <x:v>1</x:v>
      </x:c>
      <x:c r="G371" s="23" t="str">
        <x:f>IF(E371=F371,"PASS","FAIL")</x:f>
        <x:v>PASS</x:v>
      </x:c>
    </x:row>
    <x:row r="372">
      <x:c r="B372" s="21" t="str">
        <x:v>A00366</x:v>
      </x:c>
      <x:c r="C372" s="21" t="str">
        <x:v>scenario</x:v>
      </x:c>
      <x:c r="D372" s="21" t="str">
        <x:v>scenario result 123 conservation</x:v>
      </x:c>
      <x:c r="E372" s="21" t="n">
        <x:f>IF(AND(ABS('Scenario Results'!I129-MIN('Scenario Results'!E129,'Scenario Results'!H129))&lt;0.000001,'Scenario Results'!I129&lt;='Scenario Results'!E129),1,0)</x:f>
        <x:v>1</x:v>
      </x:c>
      <x:c r="F372" s="21" t="n">
        <x:v>1</x:v>
      </x:c>
      <x:c r="G372" s="23" t="str">
        <x:f>IF(E372=F372,"PASS","FAIL")</x:f>
        <x:v>PASS</x:v>
      </x:c>
    </x:row>
    <x:row r="373">
      <x:c r="B373" s="21" t="str">
        <x:v>A00367</x:v>
      </x:c>
      <x:c r="C373" s="21" t="str">
        <x:v>scenario</x:v>
      </x:c>
      <x:c r="D373" s="21" t="str">
        <x:v>scenario result 123 state</x:v>
      </x:c>
      <x:c r="E373" s="21" t="n">
        <x:f>IF('Scenario Results'!K129=IF('Scenario Results'!J129&gt;=1,"ADEQUATE","GAP"),1,0)</x:f>
        <x:v>1</x:v>
      </x:c>
      <x:c r="F373" s="21" t="n">
        <x:v>1</x:v>
      </x:c>
      <x:c r="G373" s="23" t="str">
        <x:f>IF(E373=F373,"PASS","FAIL")</x:f>
        <x:v>PASS</x:v>
      </x:c>
    </x:row>
    <x:row r="374">
      <x:c r="B374" s="21" t="str">
        <x:v>A00368</x:v>
      </x:c>
      <x:c r="C374" s="21" t="str">
        <x:v>scenario</x:v>
      </x:c>
      <x:c r="D374" s="21" t="str">
        <x:v>scenario result 124 conservation</x:v>
      </x:c>
      <x:c r="E374" s="21" t="n">
        <x:f>IF(AND(ABS('Scenario Results'!I130-MIN('Scenario Results'!E130,'Scenario Results'!H130))&lt;0.000001,'Scenario Results'!I130&lt;='Scenario Results'!E130),1,0)</x:f>
        <x:v>1</x:v>
      </x:c>
      <x:c r="F374" s="21" t="n">
        <x:v>1</x:v>
      </x:c>
      <x:c r="G374" s="23" t="str">
        <x:f>IF(E374=F374,"PASS","FAIL")</x:f>
        <x:v>PASS</x:v>
      </x:c>
    </x:row>
    <x:row r="375">
      <x:c r="B375" s="21" t="str">
        <x:v>A00369</x:v>
      </x:c>
      <x:c r="C375" s="21" t="str">
        <x:v>scenario</x:v>
      </x:c>
      <x:c r="D375" s="21" t="str">
        <x:v>scenario result 124 state</x:v>
      </x:c>
      <x:c r="E375" s="21" t="n">
        <x:f>IF('Scenario Results'!K130=IF('Scenario Results'!J130&gt;=1,"ADEQUATE","GAP"),1,0)</x:f>
        <x:v>1</x:v>
      </x:c>
      <x:c r="F375" s="21" t="n">
        <x:v>1</x:v>
      </x:c>
      <x:c r="G375" s="23" t="str">
        <x:f>IF(E375=F375,"PASS","FAIL")</x:f>
        <x:v>PASS</x:v>
      </x:c>
    </x:row>
    <x:row r="376">
      <x:c r="B376" s="21" t="str">
        <x:v>A00370</x:v>
      </x:c>
      <x:c r="C376" s="21" t="str">
        <x:v>scenario</x:v>
      </x:c>
      <x:c r="D376" s="21" t="str">
        <x:v>scenario result 125 conservation</x:v>
      </x:c>
      <x:c r="E376" s="21" t="n">
        <x:f>IF(AND(ABS('Scenario Results'!I131-MIN('Scenario Results'!E131,'Scenario Results'!H131))&lt;0.000001,'Scenario Results'!I131&lt;='Scenario Results'!E131),1,0)</x:f>
        <x:v>1</x:v>
      </x:c>
      <x:c r="F376" s="21" t="n">
        <x:v>1</x:v>
      </x:c>
      <x:c r="G376" s="23" t="str">
        <x:f>IF(E376=F376,"PASS","FAIL")</x:f>
        <x:v>PASS</x:v>
      </x:c>
    </x:row>
    <x:row r="377">
      <x:c r="B377" s="21" t="str">
        <x:v>A00371</x:v>
      </x:c>
      <x:c r="C377" s="21" t="str">
        <x:v>scenario</x:v>
      </x:c>
      <x:c r="D377" s="21" t="str">
        <x:v>scenario result 125 state</x:v>
      </x:c>
      <x:c r="E377" s="21" t="n">
        <x:f>IF('Scenario Results'!K131=IF('Scenario Results'!J131&gt;=1,"ADEQUATE","GAP"),1,0)</x:f>
        <x:v>1</x:v>
      </x:c>
      <x:c r="F377" s="21" t="n">
        <x:v>1</x:v>
      </x:c>
      <x:c r="G377" s="23" t="str">
        <x:f>IF(E377=F377,"PASS","FAIL")</x:f>
        <x:v>PASS</x:v>
      </x:c>
    </x:row>
    <x:row r="378">
      <x:c r="B378" s="21" t="str">
        <x:v>A00372</x:v>
      </x:c>
      <x:c r="C378" s="21" t="str">
        <x:v>scenario</x:v>
      </x:c>
      <x:c r="D378" s="21" t="str">
        <x:v>scenario result 126 conservation</x:v>
      </x:c>
      <x:c r="E378" s="21" t="n">
        <x:f>IF(AND(ABS('Scenario Results'!I132-MIN('Scenario Results'!E132,'Scenario Results'!H132))&lt;0.000001,'Scenario Results'!I132&lt;='Scenario Results'!E132),1,0)</x:f>
        <x:v>1</x:v>
      </x:c>
      <x:c r="F378" s="21" t="n">
        <x:v>1</x:v>
      </x:c>
      <x:c r="G378" s="23" t="str">
        <x:f>IF(E378=F378,"PASS","FAIL")</x:f>
        <x:v>PASS</x:v>
      </x:c>
    </x:row>
    <x:row r="379">
      <x:c r="B379" s="21" t="str">
        <x:v>A00373</x:v>
      </x:c>
      <x:c r="C379" s="21" t="str">
        <x:v>scenario</x:v>
      </x:c>
      <x:c r="D379" s="21" t="str">
        <x:v>scenario result 126 state</x:v>
      </x:c>
      <x:c r="E379" s="21" t="n">
        <x:f>IF('Scenario Results'!K132=IF('Scenario Results'!J132&gt;=1,"ADEQUATE","GAP"),1,0)</x:f>
        <x:v>1</x:v>
      </x:c>
      <x:c r="F379" s="21" t="n">
        <x:v>1</x:v>
      </x:c>
      <x:c r="G379" s="23" t="str">
        <x:f>IF(E379=F379,"PASS","FAIL")</x:f>
        <x:v>PASS</x:v>
      </x:c>
    </x:row>
    <x:row r="380">
      <x:c r="B380" s="21" t="str">
        <x:v>A00374</x:v>
      </x:c>
      <x:c r="C380" s="21" t="str">
        <x:v>scenario</x:v>
      </x:c>
      <x:c r="D380" s="21" t="str">
        <x:v>scenario result 127 conservation</x:v>
      </x:c>
      <x:c r="E380" s="21" t="n">
        <x:f>IF(AND(ABS('Scenario Results'!I133-MIN('Scenario Results'!E133,'Scenario Results'!H133))&lt;0.000001,'Scenario Results'!I133&lt;='Scenario Results'!E133),1,0)</x:f>
        <x:v>1</x:v>
      </x:c>
      <x:c r="F380" s="21" t="n">
        <x:v>1</x:v>
      </x:c>
      <x:c r="G380" s="23" t="str">
        <x:f>IF(E380=F380,"PASS","FAIL")</x:f>
        <x:v>PASS</x:v>
      </x:c>
    </x:row>
    <x:row r="381">
      <x:c r="B381" s="21" t="str">
        <x:v>A00375</x:v>
      </x:c>
      <x:c r="C381" s="21" t="str">
        <x:v>scenario</x:v>
      </x:c>
      <x:c r="D381" s="21" t="str">
        <x:v>scenario result 127 state</x:v>
      </x:c>
      <x:c r="E381" s="21" t="n">
        <x:f>IF('Scenario Results'!K133=IF('Scenario Results'!J133&gt;=1,"ADEQUATE","GAP"),1,0)</x:f>
        <x:v>1</x:v>
      </x:c>
      <x:c r="F381" s="21" t="n">
        <x:v>1</x:v>
      </x:c>
      <x:c r="G381" s="23" t="str">
        <x:f>IF(E381=F381,"PASS","FAIL")</x:f>
        <x:v>PASS</x:v>
      </x:c>
    </x:row>
    <x:row r="382">
      <x:c r="B382" s="21" t="str">
        <x:v>A00376</x:v>
      </x:c>
      <x:c r="C382" s="21" t="str">
        <x:v>scenario</x:v>
      </x:c>
      <x:c r="D382" s="21" t="str">
        <x:v>scenario result 128 conservation</x:v>
      </x:c>
      <x:c r="E382" s="21" t="n">
        <x:f>IF(AND(ABS('Scenario Results'!I134-MIN('Scenario Results'!E134,'Scenario Results'!H134))&lt;0.000001,'Scenario Results'!I134&lt;='Scenario Results'!E134),1,0)</x:f>
        <x:v>1</x:v>
      </x:c>
      <x:c r="F382" s="21" t="n">
        <x:v>1</x:v>
      </x:c>
      <x:c r="G382" s="23" t="str">
        <x:f>IF(E382=F382,"PASS","FAIL")</x:f>
        <x:v>PASS</x:v>
      </x:c>
    </x:row>
    <x:row r="383">
      <x:c r="B383" s="21" t="str">
        <x:v>A00377</x:v>
      </x:c>
      <x:c r="C383" s="21" t="str">
        <x:v>scenario</x:v>
      </x:c>
      <x:c r="D383" s="21" t="str">
        <x:v>scenario result 128 state</x:v>
      </x:c>
      <x:c r="E383" s="21" t="n">
        <x:f>IF('Scenario Results'!K134=IF('Scenario Results'!J134&gt;=1,"ADEQUATE","GAP"),1,0)</x:f>
        <x:v>1</x:v>
      </x:c>
      <x:c r="F383" s="21" t="n">
        <x:v>1</x:v>
      </x:c>
      <x:c r="G383" s="23" t="str">
        <x:f>IF(E383=F383,"PASS","FAIL")</x:f>
        <x:v>PASS</x:v>
      </x:c>
    </x:row>
    <x:row r="384">
      <x:c r="B384" s="21" t="str">
        <x:v>A00378</x:v>
      </x:c>
      <x:c r="C384" s="21" t="str">
        <x:v>scenario</x:v>
      </x:c>
      <x:c r="D384" s="21" t="str">
        <x:v>scenario result 129 conservation</x:v>
      </x:c>
      <x:c r="E384" s="21" t="n">
        <x:f>IF(AND(ABS('Scenario Results'!I135-MIN('Scenario Results'!E135,'Scenario Results'!H135))&lt;0.000001,'Scenario Results'!I135&lt;='Scenario Results'!E135),1,0)</x:f>
        <x:v>1</x:v>
      </x:c>
      <x:c r="F384" s="21" t="n">
        <x:v>1</x:v>
      </x:c>
      <x:c r="G384" s="23" t="str">
        <x:f>IF(E384=F384,"PASS","FAIL")</x:f>
        <x:v>PASS</x:v>
      </x:c>
    </x:row>
    <x:row r="385">
      <x:c r="B385" s="21" t="str">
        <x:v>A00379</x:v>
      </x:c>
      <x:c r="C385" s="21" t="str">
        <x:v>scenario</x:v>
      </x:c>
      <x:c r="D385" s="21" t="str">
        <x:v>scenario result 129 state</x:v>
      </x:c>
      <x:c r="E385" s="21" t="n">
        <x:f>IF('Scenario Results'!K135=IF('Scenario Results'!J135&gt;=1,"ADEQUATE","GAP"),1,0)</x:f>
        <x:v>1</x:v>
      </x:c>
      <x:c r="F385" s="21" t="n">
        <x:v>1</x:v>
      </x:c>
      <x:c r="G385" s="23" t="str">
        <x:f>IF(E385=F385,"PASS","FAIL")</x:f>
        <x:v>PASS</x:v>
      </x:c>
    </x:row>
    <x:row r="386">
      <x:c r="B386" s="21" t="str">
        <x:v>A00380</x:v>
      </x:c>
      <x:c r="C386" s="21" t="str">
        <x:v>scenario</x:v>
      </x:c>
      <x:c r="D386" s="21" t="str">
        <x:v>scenario result 130 conservation</x:v>
      </x:c>
      <x:c r="E386" s="21" t="n">
        <x:f>IF(AND(ABS('Scenario Results'!I136-MIN('Scenario Results'!E136,'Scenario Results'!H136))&lt;0.000001,'Scenario Results'!I136&lt;='Scenario Results'!E136),1,0)</x:f>
        <x:v>1</x:v>
      </x:c>
      <x:c r="F386" s="21" t="n">
        <x:v>1</x:v>
      </x:c>
      <x:c r="G386" s="23" t="str">
        <x:f>IF(E386=F386,"PASS","FAIL")</x:f>
        <x:v>PASS</x:v>
      </x:c>
    </x:row>
    <x:row r="387">
      <x:c r="B387" s="21" t="str">
        <x:v>A00381</x:v>
      </x:c>
      <x:c r="C387" s="21" t="str">
        <x:v>scenario</x:v>
      </x:c>
      <x:c r="D387" s="21" t="str">
        <x:v>scenario result 130 state</x:v>
      </x:c>
      <x:c r="E387" s="21" t="n">
        <x:f>IF('Scenario Results'!K136=IF('Scenario Results'!J136&gt;=1,"ADEQUATE","GAP"),1,0)</x:f>
        <x:v>1</x:v>
      </x:c>
      <x:c r="F387" s="21" t="n">
        <x:v>1</x:v>
      </x:c>
      <x:c r="G387" s="23" t="str">
        <x:f>IF(E387=F387,"PASS","FAIL")</x:f>
        <x:v>PASS</x:v>
      </x:c>
    </x:row>
    <x:row r="388">
      <x:c r="B388" s="21" t="str">
        <x:v>A00382</x:v>
      </x:c>
      <x:c r="C388" s="21" t="str">
        <x:v>scenario</x:v>
      </x:c>
      <x:c r="D388" s="21" t="str">
        <x:v>scenario result 131 conservation</x:v>
      </x:c>
      <x:c r="E388" s="21" t="n">
        <x:f>IF(AND(ABS('Scenario Results'!I137-MIN('Scenario Results'!E137,'Scenario Results'!H137))&lt;0.000001,'Scenario Results'!I137&lt;='Scenario Results'!E137),1,0)</x:f>
        <x:v>1</x:v>
      </x:c>
      <x:c r="F388" s="21" t="n">
        <x:v>1</x:v>
      </x:c>
      <x:c r="G388" s="23" t="str">
        <x:f>IF(E388=F388,"PASS","FAIL")</x:f>
        <x:v>PASS</x:v>
      </x:c>
    </x:row>
    <x:row r="389">
      <x:c r="B389" s="21" t="str">
        <x:v>A00383</x:v>
      </x:c>
      <x:c r="C389" s="21" t="str">
        <x:v>scenario</x:v>
      </x:c>
      <x:c r="D389" s="21" t="str">
        <x:v>scenario result 131 state</x:v>
      </x:c>
      <x:c r="E389" s="21" t="n">
        <x:f>IF('Scenario Results'!K137=IF('Scenario Results'!J137&gt;=1,"ADEQUATE","GAP"),1,0)</x:f>
        <x:v>1</x:v>
      </x:c>
      <x:c r="F389" s="21" t="n">
        <x:v>1</x:v>
      </x:c>
      <x:c r="G389" s="23" t="str">
        <x:f>IF(E389=F389,"PASS","FAIL")</x:f>
        <x:v>PASS</x:v>
      </x:c>
    </x:row>
    <x:row r="390">
      <x:c r="B390" s="21" t="str">
        <x:v>A00384</x:v>
      </x:c>
      <x:c r="C390" s="21" t="str">
        <x:v>scenario</x:v>
      </x:c>
      <x:c r="D390" s="21" t="str">
        <x:v>scenario result 132 conservation</x:v>
      </x:c>
      <x:c r="E390" s="21" t="n">
        <x:f>IF(AND(ABS('Scenario Results'!I138-MIN('Scenario Results'!E138,'Scenario Results'!H138))&lt;0.000001,'Scenario Results'!I138&lt;='Scenario Results'!E138),1,0)</x:f>
        <x:v>1</x:v>
      </x:c>
      <x:c r="F390" s="21" t="n">
        <x:v>1</x:v>
      </x:c>
      <x:c r="G390" s="23" t="str">
        <x:f>IF(E390=F390,"PASS","FAIL")</x:f>
        <x:v>PASS</x:v>
      </x:c>
    </x:row>
    <x:row r="391">
      <x:c r="B391" s="21" t="str">
        <x:v>A00385</x:v>
      </x:c>
      <x:c r="C391" s="21" t="str">
        <x:v>scenario</x:v>
      </x:c>
      <x:c r="D391" s="21" t="str">
        <x:v>scenario result 132 state</x:v>
      </x:c>
      <x:c r="E391" s="21" t="n">
        <x:f>IF('Scenario Results'!K138=IF('Scenario Results'!J138&gt;=1,"ADEQUATE","GAP"),1,0)</x:f>
        <x:v>1</x:v>
      </x:c>
      <x:c r="F391" s="21" t="n">
        <x:v>1</x:v>
      </x:c>
      <x:c r="G391" s="23" t="str">
        <x:f>IF(E391=F391,"PASS","FAIL")</x:f>
        <x:v>PASS</x:v>
      </x:c>
    </x:row>
    <x:row r="392">
      <x:c r="B392" s="21" t="str">
        <x:v>A00386</x:v>
      </x:c>
      <x:c r="C392" s="21" t="str">
        <x:v>scenario</x:v>
      </x:c>
      <x:c r="D392" s="21" t="str">
        <x:v>scenario result 133 conservation</x:v>
      </x:c>
      <x:c r="E392" s="21" t="n">
        <x:f>IF(AND(ABS('Scenario Results'!I139-MIN('Scenario Results'!E139,'Scenario Results'!H139))&lt;0.000001,'Scenario Results'!I139&lt;='Scenario Results'!E139),1,0)</x:f>
        <x:v>1</x:v>
      </x:c>
      <x:c r="F392" s="21" t="n">
        <x:v>1</x:v>
      </x:c>
      <x:c r="G392" s="23" t="str">
        <x:f>IF(E392=F392,"PASS","FAIL")</x:f>
        <x:v>PASS</x:v>
      </x:c>
    </x:row>
    <x:row r="393">
      <x:c r="B393" s="21" t="str">
        <x:v>A00387</x:v>
      </x:c>
      <x:c r="C393" s="21" t="str">
        <x:v>scenario</x:v>
      </x:c>
      <x:c r="D393" s="21" t="str">
        <x:v>scenario result 133 state</x:v>
      </x:c>
      <x:c r="E393" s="21" t="n">
        <x:f>IF('Scenario Results'!K139=IF('Scenario Results'!J139&gt;=1,"ADEQUATE","GAP"),1,0)</x:f>
        <x:v>1</x:v>
      </x:c>
      <x:c r="F393" s="21" t="n">
        <x:v>1</x:v>
      </x:c>
      <x:c r="G393" s="23" t="str">
        <x:f>IF(E393=F393,"PASS","FAIL")</x:f>
        <x:v>PASS</x:v>
      </x:c>
    </x:row>
    <x:row r="394">
      <x:c r="B394" s="21" t="str">
        <x:v>A00388</x:v>
      </x:c>
      <x:c r="C394" s="21" t="str">
        <x:v>scenario</x:v>
      </x:c>
      <x:c r="D394" s="21" t="str">
        <x:v>scenario result 134 conservation</x:v>
      </x:c>
      <x:c r="E394" s="21" t="n">
        <x:f>IF(AND(ABS('Scenario Results'!I140-MIN('Scenario Results'!E140,'Scenario Results'!H140))&lt;0.000001,'Scenario Results'!I140&lt;='Scenario Results'!E140),1,0)</x:f>
        <x:v>1</x:v>
      </x:c>
      <x:c r="F394" s="21" t="n">
        <x:v>1</x:v>
      </x:c>
      <x:c r="G394" s="23" t="str">
        <x:f>IF(E394=F394,"PASS","FAIL")</x:f>
        <x:v>PASS</x:v>
      </x:c>
    </x:row>
    <x:row r="395">
      <x:c r="B395" s="21" t="str">
        <x:v>A00389</x:v>
      </x:c>
      <x:c r="C395" s="21" t="str">
        <x:v>scenario</x:v>
      </x:c>
      <x:c r="D395" s="21" t="str">
        <x:v>scenario result 134 state</x:v>
      </x:c>
      <x:c r="E395" s="21" t="n">
        <x:f>IF('Scenario Results'!K140=IF('Scenario Results'!J140&gt;=1,"ADEQUATE","GAP"),1,0)</x:f>
        <x:v>1</x:v>
      </x:c>
      <x:c r="F395" s="21" t="n">
        <x:v>1</x:v>
      </x:c>
      <x:c r="G395" s="23" t="str">
        <x:f>IF(E395=F395,"PASS","FAIL")</x:f>
        <x:v>PASS</x:v>
      </x:c>
    </x:row>
    <x:row r="396">
      <x:c r="B396" s="21" t="str">
        <x:v>A00390</x:v>
      </x:c>
      <x:c r="C396" s="21" t="str">
        <x:v>scenario</x:v>
      </x:c>
      <x:c r="D396" s="21" t="str">
        <x:v>scenario result 135 conservation</x:v>
      </x:c>
      <x:c r="E396" s="21" t="n">
        <x:f>IF(AND(ABS('Scenario Results'!I141-MIN('Scenario Results'!E141,'Scenario Results'!H141))&lt;0.000001,'Scenario Results'!I141&lt;='Scenario Results'!E141),1,0)</x:f>
        <x:v>1</x:v>
      </x:c>
      <x:c r="F396" s="21" t="n">
        <x:v>1</x:v>
      </x:c>
      <x:c r="G396" s="23" t="str">
        <x:f>IF(E396=F396,"PASS","FAIL")</x:f>
        <x:v>PASS</x:v>
      </x:c>
    </x:row>
    <x:row r="397">
      <x:c r="B397" s="21" t="str">
        <x:v>A00391</x:v>
      </x:c>
      <x:c r="C397" s="21" t="str">
        <x:v>scenario</x:v>
      </x:c>
      <x:c r="D397" s="21" t="str">
        <x:v>scenario result 135 state</x:v>
      </x:c>
      <x:c r="E397" s="21" t="n">
        <x:f>IF('Scenario Results'!K141=IF('Scenario Results'!J141&gt;=1,"ADEQUATE","GAP"),1,0)</x:f>
        <x:v>1</x:v>
      </x:c>
      <x:c r="F397" s="21" t="n">
        <x:v>1</x:v>
      </x:c>
      <x:c r="G397" s="23" t="str">
        <x:f>IF(E397=F397,"PASS","FAIL")</x:f>
        <x:v>PASS</x:v>
      </x:c>
    </x:row>
    <x:row r="398">
      <x:c r="B398" s="21" t="str">
        <x:v>A00392</x:v>
      </x:c>
      <x:c r="C398" s="21" t="str">
        <x:v>scenario</x:v>
      </x:c>
      <x:c r="D398" s="21" t="str">
        <x:v>scenario result 136 conservation</x:v>
      </x:c>
      <x:c r="E398" s="21" t="n">
        <x:f>IF(AND(ABS('Scenario Results'!I142-MIN('Scenario Results'!E142,'Scenario Results'!H142))&lt;0.000001,'Scenario Results'!I142&lt;='Scenario Results'!E142),1,0)</x:f>
        <x:v>1</x:v>
      </x:c>
      <x:c r="F398" s="21" t="n">
        <x:v>1</x:v>
      </x:c>
      <x:c r="G398" s="23" t="str">
        <x:f>IF(E398=F398,"PASS","FAIL")</x:f>
        <x:v>PASS</x:v>
      </x:c>
    </x:row>
    <x:row r="399">
      <x:c r="B399" s="21" t="str">
        <x:v>A00393</x:v>
      </x:c>
      <x:c r="C399" s="21" t="str">
        <x:v>scenario</x:v>
      </x:c>
      <x:c r="D399" s="21" t="str">
        <x:v>scenario result 136 state</x:v>
      </x:c>
      <x:c r="E399" s="21" t="n">
        <x:f>IF('Scenario Results'!K142=IF('Scenario Results'!J142&gt;=1,"ADEQUATE","GAP"),1,0)</x:f>
        <x:v>1</x:v>
      </x:c>
      <x:c r="F399" s="21" t="n">
        <x:v>1</x:v>
      </x:c>
      <x:c r="G399" s="23" t="str">
        <x:f>IF(E399=F399,"PASS","FAIL")</x:f>
        <x:v>PASS</x:v>
      </x:c>
    </x:row>
    <x:row r="400">
      <x:c r="B400" s="21" t="str">
        <x:v>A00394</x:v>
      </x:c>
      <x:c r="C400" s="21" t="str">
        <x:v>scenario</x:v>
      </x:c>
      <x:c r="D400" s="21" t="str">
        <x:v>scenario result 137 conservation</x:v>
      </x:c>
      <x:c r="E400" s="21" t="n">
        <x:f>IF(AND(ABS('Scenario Results'!I143-MIN('Scenario Results'!E143,'Scenario Results'!H143))&lt;0.000001,'Scenario Results'!I143&lt;='Scenario Results'!E143),1,0)</x:f>
        <x:v>1</x:v>
      </x:c>
      <x:c r="F400" s="21" t="n">
        <x:v>1</x:v>
      </x:c>
      <x:c r="G400" s="23" t="str">
        <x:f>IF(E400=F400,"PASS","FAIL")</x:f>
        <x:v>PASS</x:v>
      </x:c>
    </x:row>
    <x:row r="401">
      <x:c r="B401" s="21" t="str">
        <x:v>A00395</x:v>
      </x:c>
      <x:c r="C401" s="21" t="str">
        <x:v>scenario</x:v>
      </x:c>
      <x:c r="D401" s="21" t="str">
        <x:v>scenario result 137 state</x:v>
      </x:c>
      <x:c r="E401" s="21" t="n">
        <x:f>IF('Scenario Results'!K143=IF('Scenario Results'!J143&gt;=1,"ADEQUATE","GAP"),1,0)</x:f>
        <x:v>1</x:v>
      </x:c>
      <x:c r="F401" s="21" t="n">
        <x:v>1</x:v>
      </x:c>
      <x:c r="G401" s="23" t="str">
        <x:f>IF(E401=F401,"PASS","FAIL")</x:f>
        <x:v>PASS</x:v>
      </x:c>
    </x:row>
    <x:row r="402">
      <x:c r="B402" s="21" t="str">
        <x:v>A00396</x:v>
      </x:c>
      <x:c r="C402" s="21" t="str">
        <x:v>scenario</x:v>
      </x:c>
      <x:c r="D402" s="21" t="str">
        <x:v>scenario result 138 conservation</x:v>
      </x:c>
      <x:c r="E402" s="21" t="n">
        <x:f>IF(AND(ABS('Scenario Results'!I144-MIN('Scenario Results'!E144,'Scenario Results'!H144))&lt;0.000001,'Scenario Results'!I144&lt;='Scenario Results'!E144),1,0)</x:f>
        <x:v>1</x:v>
      </x:c>
      <x:c r="F402" s="21" t="n">
        <x:v>1</x:v>
      </x:c>
      <x:c r="G402" s="23" t="str">
        <x:f>IF(E402=F402,"PASS","FAIL")</x:f>
        <x:v>PASS</x:v>
      </x:c>
    </x:row>
    <x:row r="403">
      <x:c r="B403" s="21" t="str">
        <x:v>A00397</x:v>
      </x:c>
      <x:c r="C403" s="21" t="str">
        <x:v>scenario</x:v>
      </x:c>
      <x:c r="D403" s="21" t="str">
        <x:v>scenario result 138 state</x:v>
      </x:c>
      <x:c r="E403" s="21" t="n">
        <x:f>IF('Scenario Results'!K144=IF('Scenario Results'!J144&gt;=1,"ADEQUATE","GAP"),1,0)</x:f>
        <x:v>1</x:v>
      </x:c>
      <x:c r="F403" s="21" t="n">
        <x:v>1</x:v>
      </x:c>
      <x:c r="G403" s="23" t="str">
        <x:f>IF(E403=F403,"PASS","FAIL")</x:f>
        <x:v>PASS</x:v>
      </x:c>
    </x:row>
    <x:row r="404">
      <x:c r="B404" s="21" t="str">
        <x:v>A00398</x:v>
      </x:c>
      <x:c r="C404" s="21" t="str">
        <x:v>scenario</x:v>
      </x:c>
      <x:c r="D404" s="21" t="str">
        <x:v>scenario result 139 conservation</x:v>
      </x:c>
      <x:c r="E404" s="21" t="n">
        <x:f>IF(AND(ABS('Scenario Results'!I145-MIN('Scenario Results'!E145,'Scenario Results'!H145))&lt;0.000001,'Scenario Results'!I145&lt;='Scenario Results'!E145),1,0)</x:f>
        <x:v>1</x:v>
      </x:c>
      <x:c r="F404" s="21" t="n">
        <x:v>1</x:v>
      </x:c>
      <x:c r="G404" s="23" t="str">
        <x:f>IF(E404=F404,"PASS","FAIL")</x:f>
        <x:v>PASS</x:v>
      </x:c>
    </x:row>
    <x:row r="405">
      <x:c r="B405" s="21" t="str">
        <x:v>A00399</x:v>
      </x:c>
      <x:c r="C405" s="21" t="str">
        <x:v>scenario</x:v>
      </x:c>
      <x:c r="D405" s="21" t="str">
        <x:v>scenario result 139 state</x:v>
      </x:c>
      <x:c r="E405" s="21" t="n">
        <x:f>IF('Scenario Results'!K145=IF('Scenario Results'!J145&gt;=1,"ADEQUATE","GAP"),1,0)</x:f>
        <x:v>1</x:v>
      </x:c>
      <x:c r="F405" s="21" t="n">
        <x:v>1</x:v>
      </x:c>
      <x:c r="G405" s="23" t="str">
        <x:f>IF(E405=F405,"PASS","FAIL")</x:f>
        <x:v>PASS</x:v>
      </x:c>
    </x:row>
    <x:row r="406">
      <x:c r="B406" s="21" t="str">
        <x:v>A00400</x:v>
      </x:c>
      <x:c r="C406" s="21" t="str">
        <x:v>scenario</x:v>
      </x:c>
      <x:c r="D406" s="21" t="str">
        <x:v>scenario result 140 conservation</x:v>
      </x:c>
      <x:c r="E406" s="21" t="n">
        <x:f>IF(AND(ABS('Scenario Results'!I146-MIN('Scenario Results'!E146,'Scenario Results'!H146))&lt;0.000001,'Scenario Results'!I146&lt;='Scenario Results'!E146),1,0)</x:f>
        <x:v>1</x:v>
      </x:c>
      <x:c r="F406" s="21" t="n">
        <x:v>1</x:v>
      </x:c>
      <x:c r="G406" s="23" t="str">
        <x:f>IF(E406=F406,"PASS","FAIL")</x:f>
        <x:v>PASS</x:v>
      </x:c>
    </x:row>
    <x:row r="407">
      <x:c r="B407" s="21" t="str">
        <x:v>A00401</x:v>
      </x:c>
      <x:c r="C407" s="21" t="str">
        <x:v>scenario</x:v>
      </x:c>
      <x:c r="D407" s="21" t="str">
        <x:v>scenario result 140 state</x:v>
      </x:c>
      <x:c r="E407" s="21" t="n">
        <x:f>IF('Scenario Results'!K146=IF('Scenario Results'!J146&gt;=1,"ADEQUATE","GAP"),1,0)</x:f>
        <x:v>1</x:v>
      </x:c>
      <x:c r="F407" s="21" t="n">
        <x:v>1</x:v>
      </x:c>
      <x:c r="G407" s="23" t="str">
        <x:f>IF(E407=F407,"PASS","FAIL")</x:f>
        <x:v>PASS</x:v>
      </x:c>
    </x:row>
    <x:row r="408">
      <x:c r="B408" s="21" t="str">
        <x:v>A00402</x:v>
      </x:c>
      <x:c r="C408" s="21" t="str">
        <x:v>scenario</x:v>
      </x:c>
      <x:c r="D408" s="21" t="str">
        <x:v>scenario result 141 conservation</x:v>
      </x:c>
      <x:c r="E408" s="21" t="n">
        <x:f>IF(AND(ABS('Scenario Results'!I147-MIN('Scenario Results'!E147,'Scenario Results'!H147))&lt;0.000001,'Scenario Results'!I147&lt;='Scenario Results'!E147),1,0)</x:f>
        <x:v>1</x:v>
      </x:c>
      <x:c r="F408" s="21" t="n">
        <x:v>1</x:v>
      </x:c>
      <x:c r="G408" s="23" t="str">
        <x:f>IF(E408=F408,"PASS","FAIL")</x:f>
        <x:v>PASS</x:v>
      </x:c>
    </x:row>
    <x:row r="409">
      <x:c r="B409" s="21" t="str">
        <x:v>A00403</x:v>
      </x:c>
      <x:c r="C409" s="21" t="str">
        <x:v>scenario</x:v>
      </x:c>
      <x:c r="D409" s="21" t="str">
        <x:v>scenario result 141 state</x:v>
      </x:c>
      <x:c r="E409" s="21" t="n">
        <x:f>IF('Scenario Results'!K147=IF('Scenario Results'!J147&gt;=1,"ADEQUATE","GAP"),1,0)</x:f>
        <x:v>1</x:v>
      </x:c>
      <x:c r="F409" s="21" t="n">
        <x:v>1</x:v>
      </x:c>
      <x:c r="G409" s="23" t="str">
        <x:f>IF(E409=F409,"PASS","FAIL")</x:f>
        <x:v>PASS</x:v>
      </x:c>
    </x:row>
    <x:row r="410">
      <x:c r="B410" s="21" t="str">
        <x:v>A00404</x:v>
      </x:c>
      <x:c r="C410" s="21" t="str">
        <x:v>scenario</x:v>
      </x:c>
      <x:c r="D410" s="21" t="str">
        <x:v>scenario result 142 conservation</x:v>
      </x:c>
      <x:c r="E410" s="21" t="n">
        <x:f>IF(AND(ABS('Scenario Results'!I148-MIN('Scenario Results'!E148,'Scenario Results'!H148))&lt;0.000001,'Scenario Results'!I148&lt;='Scenario Results'!E148),1,0)</x:f>
        <x:v>1</x:v>
      </x:c>
      <x:c r="F410" s="21" t="n">
        <x:v>1</x:v>
      </x:c>
      <x:c r="G410" s="23" t="str">
        <x:f>IF(E410=F410,"PASS","FAIL")</x:f>
        <x:v>PASS</x:v>
      </x:c>
    </x:row>
    <x:row r="411">
      <x:c r="B411" s="21" t="str">
        <x:v>A00405</x:v>
      </x:c>
      <x:c r="C411" s="21" t="str">
        <x:v>scenario</x:v>
      </x:c>
      <x:c r="D411" s="21" t="str">
        <x:v>scenario result 142 state</x:v>
      </x:c>
      <x:c r="E411" s="21" t="n">
        <x:f>IF('Scenario Results'!K148=IF('Scenario Results'!J148&gt;=1,"ADEQUATE","GAP"),1,0)</x:f>
        <x:v>1</x:v>
      </x:c>
      <x:c r="F411" s="21" t="n">
        <x:v>1</x:v>
      </x:c>
      <x:c r="G411" s="23" t="str">
        <x:f>IF(E411=F411,"PASS","FAIL")</x:f>
        <x:v>PASS</x:v>
      </x:c>
    </x:row>
    <x:row r="412">
      <x:c r="B412" s="21" t="str">
        <x:v>A00406</x:v>
      </x:c>
      <x:c r="C412" s="21" t="str">
        <x:v>scenario</x:v>
      </x:c>
      <x:c r="D412" s="21" t="str">
        <x:v>scenario result 143 conservation</x:v>
      </x:c>
      <x:c r="E412" s="21" t="n">
        <x:f>IF(AND(ABS('Scenario Results'!I149-MIN('Scenario Results'!E149,'Scenario Results'!H149))&lt;0.000001,'Scenario Results'!I149&lt;='Scenario Results'!E149),1,0)</x:f>
        <x:v>1</x:v>
      </x:c>
      <x:c r="F412" s="21" t="n">
        <x:v>1</x:v>
      </x:c>
      <x:c r="G412" s="23" t="str">
        <x:f>IF(E412=F412,"PASS","FAIL")</x:f>
        <x:v>PASS</x:v>
      </x:c>
    </x:row>
    <x:row r="413">
      <x:c r="B413" s="21" t="str">
        <x:v>A00407</x:v>
      </x:c>
      <x:c r="C413" s="21" t="str">
        <x:v>scenario</x:v>
      </x:c>
      <x:c r="D413" s="21" t="str">
        <x:v>scenario result 143 state</x:v>
      </x:c>
      <x:c r="E413" s="21" t="n">
        <x:f>IF('Scenario Results'!K149=IF('Scenario Results'!J149&gt;=1,"ADEQUATE","GAP"),1,0)</x:f>
        <x:v>1</x:v>
      </x:c>
      <x:c r="F413" s="21" t="n">
        <x:v>1</x:v>
      </x:c>
      <x:c r="G413" s="23" t="str">
        <x:f>IF(E413=F413,"PASS","FAIL")</x:f>
        <x:v>PASS</x:v>
      </x:c>
    </x:row>
    <x:row r="414">
      <x:c r="B414" s="21" t="str">
        <x:v>A00408</x:v>
      </x:c>
      <x:c r="C414" s="21" t="str">
        <x:v>scenario</x:v>
      </x:c>
      <x:c r="D414" s="21" t="str">
        <x:v>scenario result 144 conservation</x:v>
      </x:c>
      <x:c r="E414" s="21" t="n">
        <x:f>IF(AND(ABS('Scenario Results'!I150-MIN('Scenario Results'!E150,'Scenario Results'!H150))&lt;0.000001,'Scenario Results'!I150&lt;='Scenario Results'!E150),1,0)</x:f>
        <x:v>1</x:v>
      </x:c>
      <x:c r="F414" s="21" t="n">
        <x:v>1</x:v>
      </x:c>
      <x:c r="G414" s="23" t="str">
        <x:f>IF(E414=F414,"PASS","FAIL")</x:f>
        <x:v>PASS</x:v>
      </x:c>
    </x:row>
    <x:row r="415">
      <x:c r="B415" s="21" t="str">
        <x:v>A00409</x:v>
      </x:c>
      <x:c r="C415" s="21" t="str">
        <x:v>scenario</x:v>
      </x:c>
      <x:c r="D415" s="21" t="str">
        <x:v>scenario result 144 state</x:v>
      </x:c>
      <x:c r="E415" s="21" t="n">
        <x:f>IF('Scenario Results'!K150=IF('Scenario Results'!J150&gt;=1,"ADEQUATE","GAP"),1,0)</x:f>
        <x:v>1</x:v>
      </x:c>
      <x:c r="F415" s="21" t="n">
        <x:v>1</x:v>
      </x:c>
      <x:c r="G415" s="23" t="str">
        <x:f>IF(E415=F415,"PASS","FAIL")</x:f>
        <x:v>PASS</x:v>
      </x:c>
    </x:row>
    <x:row r="416">
      <x:c r="B416" s="21" t="str">
        <x:v>A00410</x:v>
      </x:c>
      <x:c r="C416" s="21" t="str">
        <x:v>scenario</x:v>
      </x:c>
      <x:c r="D416" s="21" t="str">
        <x:v>scenario result 145 conservation</x:v>
      </x:c>
      <x:c r="E416" s="21" t="n">
        <x:f>IF(AND(ABS('Scenario Results'!I151-MIN('Scenario Results'!E151,'Scenario Results'!H151))&lt;0.000001,'Scenario Results'!I151&lt;='Scenario Results'!E151),1,0)</x:f>
        <x:v>1</x:v>
      </x:c>
      <x:c r="F416" s="21" t="n">
        <x:v>1</x:v>
      </x:c>
      <x:c r="G416" s="23" t="str">
        <x:f>IF(E416=F416,"PASS","FAIL")</x:f>
        <x:v>PASS</x:v>
      </x:c>
    </x:row>
    <x:row r="417">
      <x:c r="B417" s="21" t="str">
        <x:v>A00411</x:v>
      </x:c>
      <x:c r="C417" s="21" t="str">
        <x:v>scenario</x:v>
      </x:c>
      <x:c r="D417" s="21" t="str">
        <x:v>scenario result 145 state</x:v>
      </x:c>
      <x:c r="E417" s="21" t="n">
        <x:f>IF('Scenario Results'!K151=IF('Scenario Results'!J151&gt;=1,"ADEQUATE","GAP"),1,0)</x:f>
        <x:v>1</x:v>
      </x:c>
      <x:c r="F417" s="21" t="n">
        <x:v>1</x:v>
      </x:c>
      <x:c r="G417" s="23" t="str">
        <x:f>IF(E417=F417,"PASS","FAIL")</x:f>
        <x:v>PASS</x:v>
      </x:c>
    </x:row>
    <x:row r="418">
      <x:c r="B418" s="21" t="str">
        <x:v>A00412</x:v>
      </x:c>
      <x:c r="C418" s="21" t="str">
        <x:v>scenario</x:v>
      </x:c>
      <x:c r="D418" s="21" t="str">
        <x:v>scenario result 146 conservation</x:v>
      </x:c>
      <x:c r="E418" s="21" t="n">
        <x:f>IF(AND(ABS('Scenario Results'!I152-MIN('Scenario Results'!E152,'Scenario Results'!H152))&lt;0.000001,'Scenario Results'!I152&lt;='Scenario Results'!E152),1,0)</x:f>
        <x:v>1</x:v>
      </x:c>
      <x:c r="F418" s="21" t="n">
        <x:v>1</x:v>
      </x:c>
      <x:c r="G418" s="23" t="str">
        <x:f>IF(E418=F418,"PASS","FAIL")</x:f>
        <x:v>PASS</x:v>
      </x:c>
    </x:row>
    <x:row r="419">
      <x:c r="B419" s="21" t="str">
        <x:v>A00413</x:v>
      </x:c>
      <x:c r="C419" s="21" t="str">
        <x:v>scenario</x:v>
      </x:c>
      <x:c r="D419" s="21" t="str">
        <x:v>scenario result 146 state</x:v>
      </x:c>
      <x:c r="E419" s="21" t="n">
        <x:f>IF('Scenario Results'!K152=IF('Scenario Results'!J152&gt;=1,"ADEQUATE","GAP"),1,0)</x:f>
        <x:v>1</x:v>
      </x:c>
      <x:c r="F419" s="21" t="n">
        <x:v>1</x:v>
      </x:c>
      <x:c r="G419" s="23" t="str">
        <x:f>IF(E419=F419,"PASS","FAIL")</x:f>
        <x:v>PASS</x:v>
      </x:c>
    </x:row>
    <x:row r="420">
      <x:c r="B420" s="21" t="str">
        <x:v>A00414</x:v>
      </x:c>
      <x:c r="C420" s="21" t="str">
        <x:v>scenario</x:v>
      </x:c>
      <x:c r="D420" s="21" t="str">
        <x:v>scenario result 147 conservation</x:v>
      </x:c>
      <x:c r="E420" s="21" t="n">
        <x:f>IF(AND(ABS('Scenario Results'!I153-MIN('Scenario Results'!E153,'Scenario Results'!H153))&lt;0.000001,'Scenario Results'!I153&lt;='Scenario Results'!E153),1,0)</x:f>
        <x:v>1</x:v>
      </x:c>
      <x:c r="F420" s="21" t="n">
        <x:v>1</x:v>
      </x:c>
      <x:c r="G420" s="23" t="str">
        <x:f>IF(E420=F420,"PASS","FAIL")</x:f>
        <x:v>PASS</x:v>
      </x:c>
    </x:row>
    <x:row r="421">
      <x:c r="B421" s="21" t="str">
        <x:v>A00415</x:v>
      </x:c>
      <x:c r="C421" s="21" t="str">
        <x:v>scenario</x:v>
      </x:c>
      <x:c r="D421" s="21" t="str">
        <x:v>scenario result 147 state</x:v>
      </x:c>
      <x:c r="E421" s="21" t="n">
        <x:f>IF('Scenario Results'!K153=IF('Scenario Results'!J153&gt;=1,"ADEQUATE","GAP"),1,0)</x:f>
        <x:v>1</x:v>
      </x:c>
      <x:c r="F421" s="21" t="n">
        <x:v>1</x:v>
      </x:c>
      <x:c r="G421" s="23" t="str">
        <x:f>IF(E421=F421,"PASS","FAIL")</x:f>
        <x:v>PASS</x:v>
      </x:c>
    </x:row>
    <x:row r="422">
      <x:c r="B422" s="21" t="str">
        <x:v>A00416</x:v>
      </x:c>
      <x:c r="C422" s="21" t="str">
        <x:v>scenario</x:v>
      </x:c>
      <x:c r="D422" s="21" t="str">
        <x:v>scenario result 148 conservation</x:v>
      </x:c>
      <x:c r="E422" s="21" t="n">
        <x:f>IF(AND(ABS('Scenario Results'!I154-MIN('Scenario Results'!E154,'Scenario Results'!H154))&lt;0.000001,'Scenario Results'!I154&lt;='Scenario Results'!E154),1,0)</x:f>
        <x:v>1</x:v>
      </x:c>
      <x:c r="F422" s="21" t="n">
        <x:v>1</x:v>
      </x:c>
      <x:c r="G422" s="23" t="str">
        <x:f>IF(E422=F422,"PASS","FAIL")</x:f>
        <x:v>PASS</x:v>
      </x:c>
    </x:row>
    <x:row r="423">
      <x:c r="B423" s="21" t="str">
        <x:v>A00417</x:v>
      </x:c>
      <x:c r="C423" s="21" t="str">
        <x:v>scenario</x:v>
      </x:c>
      <x:c r="D423" s="21" t="str">
        <x:v>scenario result 148 state</x:v>
      </x:c>
      <x:c r="E423" s="21" t="n">
        <x:f>IF('Scenario Results'!K154=IF('Scenario Results'!J154&gt;=1,"ADEQUATE","GAP"),1,0)</x:f>
        <x:v>1</x:v>
      </x:c>
      <x:c r="F423" s="21" t="n">
        <x:v>1</x:v>
      </x:c>
      <x:c r="G423" s="23" t="str">
        <x:f>IF(E423=F423,"PASS","FAIL")</x:f>
        <x:v>PASS</x:v>
      </x:c>
    </x:row>
    <x:row r="424">
      <x:c r="B424" s="21" t="str">
        <x:v>A00418</x:v>
      </x:c>
      <x:c r="C424" s="21" t="str">
        <x:v>scenario</x:v>
      </x:c>
      <x:c r="D424" s="21" t="str">
        <x:v>scenario result 149 conservation</x:v>
      </x:c>
      <x:c r="E424" s="21" t="n">
        <x:f>IF(AND(ABS('Scenario Results'!I155-MIN('Scenario Results'!E155,'Scenario Results'!H155))&lt;0.000001,'Scenario Results'!I155&lt;='Scenario Results'!E155),1,0)</x:f>
        <x:v>1</x:v>
      </x:c>
      <x:c r="F424" s="21" t="n">
        <x:v>1</x:v>
      </x:c>
      <x:c r="G424" s="23" t="str">
        <x:f>IF(E424=F424,"PASS","FAIL")</x:f>
        <x:v>PASS</x:v>
      </x:c>
    </x:row>
    <x:row r="425">
      <x:c r="B425" s="21" t="str">
        <x:v>A00419</x:v>
      </x:c>
      <x:c r="C425" s="21" t="str">
        <x:v>scenario</x:v>
      </x:c>
      <x:c r="D425" s="21" t="str">
        <x:v>scenario result 149 state</x:v>
      </x:c>
      <x:c r="E425" s="21" t="n">
        <x:f>IF('Scenario Results'!K155=IF('Scenario Results'!J155&gt;=1,"ADEQUATE","GAP"),1,0)</x:f>
        <x:v>1</x:v>
      </x:c>
      <x:c r="F425" s="21" t="n">
        <x:v>1</x:v>
      </x:c>
      <x:c r="G425" s="23" t="str">
        <x:f>IF(E425=F425,"PASS","FAIL")</x:f>
        <x:v>PASS</x:v>
      </x:c>
    </x:row>
    <x:row r="426">
      <x:c r="B426" s="21" t="str">
        <x:v>A00420</x:v>
      </x:c>
      <x:c r="C426" s="21" t="str">
        <x:v>scenario</x:v>
      </x:c>
      <x:c r="D426" s="21" t="str">
        <x:v>scenario result 150 conservation</x:v>
      </x:c>
      <x:c r="E426" s="21" t="n">
        <x:f>IF(AND(ABS('Scenario Results'!I156-MIN('Scenario Results'!E156,'Scenario Results'!H156))&lt;0.000001,'Scenario Results'!I156&lt;='Scenario Results'!E156),1,0)</x:f>
        <x:v>1</x:v>
      </x:c>
      <x:c r="F426" s="21" t="n">
        <x:v>1</x:v>
      </x:c>
      <x:c r="G426" s="23" t="str">
        <x:f>IF(E426=F426,"PASS","FAIL")</x:f>
        <x:v>PASS</x:v>
      </x:c>
    </x:row>
    <x:row r="427">
      <x:c r="B427" s="21" t="str">
        <x:v>A00421</x:v>
      </x:c>
      <x:c r="C427" s="21" t="str">
        <x:v>scenario</x:v>
      </x:c>
      <x:c r="D427" s="21" t="str">
        <x:v>scenario result 150 state</x:v>
      </x:c>
      <x:c r="E427" s="21" t="n">
        <x:f>IF('Scenario Results'!K156=IF('Scenario Results'!J156&gt;=1,"ADEQUATE","GAP"),1,0)</x:f>
        <x:v>1</x:v>
      </x:c>
      <x:c r="F427" s="21" t="n">
        <x:v>1</x:v>
      </x:c>
      <x:c r="G427" s="23" t="str">
        <x:f>IF(E427=F427,"PASS","FAIL")</x:f>
        <x:v>PASS</x:v>
      </x:c>
    </x:row>
    <x:row r="428">
      <x:c r="B428" s="21" t="str">
        <x:v>A00422</x:v>
      </x:c>
      <x:c r="C428" s="21" t="str">
        <x:v>scenario</x:v>
      </x:c>
      <x:c r="D428" s="21" t="str">
        <x:v>scenario result 151 conservation</x:v>
      </x:c>
      <x:c r="E428" s="21" t="n">
        <x:f>IF(AND(ABS('Scenario Results'!I157-MIN('Scenario Results'!E157,'Scenario Results'!H157))&lt;0.000001,'Scenario Results'!I157&lt;='Scenario Results'!E157),1,0)</x:f>
        <x:v>1</x:v>
      </x:c>
      <x:c r="F428" s="21" t="n">
        <x:v>1</x:v>
      </x:c>
      <x:c r="G428" s="23" t="str">
        <x:f>IF(E428=F428,"PASS","FAIL")</x:f>
        <x:v>PASS</x:v>
      </x:c>
    </x:row>
    <x:row r="429">
      <x:c r="B429" s="21" t="str">
        <x:v>A00423</x:v>
      </x:c>
      <x:c r="C429" s="21" t="str">
        <x:v>scenario</x:v>
      </x:c>
      <x:c r="D429" s="21" t="str">
        <x:v>scenario result 151 state</x:v>
      </x:c>
      <x:c r="E429" s="21" t="n">
        <x:f>IF('Scenario Results'!K157=IF('Scenario Results'!J157&gt;=1,"ADEQUATE","GAP"),1,0)</x:f>
        <x:v>1</x:v>
      </x:c>
      <x:c r="F429" s="21" t="n">
        <x:v>1</x:v>
      </x:c>
      <x:c r="G429" s="23" t="str">
        <x:f>IF(E429=F429,"PASS","FAIL")</x:f>
        <x:v>PASS</x:v>
      </x:c>
    </x:row>
    <x:row r="430">
      <x:c r="B430" s="21" t="str">
        <x:v>A00424</x:v>
      </x:c>
      <x:c r="C430" s="21" t="str">
        <x:v>scenario</x:v>
      </x:c>
      <x:c r="D430" s="21" t="str">
        <x:v>scenario result 152 conservation</x:v>
      </x:c>
      <x:c r="E430" s="21" t="n">
        <x:f>IF(AND(ABS('Scenario Results'!I158-MIN('Scenario Results'!E158,'Scenario Results'!H158))&lt;0.000001,'Scenario Results'!I158&lt;='Scenario Results'!E158),1,0)</x:f>
        <x:v>1</x:v>
      </x:c>
      <x:c r="F430" s="21" t="n">
        <x:v>1</x:v>
      </x:c>
      <x:c r="G430" s="23" t="str">
        <x:f>IF(E430=F430,"PASS","FAIL")</x:f>
        <x:v>PASS</x:v>
      </x:c>
    </x:row>
    <x:row r="431">
      <x:c r="B431" s="21" t="str">
        <x:v>A00425</x:v>
      </x:c>
      <x:c r="C431" s="21" t="str">
        <x:v>scenario</x:v>
      </x:c>
      <x:c r="D431" s="21" t="str">
        <x:v>scenario result 152 state</x:v>
      </x:c>
      <x:c r="E431" s="21" t="n">
        <x:f>IF('Scenario Results'!K158=IF('Scenario Results'!J158&gt;=1,"ADEQUATE","GAP"),1,0)</x:f>
        <x:v>1</x:v>
      </x:c>
      <x:c r="F431" s="21" t="n">
        <x:v>1</x:v>
      </x:c>
      <x:c r="G431" s="23" t="str">
        <x:f>IF(E431=F431,"PASS","FAIL")</x:f>
        <x:v>PASS</x:v>
      </x:c>
    </x:row>
    <x:row r="432">
      <x:c r="B432" s="21" t="str">
        <x:v>A00426</x:v>
      </x:c>
      <x:c r="C432" s="21" t="str">
        <x:v>scenario</x:v>
      </x:c>
      <x:c r="D432" s="21" t="str">
        <x:v>scenario result 153 conservation</x:v>
      </x:c>
      <x:c r="E432" s="21" t="n">
        <x:f>IF(AND(ABS('Scenario Results'!I159-MIN('Scenario Results'!E159,'Scenario Results'!H159))&lt;0.000001,'Scenario Results'!I159&lt;='Scenario Results'!E159),1,0)</x:f>
        <x:v>1</x:v>
      </x:c>
      <x:c r="F432" s="21" t="n">
        <x:v>1</x:v>
      </x:c>
      <x:c r="G432" s="23" t="str">
        <x:f>IF(E432=F432,"PASS","FAIL")</x:f>
        <x:v>PASS</x:v>
      </x:c>
    </x:row>
    <x:row r="433">
      <x:c r="B433" s="21" t="str">
        <x:v>A00427</x:v>
      </x:c>
      <x:c r="C433" s="21" t="str">
        <x:v>scenario</x:v>
      </x:c>
      <x:c r="D433" s="21" t="str">
        <x:v>scenario result 153 state</x:v>
      </x:c>
      <x:c r="E433" s="21" t="n">
        <x:f>IF('Scenario Results'!K159=IF('Scenario Results'!J159&gt;=1,"ADEQUATE","GAP"),1,0)</x:f>
        <x:v>1</x:v>
      </x:c>
      <x:c r="F433" s="21" t="n">
        <x:v>1</x:v>
      </x:c>
      <x:c r="G433" s="23" t="str">
        <x:f>IF(E433=F433,"PASS","FAIL")</x:f>
        <x:v>PASS</x:v>
      </x:c>
    </x:row>
    <x:row r="434">
      <x:c r="B434" s="21" t="str">
        <x:v>A00428</x:v>
      </x:c>
      <x:c r="C434" s="21" t="str">
        <x:v>scenario</x:v>
      </x:c>
      <x:c r="D434" s="21" t="str">
        <x:v>scenario result 154 conservation</x:v>
      </x:c>
      <x:c r="E434" s="21" t="n">
        <x:f>IF(AND(ABS('Scenario Results'!I160-MIN('Scenario Results'!E160,'Scenario Results'!H160))&lt;0.000001,'Scenario Results'!I160&lt;='Scenario Results'!E160),1,0)</x:f>
        <x:v>1</x:v>
      </x:c>
      <x:c r="F434" s="21" t="n">
        <x:v>1</x:v>
      </x:c>
      <x:c r="G434" s="23" t="str">
        <x:f>IF(E434=F434,"PASS","FAIL")</x:f>
        <x:v>PASS</x:v>
      </x:c>
    </x:row>
    <x:row r="435">
      <x:c r="B435" s="21" t="str">
        <x:v>A00429</x:v>
      </x:c>
      <x:c r="C435" s="21" t="str">
        <x:v>scenario</x:v>
      </x:c>
      <x:c r="D435" s="21" t="str">
        <x:v>scenario result 154 state</x:v>
      </x:c>
      <x:c r="E435" s="21" t="n">
        <x:f>IF('Scenario Results'!K160=IF('Scenario Results'!J160&gt;=1,"ADEQUATE","GAP"),1,0)</x:f>
        <x:v>1</x:v>
      </x:c>
      <x:c r="F435" s="21" t="n">
        <x:v>1</x:v>
      </x:c>
      <x:c r="G435" s="23" t="str">
        <x:f>IF(E435=F435,"PASS","FAIL")</x:f>
        <x:v>PASS</x:v>
      </x:c>
    </x:row>
    <x:row r="436">
      <x:c r="B436" s="21" t="str">
        <x:v>A00430</x:v>
      </x:c>
      <x:c r="C436" s="21" t="str">
        <x:v>scenario</x:v>
      </x:c>
      <x:c r="D436" s="21" t="str">
        <x:v>scenario result 155 conservation</x:v>
      </x:c>
      <x:c r="E436" s="21" t="n">
        <x:f>IF(AND(ABS('Scenario Results'!I161-MIN('Scenario Results'!E161,'Scenario Results'!H161))&lt;0.000001,'Scenario Results'!I161&lt;='Scenario Results'!E161),1,0)</x:f>
        <x:v>1</x:v>
      </x:c>
      <x:c r="F436" s="21" t="n">
        <x:v>1</x:v>
      </x:c>
      <x:c r="G436" s="23" t="str">
        <x:f>IF(E436=F436,"PASS","FAIL")</x:f>
        <x:v>PASS</x:v>
      </x:c>
    </x:row>
    <x:row r="437">
      <x:c r="B437" s="21" t="str">
        <x:v>A00431</x:v>
      </x:c>
      <x:c r="C437" s="21" t="str">
        <x:v>scenario</x:v>
      </x:c>
      <x:c r="D437" s="21" t="str">
        <x:v>scenario result 155 state</x:v>
      </x:c>
      <x:c r="E437" s="21" t="n">
        <x:f>IF('Scenario Results'!K161=IF('Scenario Results'!J161&gt;=1,"ADEQUATE","GAP"),1,0)</x:f>
        <x:v>1</x:v>
      </x:c>
      <x:c r="F437" s="21" t="n">
        <x:v>1</x:v>
      </x:c>
      <x:c r="G437" s="23" t="str">
        <x:f>IF(E437=F437,"PASS","FAIL")</x:f>
        <x:v>PASS</x:v>
      </x:c>
    </x:row>
    <x:row r="438">
      <x:c r="B438" s="21" t="str">
        <x:v>A00432</x:v>
      </x:c>
      <x:c r="C438" s="21" t="str">
        <x:v>scenario</x:v>
      </x:c>
      <x:c r="D438" s="21" t="str">
        <x:v>scenario result 156 conservation</x:v>
      </x:c>
      <x:c r="E438" s="21" t="n">
        <x:f>IF(AND(ABS('Scenario Results'!I162-MIN('Scenario Results'!E162,'Scenario Results'!H162))&lt;0.000001,'Scenario Results'!I162&lt;='Scenario Results'!E162),1,0)</x:f>
        <x:v>1</x:v>
      </x:c>
      <x:c r="F438" s="21" t="n">
        <x:v>1</x:v>
      </x:c>
      <x:c r="G438" s="23" t="str">
        <x:f>IF(E438=F438,"PASS","FAIL")</x:f>
        <x:v>PASS</x:v>
      </x:c>
    </x:row>
    <x:row r="439">
      <x:c r="B439" s="21" t="str">
        <x:v>A00433</x:v>
      </x:c>
      <x:c r="C439" s="21" t="str">
        <x:v>scenario</x:v>
      </x:c>
      <x:c r="D439" s="21" t="str">
        <x:v>scenario result 156 state</x:v>
      </x:c>
      <x:c r="E439" s="21" t="n">
        <x:f>IF('Scenario Results'!K162=IF('Scenario Results'!J162&gt;=1,"ADEQUATE","GAP"),1,0)</x:f>
        <x:v>1</x:v>
      </x:c>
      <x:c r="F439" s="21" t="n">
        <x:v>1</x:v>
      </x:c>
      <x:c r="G439" s="23" t="str">
        <x:f>IF(E439=F439,"PASS","FAIL")</x:f>
        <x:v>PASS</x:v>
      </x:c>
    </x:row>
    <x:row r="440">
      <x:c r="B440" s="21" t="str">
        <x:v>A00434</x:v>
      </x:c>
      <x:c r="C440" s="21" t="str">
        <x:v>scenario</x:v>
      </x:c>
      <x:c r="D440" s="21" t="str">
        <x:v>scenario result 157 conservation</x:v>
      </x:c>
      <x:c r="E440" s="21" t="n">
        <x:f>IF(AND(ABS('Scenario Results'!I163-MIN('Scenario Results'!E163,'Scenario Results'!H163))&lt;0.000001,'Scenario Results'!I163&lt;='Scenario Results'!E163),1,0)</x:f>
        <x:v>1</x:v>
      </x:c>
      <x:c r="F440" s="21" t="n">
        <x:v>1</x:v>
      </x:c>
      <x:c r="G440" s="23" t="str">
        <x:f>IF(E440=F440,"PASS","FAIL")</x:f>
        <x:v>PASS</x:v>
      </x:c>
    </x:row>
    <x:row r="441">
      <x:c r="B441" s="21" t="str">
        <x:v>A00435</x:v>
      </x:c>
      <x:c r="C441" s="21" t="str">
        <x:v>scenario</x:v>
      </x:c>
      <x:c r="D441" s="21" t="str">
        <x:v>scenario result 157 state</x:v>
      </x:c>
      <x:c r="E441" s="21" t="n">
        <x:f>IF('Scenario Results'!K163=IF('Scenario Results'!J163&gt;=1,"ADEQUATE","GAP"),1,0)</x:f>
        <x:v>1</x:v>
      </x:c>
      <x:c r="F441" s="21" t="n">
        <x:v>1</x:v>
      </x:c>
      <x:c r="G441" s="23" t="str">
        <x:f>IF(E441=F441,"PASS","FAIL")</x:f>
        <x:v>PASS</x:v>
      </x:c>
    </x:row>
    <x:row r="442">
      <x:c r="B442" s="21" t="str">
        <x:v>A00436</x:v>
      </x:c>
      <x:c r="C442" s="21" t="str">
        <x:v>scenario</x:v>
      </x:c>
      <x:c r="D442" s="21" t="str">
        <x:v>scenario result 158 conservation</x:v>
      </x:c>
      <x:c r="E442" s="21" t="n">
        <x:f>IF(AND(ABS('Scenario Results'!I164-MIN('Scenario Results'!E164,'Scenario Results'!H164))&lt;0.000001,'Scenario Results'!I164&lt;='Scenario Results'!E164),1,0)</x:f>
        <x:v>1</x:v>
      </x:c>
      <x:c r="F442" s="21" t="n">
        <x:v>1</x:v>
      </x:c>
      <x:c r="G442" s="23" t="str">
        <x:f>IF(E442=F442,"PASS","FAIL")</x:f>
        <x:v>PASS</x:v>
      </x:c>
    </x:row>
    <x:row r="443">
      <x:c r="B443" s="21" t="str">
        <x:v>A00437</x:v>
      </x:c>
      <x:c r="C443" s="21" t="str">
        <x:v>scenario</x:v>
      </x:c>
      <x:c r="D443" s="21" t="str">
        <x:v>scenario result 158 state</x:v>
      </x:c>
      <x:c r="E443" s="21" t="n">
        <x:f>IF('Scenario Results'!K164=IF('Scenario Results'!J164&gt;=1,"ADEQUATE","GAP"),1,0)</x:f>
        <x:v>1</x:v>
      </x:c>
      <x:c r="F443" s="21" t="n">
        <x:v>1</x:v>
      </x:c>
      <x:c r="G443" s="23" t="str">
        <x:f>IF(E443=F443,"PASS","FAIL")</x:f>
        <x:v>PASS</x:v>
      </x:c>
    </x:row>
    <x:row r="444">
      <x:c r="B444" s="21" t="str">
        <x:v>A00438</x:v>
      </x:c>
      <x:c r="C444" s="21" t="str">
        <x:v>scenario</x:v>
      </x:c>
      <x:c r="D444" s="21" t="str">
        <x:v>scenario result 159 conservation</x:v>
      </x:c>
      <x:c r="E444" s="21" t="n">
        <x:f>IF(AND(ABS('Scenario Results'!I165-MIN('Scenario Results'!E165,'Scenario Results'!H165))&lt;0.000001,'Scenario Results'!I165&lt;='Scenario Results'!E165),1,0)</x:f>
        <x:v>1</x:v>
      </x:c>
      <x:c r="F444" s="21" t="n">
        <x:v>1</x:v>
      </x:c>
      <x:c r="G444" s="23" t="str">
        <x:f>IF(E444=F444,"PASS","FAIL")</x:f>
        <x:v>PASS</x:v>
      </x:c>
    </x:row>
    <x:row r="445">
      <x:c r="B445" s="21" t="str">
        <x:v>A00439</x:v>
      </x:c>
      <x:c r="C445" s="21" t="str">
        <x:v>scenario</x:v>
      </x:c>
      <x:c r="D445" s="21" t="str">
        <x:v>scenario result 159 state</x:v>
      </x:c>
      <x:c r="E445" s="21" t="n">
        <x:f>IF('Scenario Results'!K165=IF('Scenario Results'!J165&gt;=1,"ADEQUATE","GAP"),1,0)</x:f>
        <x:v>1</x:v>
      </x:c>
      <x:c r="F445" s="21" t="n">
        <x:v>1</x:v>
      </x:c>
      <x:c r="G445" s="23" t="str">
        <x:f>IF(E445=F445,"PASS","FAIL")</x:f>
        <x:v>PASS</x:v>
      </x:c>
    </x:row>
    <x:row r="446">
      <x:c r="B446" s="21" t="str">
        <x:v>A00440</x:v>
      </x:c>
      <x:c r="C446" s="21" t="str">
        <x:v>scenario</x:v>
      </x:c>
      <x:c r="D446" s="21" t="str">
        <x:v>scenario result 160 conservation</x:v>
      </x:c>
      <x:c r="E446" s="21" t="n">
        <x:f>IF(AND(ABS('Scenario Results'!I166-MIN('Scenario Results'!E166,'Scenario Results'!H166))&lt;0.000001,'Scenario Results'!I166&lt;='Scenario Results'!E166),1,0)</x:f>
        <x:v>1</x:v>
      </x:c>
      <x:c r="F446" s="21" t="n">
        <x:v>1</x:v>
      </x:c>
      <x:c r="G446" s="23" t="str">
        <x:f>IF(E446=F446,"PASS","FAIL")</x:f>
        <x:v>PASS</x:v>
      </x:c>
    </x:row>
    <x:row r="447">
      <x:c r="B447" s="21" t="str">
        <x:v>A00441</x:v>
      </x:c>
      <x:c r="C447" s="21" t="str">
        <x:v>scenario</x:v>
      </x:c>
      <x:c r="D447" s="21" t="str">
        <x:v>scenario result 160 state</x:v>
      </x:c>
      <x:c r="E447" s="21" t="n">
        <x:f>IF('Scenario Results'!K166=IF('Scenario Results'!J166&gt;=1,"ADEQUATE","GAP"),1,0)</x:f>
        <x:v>1</x:v>
      </x:c>
      <x:c r="F447" s="21" t="n">
        <x:v>1</x:v>
      </x:c>
      <x:c r="G447" s="23" t="str">
        <x:f>IF(E447=F447,"PASS","FAIL")</x:f>
        <x:v>PASS</x:v>
      </x:c>
    </x:row>
    <x:row r="448">
      <x:c r="B448" s="21" t="str">
        <x:v>A00442</x:v>
      </x:c>
      <x:c r="C448" s="21" t="str">
        <x:v>scenario</x:v>
      </x:c>
      <x:c r="D448" s="21" t="str">
        <x:v>scenario result 161 conservation</x:v>
      </x:c>
      <x:c r="E448" s="21" t="n">
        <x:f>IF(AND(ABS('Scenario Results'!I167-MIN('Scenario Results'!E167,'Scenario Results'!H167))&lt;0.000001,'Scenario Results'!I167&lt;='Scenario Results'!E167),1,0)</x:f>
        <x:v>1</x:v>
      </x:c>
      <x:c r="F448" s="21" t="n">
        <x:v>1</x:v>
      </x:c>
      <x:c r="G448" s="23" t="str">
        <x:f>IF(E448=F448,"PASS","FAIL")</x:f>
        <x:v>PASS</x:v>
      </x:c>
    </x:row>
    <x:row r="449">
      <x:c r="B449" s="21" t="str">
        <x:v>A00443</x:v>
      </x:c>
      <x:c r="C449" s="21" t="str">
        <x:v>scenario</x:v>
      </x:c>
      <x:c r="D449" s="21" t="str">
        <x:v>scenario result 161 state</x:v>
      </x:c>
      <x:c r="E449" s="21" t="n">
        <x:f>IF('Scenario Results'!K167=IF('Scenario Results'!J167&gt;=1,"ADEQUATE","GAP"),1,0)</x:f>
        <x:v>1</x:v>
      </x:c>
      <x:c r="F449" s="21" t="n">
        <x:v>1</x:v>
      </x:c>
      <x:c r="G449" s="23" t="str">
        <x:f>IF(E449=F449,"PASS","FAIL")</x:f>
        <x:v>PASS</x:v>
      </x:c>
    </x:row>
    <x:row r="450">
      <x:c r="B450" s="21" t="str">
        <x:v>A00444</x:v>
      </x:c>
      <x:c r="C450" s="21" t="str">
        <x:v>scenario</x:v>
      </x:c>
      <x:c r="D450" s="21" t="str">
        <x:v>scenario result 162 conservation</x:v>
      </x:c>
      <x:c r="E450" s="21" t="n">
        <x:f>IF(AND(ABS('Scenario Results'!I168-MIN('Scenario Results'!E168,'Scenario Results'!H168))&lt;0.000001,'Scenario Results'!I168&lt;='Scenario Results'!E168),1,0)</x:f>
        <x:v>1</x:v>
      </x:c>
      <x:c r="F450" s="21" t="n">
        <x:v>1</x:v>
      </x:c>
      <x:c r="G450" s="23" t="str">
        <x:f>IF(E450=F450,"PASS","FAIL")</x:f>
        <x:v>PASS</x:v>
      </x:c>
    </x:row>
    <x:row r="451">
      <x:c r="B451" s="21" t="str">
        <x:v>A00445</x:v>
      </x:c>
      <x:c r="C451" s="21" t="str">
        <x:v>scenario</x:v>
      </x:c>
      <x:c r="D451" s="21" t="str">
        <x:v>scenario result 162 state</x:v>
      </x:c>
      <x:c r="E451" s="21" t="n">
        <x:f>IF('Scenario Results'!K168=IF('Scenario Results'!J168&gt;=1,"ADEQUATE","GAP"),1,0)</x:f>
        <x:v>1</x:v>
      </x:c>
      <x:c r="F451" s="21" t="n">
        <x:v>1</x:v>
      </x:c>
      <x:c r="G451" s="23" t="str">
        <x:f>IF(E451=F451,"PASS","FAIL")</x:f>
        <x:v>PASS</x:v>
      </x:c>
    </x:row>
    <x:row r="452">
      <x:c r="B452" s="21" t="str">
        <x:v>A00446</x:v>
      </x:c>
      <x:c r="C452" s="21" t="str">
        <x:v>scenario</x:v>
      </x:c>
      <x:c r="D452" s="21" t="str">
        <x:v>scenario result 163 conservation</x:v>
      </x:c>
      <x:c r="E452" s="21" t="n">
        <x:f>IF(AND(ABS('Scenario Results'!I169-MIN('Scenario Results'!E169,'Scenario Results'!H169))&lt;0.000001,'Scenario Results'!I169&lt;='Scenario Results'!E169),1,0)</x:f>
        <x:v>1</x:v>
      </x:c>
      <x:c r="F452" s="21" t="n">
        <x:v>1</x:v>
      </x:c>
      <x:c r="G452" s="23" t="str">
        <x:f>IF(E452=F452,"PASS","FAIL")</x:f>
        <x:v>PASS</x:v>
      </x:c>
    </x:row>
    <x:row r="453">
      <x:c r="B453" s="21" t="str">
        <x:v>A00447</x:v>
      </x:c>
      <x:c r="C453" s="21" t="str">
        <x:v>scenario</x:v>
      </x:c>
      <x:c r="D453" s="21" t="str">
        <x:v>scenario result 163 state</x:v>
      </x:c>
      <x:c r="E453" s="21" t="n">
        <x:f>IF('Scenario Results'!K169=IF('Scenario Results'!J169&gt;=1,"ADEQUATE","GAP"),1,0)</x:f>
        <x:v>1</x:v>
      </x:c>
      <x:c r="F453" s="21" t="n">
        <x:v>1</x:v>
      </x:c>
      <x:c r="G453" s="23" t="str">
        <x:f>IF(E453=F453,"PASS","FAIL")</x:f>
        <x:v>PASS</x:v>
      </x:c>
    </x:row>
    <x:row r="454">
      <x:c r="B454" s="21" t="str">
        <x:v>A00448</x:v>
      </x:c>
      <x:c r="C454" s="21" t="str">
        <x:v>scenario</x:v>
      </x:c>
      <x:c r="D454" s="21" t="str">
        <x:v>scenario result 164 conservation</x:v>
      </x:c>
      <x:c r="E454" s="21" t="n">
        <x:f>IF(AND(ABS('Scenario Results'!I170-MIN('Scenario Results'!E170,'Scenario Results'!H170))&lt;0.000001,'Scenario Results'!I170&lt;='Scenario Results'!E170),1,0)</x:f>
        <x:v>1</x:v>
      </x:c>
      <x:c r="F454" s="21" t="n">
        <x:v>1</x:v>
      </x:c>
      <x:c r="G454" s="23" t="str">
        <x:f>IF(E454=F454,"PASS","FAIL")</x:f>
        <x:v>PASS</x:v>
      </x:c>
    </x:row>
    <x:row r="455">
      <x:c r="B455" s="21" t="str">
        <x:v>A00449</x:v>
      </x:c>
      <x:c r="C455" s="21" t="str">
        <x:v>scenario</x:v>
      </x:c>
      <x:c r="D455" s="21" t="str">
        <x:v>scenario result 164 state</x:v>
      </x:c>
      <x:c r="E455" s="21" t="n">
        <x:f>IF('Scenario Results'!K170=IF('Scenario Results'!J170&gt;=1,"ADEQUATE","GAP"),1,0)</x:f>
        <x:v>1</x:v>
      </x:c>
      <x:c r="F455" s="21" t="n">
        <x:v>1</x:v>
      </x:c>
      <x:c r="G455" s="23" t="str">
        <x:f>IF(E455=F455,"PASS","FAIL")</x:f>
        <x:v>PASS</x:v>
      </x:c>
    </x:row>
    <x:row r="456">
      <x:c r="B456" s="21" t="str">
        <x:v>A00450</x:v>
      </x:c>
      <x:c r="C456" s="21" t="str">
        <x:v>scenario</x:v>
      </x:c>
      <x:c r="D456" s="21" t="str">
        <x:v>scenario result 165 conservation</x:v>
      </x:c>
      <x:c r="E456" s="21" t="n">
        <x:f>IF(AND(ABS('Scenario Results'!I171-MIN('Scenario Results'!E171,'Scenario Results'!H171))&lt;0.000001,'Scenario Results'!I171&lt;='Scenario Results'!E171),1,0)</x:f>
        <x:v>1</x:v>
      </x:c>
      <x:c r="F456" s="21" t="n">
        <x:v>1</x:v>
      </x:c>
      <x:c r="G456" s="23" t="str">
        <x:f>IF(E456=F456,"PASS","FAIL")</x:f>
        <x:v>PASS</x:v>
      </x:c>
    </x:row>
    <x:row r="457">
      <x:c r="B457" s="21" t="str">
        <x:v>A00451</x:v>
      </x:c>
      <x:c r="C457" s="21" t="str">
        <x:v>scenario</x:v>
      </x:c>
      <x:c r="D457" s="21" t="str">
        <x:v>scenario result 165 state</x:v>
      </x:c>
      <x:c r="E457" s="21" t="n">
        <x:f>IF('Scenario Results'!K171=IF('Scenario Results'!J171&gt;=1,"ADEQUATE","GAP"),1,0)</x:f>
        <x:v>1</x:v>
      </x:c>
      <x:c r="F457" s="21" t="n">
        <x:v>1</x:v>
      </x:c>
      <x:c r="G457" s="23" t="str">
        <x:f>IF(E457=F457,"PASS","FAIL")</x:f>
        <x:v>PASS</x:v>
      </x:c>
    </x:row>
    <x:row r="458">
      <x:c r="B458" s="21" t="str">
        <x:v>A00452</x:v>
      </x:c>
      <x:c r="C458" s="21" t="str">
        <x:v>scenario</x:v>
      </x:c>
      <x:c r="D458" s="21" t="str">
        <x:v>scenario result 166 conservation</x:v>
      </x:c>
      <x:c r="E458" s="21" t="n">
        <x:f>IF(AND(ABS('Scenario Results'!I172-MIN('Scenario Results'!E172,'Scenario Results'!H172))&lt;0.000001,'Scenario Results'!I172&lt;='Scenario Results'!E172),1,0)</x:f>
        <x:v>1</x:v>
      </x:c>
      <x:c r="F458" s="21" t="n">
        <x:v>1</x:v>
      </x:c>
      <x:c r="G458" s="23" t="str">
        <x:f>IF(E458=F458,"PASS","FAIL")</x:f>
        <x:v>PASS</x:v>
      </x:c>
    </x:row>
    <x:row r="459">
      <x:c r="B459" s="21" t="str">
        <x:v>A00453</x:v>
      </x:c>
      <x:c r="C459" s="21" t="str">
        <x:v>scenario</x:v>
      </x:c>
      <x:c r="D459" s="21" t="str">
        <x:v>scenario result 166 state</x:v>
      </x:c>
      <x:c r="E459" s="21" t="n">
        <x:f>IF('Scenario Results'!K172=IF('Scenario Results'!J172&gt;=1,"ADEQUATE","GAP"),1,0)</x:f>
        <x:v>1</x:v>
      </x:c>
      <x:c r="F459" s="21" t="n">
        <x:v>1</x:v>
      </x:c>
      <x:c r="G459" s="23" t="str">
        <x:f>IF(E459=F459,"PASS","FAIL")</x:f>
        <x:v>PASS</x:v>
      </x:c>
    </x:row>
    <x:row r="460">
      <x:c r="B460" s="21" t="str">
        <x:v>A00454</x:v>
      </x:c>
      <x:c r="C460" s="21" t="str">
        <x:v>scenario</x:v>
      </x:c>
      <x:c r="D460" s="21" t="str">
        <x:v>scenario result 167 conservation</x:v>
      </x:c>
      <x:c r="E460" s="21" t="n">
        <x:f>IF(AND(ABS('Scenario Results'!I173-MIN('Scenario Results'!E173,'Scenario Results'!H173))&lt;0.000001,'Scenario Results'!I173&lt;='Scenario Results'!E173),1,0)</x:f>
        <x:v>1</x:v>
      </x:c>
      <x:c r="F460" s="21" t="n">
        <x:v>1</x:v>
      </x:c>
      <x:c r="G460" s="23" t="str">
        <x:f>IF(E460=F460,"PASS","FAIL")</x:f>
        <x:v>PASS</x:v>
      </x:c>
    </x:row>
    <x:row r="461">
      <x:c r="B461" s="21" t="str">
        <x:v>A00455</x:v>
      </x:c>
      <x:c r="C461" s="21" t="str">
        <x:v>scenario</x:v>
      </x:c>
      <x:c r="D461" s="21" t="str">
        <x:v>scenario result 167 state</x:v>
      </x:c>
      <x:c r="E461" s="21" t="n">
        <x:f>IF('Scenario Results'!K173=IF('Scenario Results'!J173&gt;=1,"ADEQUATE","GAP"),1,0)</x:f>
        <x:v>1</x:v>
      </x:c>
      <x:c r="F461" s="21" t="n">
        <x:v>1</x:v>
      </x:c>
      <x:c r="G461" s="23" t="str">
        <x:f>IF(E461=F461,"PASS","FAIL")</x:f>
        <x:v>PASS</x:v>
      </x:c>
    </x:row>
    <x:row r="462">
      <x:c r="B462" s="21" t="str">
        <x:v>A00456</x:v>
      </x:c>
      <x:c r="C462" s="21" t="str">
        <x:v>scenario</x:v>
      </x:c>
      <x:c r="D462" s="21" t="str">
        <x:v>scenario result 168 conservation</x:v>
      </x:c>
      <x:c r="E462" s="21" t="n">
        <x:f>IF(AND(ABS('Scenario Results'!I174-MIN('Scenario Results'!E174,'Scenario Results'!H174))&lt;0.000001,'Scenario Results'!I174&lt;='Scenario Results'!E174),1,0)</x:f>
        <x:v>1</x:v>
      </x:c>
      <x:c r="F462" s="21" t="n">
        <x:v>1</x:v>
      </x:c>
      <x:c r="G462" s="23" t="str">
        <x:f>IF(E462=F462,"PASS","FAIL")</x:f>
        <x:v>PASS</x:v>
      </x:c>
    </x:row>
    <x:row r="463">
      <x:c r="B463" s="21" t="str">
        <x:v>A00457</x:v>
      </x:c>
      <x:c r="C463" s="21" t="str">
        <x:v>scenario</x:v>
      </x:c>
      <x:c r="D463" s="21" t="str">
        <x:v>scenario result 168 state</x:v>
      </x:c>
      <x:c r="E463" s="21" t="n">
        <x:f>IF('Scenario Results'!K174=IF('Scenario Results'!J174&gt;=1,"ADEQUATE","GAP"),1,0)</x:f>
        <x:v>1</x:v>
      </x:c>
      <x:c r="F463" s="21" t="n">
        <x:v>1</x:v>
      </x:c>
      <x:c r="G463" s="23" t="str">
        <x:f>IF(E463=F463,"PASS","FAIL")</x:f>
        <x:v>PASS</x:v>
      </x:c>
    </x:row>
    <x:row r="464">
      <x:c r="B464" s="21" t="str">
        <x:v>A00458</x:v>
      </x:c>
      <x:c r="C464" s="21" t="str">
        <x:v>scenario</x:v>
      </x:c>
      <x:c r="D464" s="21" t="str">
        <x:v>scenario result 169 conservation</x:v>
      </x:c>
      <x:c r="E464" s="21" t="n">
        <x:f>IF(AND(ABS('Scenario Results'!I175-MIN('Scenario Results'!E175,'Scenario Results'!H175))&lt;0.000001,'Scenario Results'!I175&lt;='Scenario Results'!E175),1,0)</x:f>
        <x:v>1</x:v>
      </x:c>
      <x:c r="F464" s="21" t="n">
        <x:v>1</x:v>
      </x:c>
      <x:c r="G464" s="23" t="str">
        <x:f>IF(E464=F464,"PASS","FAIL")</x:f>
        <x:v>PASS</x:v>
      </x:c>
    </x:row>
    <x:row r="465">
      <x:c r="B465" s="21" t="str">
        <x:v>A00459</x:v>
      </x:c>
      <x:c r="C465" s="21" t="str">
        <x:v>scenario</x:v>
      </x:c>
      <x:c r="D465" s="21" t="str">
        <x:v>scenario result 169 state</x:v>
      </x:c>
      <x:c r="E465" s="21" t="n">
        <x:f>IF('Scenario Results'!K175=IF('Scenario Results'!J175&gt;=1,"ADEQUATE","GAP"),1,0)</x:f>
        <x:v>1</x:v>
      </x:c>
      <x:c r="F465" s="21" t="n">
        <x:v>1</x:v>
      </x:c>
      <x:c r="G465" s="23" t="str">
        <x:f>IF(E465=F465,"PASS","FAIL")</x:f>
        <x:v>PASS</x:v>
      </x:c>
    </x:row>
    <x:row r="466">
      <x:c r="B466" s="21" t="str">
        <x:v>A00460</x:v>
      </x:c>
      <x:c r="C466" s="21" t="str">
        <x:v>scenario</x:v>
      </x:c>
      <x:c r="D466" s="21" t="str">
        <x:v>scenario result 170 conservation</x:v>
      </x:c>
      <x:c r="E466" s="21" t="n">
        <x:f>IF(AND(ABS('Scenario Results'!I176-MIN('Scenario Results'!E176,'Scenario Results'!H176))&lt;0.000001,'Scenario Results'!I176&lt;='Scenario Results'!E176),1,0)</x:f>
        <x:v>1</x:v>
      </x:c>
      <x:c r="F466" s="21" t="n">
        <x:v>1</x:v>
      </x:c>
      <x:c r="G466" s="23" t="str">
        <x:f>IF(E466=F466,"PASS","FAIL")</x:f>
        <x:v>PASS</x:v>
      </x:c>
    </x:row>
    <x:row r="467">
      <x:c r="B467" s="21" t="str">
        <x:v>A00461</x:v>
      </x:c>
      <x:c r="C467" s="21" t="str">
        <x:v>scenario</x:v>
      </x:c>
      <x:c r="D467" s="21" t="str">
        <x:v>scenario result 170 state</x:v>
      </x:c>
      <x:c r="E467" s="21" t="n">
        <x:f>IF('Scenario Results'!K176=IF('Scenario Results'!J176&gt;=1,"ADEQUATE","GAP"),1,0)</x:f>
        <x:v>1</x:v>
      </x:c>
      <x:c r="F467" s="21" t="n">
        <x:v>1</x:v>
      </x:c>
      <x:c r="G467" s="23" t="str">
        <x:f>IF(E467=F467,"PASS","FAIL")</x:f>
        <x:v>PASS</x:v>
      </x:c>
    </x:row>
    <x:row r="468">
      <x:c r="B468" s="21" t="str">
        <x:v>A00462</x:v>
      </x:c>
      <x:c r="C468" s="21" t="str">
        <x:v>scenario</x:v>
      </x:c>
      <x:c r="D468" s="21" t="str">
        <x:v>scenario result 171 conservation</x:v>
      </x:c>
      <x:c r="E468" s="21" t="n">
        <x:f>IF(AND(ABS('Scenario Results'!I177-MIN('Scenario Results'!E177,'Scenario Results'!H177))&lt;0.000001,'Scenario Results'!I177&lt;='Scenario Results'!E177),1,0)</x:f>
        <x:v>1</x:v>
      </x:c>
      <x:c r="F468" s="21" t="n">
        <x:v>1</x:v>
      </x:c>
      <x:c r="G468" s="23" t="str">
        <x:f>IF(E468=F468,"PASS","FAIL")</x:f>
        <x:v>PASS</x:v>
      </x:c>
    </x:row>
    <x:row r="469">
      <x:c r="B469" s="21" t="str">
        <x:v>A00463</x:v>
      </x:c>
      <x:c r="C469" s="21" t="str">
        <x:v>scenario</x:v>
      </x:c>
      <x:c r="D469" s="21" t="str">
        <x:v>scenario result 171 state</x:v>
      </x:c>
      <x:c r="E469" s="21" t="n">
        <x:f>IF('Scenario Results'!K177=IF('Scenario Results'!J177&gt;=1,"ADEQUATE","GAP"),1,0)</x:f>
        <x:v>1</x:v>
      </x:c>
      <x:c r="F469" s="21" t="n">
        <x:v>1</x:v>
      </x:c>
      <x:c r="G469" s="23" t="str">
        <x:f>IF(E469=F469,"PASS","FAIL")</x:f>
        <x:v>PASS</x:v>
      </x:c>
    </x:row>
    <x:row r="470">
      <x:c r="B470" s="21" t="str">
        <x:v>A00464</x:v>
      </x:c>
      <x:c r="C470" s="21" t="str">
        <x:v>scenario</x:v>
      </x:c>
      <x:c r="D470" s="21" t="str">
        <x:v>scenario result 172 conservation</x:v>
      </x:c>
      <x:c r="E470" s="21" t="n">
        <x:f>IF(AND(ABS('Scenario Results'!I178-MIN('Scenario Results'!E178,'Scenario Results'!H178))&lt;0.000001,'Scenario Results'!I178&lt;='Scenario Results'!E178),1,0)</x:f>
        <x:v>1</x:v>
      </x:c>
      <x:c r="F470" s="21" t="n">
        <x:v>1</x:v>
      </x:c>
      <x:c r="G470" s="23" t="str">
        <x:f>IF(E470=F470,"PASS","FAIL")</x:f>
        <x:v>PASS</x:v>
      </x:c>
    </x:row>
    <x:row r="471">
      <x:c r="B471" s="21" t="str">
        <x:v>A00465</x:v>
      </x:c>
      <x:c r="C471" s="21" t="str">
        <x:v>scenario</x:v>
      </x:c>
      <x:c r="D471" s="21" t="str">
        <x:v>scenario result 172 state</x:v>
      </x:c>
      <x:c r="E471" s="21" t="n">
        <x:f>IF('Scenario Results'!K178=IF('Scenario Results'!J178&gt;=1,"ADEQUATE","GAP"),1,0)</x:f>
        <x:v>1</x:v>
      </x:c>
      <x:c r="F471" s="21" t="n">
        <x:v>1</x:v>
      </x:c>
      <x:c r="G471" s="23" t="str">
        <x:f>IF(E471=F471,"PASS","FAIL")</x:f>
        <x:v>PASS</x:v>
      </x:c>
    </x:row>
    <x:row r="472">
      <x:c r="B472" s="21" t="str">
        <x:v>A00466</x:v>
      </x:c>
      <x:c r="C472" s="21" t="str">
        <x:v>scenario</x:v>
      </x:c>
      <x:c r="D472" s="21" t="str">
        <x:v>scenario result 173 conservation</x:v>
      </x:c>
      <x:c r="E472" s="21" t="n">
        <x:f>IF(AND(ABS('Scenario Results'!I179-MIN('Scenario Results'!E179,'Scenario Results'!H179))&lt;0.000001,'Scenario Results'!I179&lt;='Scenario Results'!E179),1,0)</x:f>
        <x:v>1</x:v>
      </x:c>
      <x:c r="F472" s="21" t="n">
        <x:v>1</x:v>
      </x:c>
      <x:c r="G472" s="23" t="str">
        <x:f>IF(E472=F472,"PASS","FAIL")</x:f>
        <x:v>PASS</x:v>
      </x:c>
    </x:row>
    <x:row r="473">
      <x:c r="B473" s="21" t="str">
        <x:v>A00467</x:v>
      </x:c>
      <x:c r="C473" s="21" t="str">
        <x:v>scenario</x:v>
      </x:c>
      <x:c r="D473" s="21" t="str">
        <x:v>scenario result 173 state</x:v>
      </x:c>
      <x:c r="E473" s="21" t="n">
        <x:f>IF('Scenario Results'!K179=IF('Scenario Results'!J179&gt;=1,"ADEQUATE","GAP"),1,0)</x:f>
        <x:v>1</x:v>
      </x:c>
      <x:c r="F473" s="21" t="n">
        <x:v>1</x:v>
      </x:c>
      <x:c r="G473" s="23" t="str">
        <x:f>IF(E473=F473,"PASS","FAIL")</x:f>
        <x:v>PASS</x:v>
      </x:c>
    </x:row>
    <x:row r="474">
      <x:c r="B474" s="21" t="str">
        <x:v>A00468</x:v>
      </x:c>
      <x:c r="C474" s="21" t="str">
        <x:v>scenario</x:v>
      </x:c>
      <x:c r="D474" s="21" t="str">
        <x:v>scenario result 174 conservation</x:v>
      </x:c>
      <x:c r="E474" s="21" t="n">
        <x:f>IF(AND(ABS('Scenario Results'!I180-MIN('Scenario Results'!E180,'Scenario Results'!H180))&lt;0.000001,'Scenario Results'!I180&lt;='Scenario Results'!E180),1,0)</x:f>
        <x:v>1</x:v>
      </x:c>
      <x:c r="F474" s="21" t="n">
        <x:v>1</x:v>
      </x:c>
      <x:c r="G474" s="23" t="str">
        <x:f>IF(E474=F474,"PASS","FAIL")</x:f>
        <x:v>PASS</x:v>
      </x:c>
    </x:row>
    <x:row r="475">
      <x:c r="B475" s="21" t="str">
        <x:v>A00469</x:v>
      </x:c>
      <x:c r="C475" s="21" t="str">
        <x:v>scenario</x:v>
      </x:c>
      <x:c r="D475" s="21" t="str">
        <x:v>scenario result 174 state</x:v>
      </x:c>
      <x:c r="E475" s="21" t="n">
        <x:f>IF('Scenario Results'!K180=IF('Scenario Results'!J180&gt;=1,"ADEQUATE","GAP"),1,0)</x:f>
        <x:v>1</x:v>
      </x:c>
      <x:c r="F475" s="21" t="n">
        <x:v>1</x:v>
      </x:c>
      <x:c r="G475" s="23" t="str">
        <x:f>IF(E475=F475,"PASS","FAIL")</x:f>
        <x:v>PASS</x:v>
      </x:c>
    </x:row>
    <x:row r="476">
      <x:c r="B476" s="21" t="str">
        <x:v>A00470</x:v>
      </x:c>
      <x:c r="C476" s="21" t="str">
        <x:v>scenario</x:v>
      </x:c>
      <x:c r="D476" s="21" t="str">
        <x:v>scenario result 175 conservation</x:v>
      </x:c>
      <x:c r="E476" s="21" t="n">
        <x:f>IF(AND(ABS('Scenario Results'!I181-MIN('Scenario Results'!E181,'Scenario Results'!H181))&lt;0.000001,'Scenario Results'!I181&lt;='Scenario Results'!E181),1,0)</x:f>
        <x:v>1</x:v>
      </x:c>
      <x:c r="F476" s="21" t="n">
        <x:v>1</x:v>
      </x:c>
      <x:c r="G476" s="23" t="str">
        <x:f>IF(E476=F476,"PASS","FAIL")</x:f>
        <x:v>PASS</x:v>
      </x:c>
    </x:row>
    <x:row r="477">
      <x:c r="B477" s="21" t="str">
        <x:v>A00471</x:v>
      </x:c>
      <x:c r="C477" s="21" t="str">
        <x:v>scenario</x:v>
      </x:c>
      <x:c r="D477" s="21" t="str">
        <x:v>scenario result 175 state</x:v>
      </x:c>
      <x:c r="E477" s="21" t="n">
        <x:f>IF('Scenario Results'!K181=IF('Scenario Results'!J181&gt;=1,"ADEQUATE","GAP"),1,0)</x:f>
        <x:v>1</x:v>
      </x:c>
      <x:c r="F477" s="21" t="n">
        <x:v>1</x:v>
      </x:c>
      <x:c r="G477" s="23" t="str">
        <x:f>IF(E477=F477,"PASS","FAIL")</x:f>
        <x:v>PASS</x:v>
      </x:c>
    </x:row>
    <x:row r="478">
      <x:c r="B478" s="21" t="str">
        <x:v>A00472</x:v>
      </x:c>
      <x:c r="C478" s="21" t="str">
        <x:v>scenario</x:v>
      </x:c>
      <x:c r="D478" s="21" t="str">
        <x:v>scenario result 176 conservation</x:v>
      </x:c>
      <x:c r="E478" s="21" t="n">
        <x:f>IF(AND(ABS('Scenario Results'!I182-MIN('Scenario Results'!E182,'Scenario Results'!H182))&lt;0.000001,'Scenario Results'!I182&lt;='Scenario Results'!E182),1,0)</x:f>
        <x:v>1</x:v>
      </x:c>
      <x:c r="F478" s="21" t="n">
        <x:v>1</x:v>
      </x:c>
      <x:c r="G478" s="23" t="str">
        <x:f>IF(E478=F478,"PASS","FAIL")</x:f>
        <x:v>PASS</x:v>
      </x:c>
    </x:row>
    <x:row r="479">
      <x:c r="B479" s="21" t="str">
        <x:v>A00473</x:v>
      </x:c>
      <x:c r="C479" s="21" t="str">
        <x:v>scenario</x:v>
      </x:c>
      <x:c r="D479" s="21" t="str">
        <x:v>scenario result 176 state</x:v>
      </x:c>
      <x:c r="E479" s="21" t="n">
        <x:f>IF('Scenario Results'!K182=IF('Scenario Results'!J182&gt;=1,"ADEQUATE","GAP"),1,0)</x:f>
        <x:v>1</x:v>
      </x:c>
      <x:c r="F479" s="21" t="n">
        <x:v>1</x:v>
      </x:c>
      <x:c r="G479" s="23" t="str">
        <x:f>IF(E479=F479,"PASS","FAIL")</x:f>
        <x:v>PASS</x:v>
      </x:c>
    </x:row>
    <x:row r="480">
      <x:c r="B480" s="21" t="str">
        <x:v>A00474</x:v>
      </x:c>
      <x:c r="C480" s="21" t="str">
        <x:v>scenario</x:v>
      </x:c>
      <x:c r="D480" s="21" t="str">
        <x:v>scenario result 177 conservation</x:v>
      </x:c>
      <x:c r="E480" s="21" t="n">
        <x:f>IF(AND(ABS('Scenario Results'!I183-MIN('Scenario Results'!E183,'Scenario Results'!H183))&lt;0.000001,'Scenario Results'!I183&lt;='Scenario Results'!E183),1,0)</x:f>
        <x:v>1</x:v>
      </x:c>
      <x:c r="F480" s="21" t="n">
        <x:v>1</x:v>
      </x:c>
      <x:c r="G480" s="23" t="str">
        <x:f>IF(E480=F480,"PASS","FAIL")</x:f>
        <x:v>PASS</x:v>
      </x:c>
    </x:row>
    <x:row r="481">
      <x:c r="B481" s="21" t="str">
        <x:v>A00475</x:v>
      </x:c>
      <x:c r="C481" s="21" t="str">
        <x:v>scenario</x:v>
      </x:c>
      <x:c r="D481" s="21" t="str">
        <x:v>scenario result 177 state</x:v>
      </x:c>
      <x:c r="E481" s="21" t="n">
        <x:f>IF('Scenario Results'!K183=IF('Scenario Results'!J183&gt;=1,"ADEQUATE","GAP"),1,0)</x:f>
        <x:v>1</x:v>
      </x:c>
      <x:c r="F481" s="21" t="n">
        <x:v>1</x:v>
      </x:c>
      <x:c r="G481" s="23" t="str">
        <x:f>IF(E481=F481,"PASS","FAIL")</x:f>
        <x:v>PASS</x:v>
      </x:c>
    </x:row>
    <x:row r="482">
      <x:c r="B482" s="21" t="str">
        <x:v>A00476</x:v>
      </x:c>
      <x:c r="C482" s="21" t="str">
        <x:v>scenario</x:v>
      </x:c>
      <x:c r="D482" s="21" t="str">
        <x:v>scenario result 178 conservation</x:v>
      </x:c>
      <x:c r="E482" s="21" t="n">
        <x:f>IF(AND(ABS('Scenario Results'!I184-MIN('Scenario Results'!E184,'Scenario Results'!H184))&lt;0.000001,'Scenario Results'!I184&lt;='Scenario Results'!E184),1,0)</x:f>
        <x:v>1</x:v>
      </x:c>
      <x:c r="F482" s="21" t="n">
        <x:v>1</x:v>
      </x:c>
      <x:c r="G482" s="23" t="str">
        <x:f>IF(E482=F482,"PASS","FAIL")</x:f>
        <x:v>PASS</x:v>
      </x:c>
    </x:row>
    <x:row r="483">
      <x:c r="B483" s="21" t="str">
        <x:v>A00477</x:v>
      </x:c>
      <x:c r="C483" s="21" t="str">
        <x:v>scenario</x:v>
      </x:c>
      <x:c r="D483" s="21" t="str">
        <x:v>scenario result 178 state</x:v>
      </x:c>
      <x:c r="E483" s="21" t="n">
        <x:f>IF('Scenario Results'!K184=IF('Scenario Results'!J184&gt;=1,"ADEQUATE","GAP"),1,0)</x:f>
        <x:v>1</x:v>
      </x:c>
      <x:c r="F483" s="21" t="n">
        <x:v>1</x:v>
      </x:c>
      <x:c r="G483" s="23" t="str">
        <x:f>IF(E483=F483,"PASS","FAIL")</x:f>
        <x:v>PASS</x:v>
      </x:c>
    </x:row>
    <x:row r="484">
      <x:c r="B484" s="21" t="str">
        <x:v>A00478</x:v>
      </x:c>
      <x:c r="C484" s="21" t="str">
        <x:v>scenario</x:v>
      </x:c>
      <x:c r="D484" s="21" t="str">
        <x:v>scenario result 179 conservation</x:v>
      </x:c>
      <x:c r="E484" s="21" t="n">
        <x:f>IF(AND(ABS('Scenario Results'!I185-MIN('Scenario Results'!E185,'Scenario Results'!H185))&lt;0.000001,'Scenario Results'!I185&lt;='Scenario Results'!E185),1,0)</x:f>
        <x:v>1</x:v>
      </x:c>
      <x:c r="F484" s="21" t="n">
        <x:v>1</x:v>
      </x:c>
      <x:c r="G484" s="23" t="str">
        <x:f>IF(E484=F484,"PASS","FAIL")</x:f>
        <x:v>PASS</x:v>
      </x:c>
    </x:row>
    <x:row r="485">
      <x:c r="B485" s="21" t="str">
        <x:v>A00479</x:v>
      </x:c>
      <x:c r="C485" s="21" t="str">
        <x:v>scenario</x:v>
      </x:c>
      <x:c r="D485" s="21" t="str">
        <x:v>scenario result 179 state</x:v>
      </x:c>
      <x:c r="E485" s="21" t="n">
        <x:f>IF('Scenario Results'!K185=IF('Scenario Results'!J185&gt;=1,"ADEQUATE","GAP"),1,0)</x:f>
        <x:v>1</x:v>
      </x:c>
      <x:c r="F485" s="21" t="n">
        <x:v>1</x:v>
      </x:c>
      <x:c r="G485" s="23" t="str">
        <x:f>IF(E485=F485,"PASS","FAIL")</x:f>
        <x:v>PASS</x:v>
      </x:c>
    </x:row>
    <x:row r="486">
      <x:c r="B486" s="21" t="str">
        <x:v>A00480</x:v>
      </x:c>
      <x:c r="C486" s="21" t="str">
        <x:v>scenario</x:v>
      </x:c>
      <x:c r="D486" s="21" t="str">
        <x:v>scenario result 180 conservation</x:v>
      </x:c>
      <x:c r="E486" s="21" t="n">
        <x:f>IF(AND(ABS('Scenario Results'!I186-MIN('Scenario Results'!E186,'Scenario Results'!H186))&lt;0.000001,'Scenario Results'!I186&lt;='Scenario Results'!E186),1,0)</x:f>
        <x:v>1</x:v>
      </x:c>
      <x:c r="F486" s="21" t="n">
        <x:v>1</x:v>
      </x:c>
      <x:c r="G486" s="23" t="str">
        <x:f>IF(E486=F486,"PASS","FAIL")</x:f>
        <x:v>PASS</x:v>
      </x:c>
    </x:row>
    <x:row r="487">
      <x:c r="B487" s="21" t="str">
        <x:v>A00481</x:v>
      </x:c>
      <x:c r="C487" s="21" t="str">
        <x:v>scenario</x:v>
      </x:c>
      <x:c r="D487" s="21" t="str">
        <x:v>scenario result 180 state</x:v>
      </x:c>
      <x:c r="E487" s="21" t="n">
        <x:f>IF('Scenario Results'!K186=IF('Scenario Results'!J186&gt;=1,"ADEQUATE","GAP"),1,0)</x:f>
        <x:v>1</x:v>
      </x:c>
      <x:c r="F487" s="21" t="n">
        <x:v>1</x:v>
      </x:c>
      <x:c r="G487" s="23" t="str">
        <x:f>IF(E487=F487,"PASS","FAIL")</x:f>
        <x:v>PASS</x:v>
      </x:c>
    </x:row>
    <x:row r="488">
      <x:c r="B488" s="21" t="str">
        <x:v>A00482</x:v>
      </x:c>
      <x:c r="C488" s="21" t="str">
        <x:v>scenario</x:v>
      </x:c>
      <x:c r="D488" s="21" t="str">
        <x:v>scenario result 181 conservation</x:v>
      </x:c>
      <x:c r="E488" s="21" t="n">
        <x:f>IF(AND(ABS('Scenario Results'!I187-MIN('Scenario Results'!E187,'Scenario Results'!H187))&lt;0.000001,'Scenario Results'!I187&lt;='Scenario Results'!E187),1,0)</x:f>
        <x:v>1</x:v>
      </x:c>
      <x:c r="F488" s="21" t="n">
        <x:v>1</x:v>
      </x:c>
      <x:c r="G488" s="23" t="str">
        <x:f>IF(E488=F488,"PASS","FAIL")</x:f>
        <x:v>PASS</x:v>
      </x:c>
    </x:row>
    <x:row r="489">
      <x:c r="B489" s="21" t="str">
        <x:v>A00483</x:v>
      </x:c>
      <x:c r="C489" s="21" t="str">
        <x:v>scenario</x:v>
      </x:c>
      <x:c r="D489" s="21" t="str">
        <x:v>scenario result 181 state</x:v>
      </x:c>
      <x:c r="E489" s="21" t="n">
        <x:f>IF('Scenario Results'!K187=IF('Scenario Results'!J187&gt;=1,"ADEQUATE","GAP"),1,0)</x:f>
        <x:v>1</x:v>
      </x:c>
      <x:c r="F489" s="21" t="n">
        <x:v>1</x:v>
      </x:c>
      <x:c r="G489" s="23" t="str">
        <x:f>IF(E489=F489,"PASS","FAIL")</x:f>
        <x:v>PASS</x:v>
      </x:c>
    </x:row>
    <x:row r="490">
      <x:c r="B490" s="21" t="str">
        <x:v>A00484</x:v>
      </x:c>
      <x:c r="C490" s="21" t="str">
        <x:v>scenario</x:v>
      </x:c>
      <x:c r="D490" s="21" t="str">
        <x:v>scenario result 182 conservation</x:v>
      </x:c>
      <x:c r="E490" s="21" t="n">
        <x:f>IF(AND(ABS('Scenario Results'!I188-MIN('Scenario Results'!E188,'Scenario Results'!H188))&lt;0.000001,'Scenario Results'!I188&lt;='Scenario Results'!E188),1,0)</x:f>
        <x:v>1</x:v>
      </x:c>
      <x:c r="F490" s="21" t="n">
        <x:v>1</x:v>
      </x:c>
      <x:c r="G490" s="23" t="str">
        <x:f>IF(E490=F490,"PASS","FAIL")</x:f>
        <x:v>PASS</x:v>
      </x:c>
    </x:row>
    <x:row r="491">
      <x:c r="B491" s="21" t="str">
        <x:v>A00485</x:v>
      </x:c>
      <x:c r="C491" s="21" t="str">
        <x:v>scenario</x:v>
      </x:c>
      <x:c r="D491" s="21" t="str">
        <x:v>scenario result 182 state</x:v>
      </x:c>
      <x:c r="E491" s="21" t="n">
        <x:f>IF('Scenario Results'!K188=IF('Scenario Results'!J188&gt;=1,"ADEQUATE","GAP"),1,0)</x:f>
        <x:v>1</x:v>
      </x:c>
      <x:c r="F491" s="21" t="n">
        <x:v>1</x:v>
      </x:c>
      <x:c r="G491" s="23" t="str">
        <x:f>IF(E491=F491,"PASS","FAIL")</x:f>
        <x:v>PASS</x:v>
      </x:c>
    </x:row>
    <x:row r="492">
      <x:c r="B492" s="21" t="str">
        <x:v>A00486</x:v>
      </x:c>
      <x:c r="C492" s="21" t="str">
        <x:v>scenario</x:v>
      </x:c>
      <x:c r="D492" s="21" t="str">
        <x:v>scenario result 183 conservation</x:v>
      </x:c>
      <x:c r="E492" s="21" t="n">
        <x:f>IF(AND(ABS('Scenario Results'!I189-MIN('Scenario Results'!E189,'Scenario Results'!H189))&lt;0.000001,'Scenario Results'!I189&lt;='Scenario Results'!E189),1,0)</x:f>
        <x:v>1</x:v>
      </x:c>
      <x:c r="F492" s="21" t="n">
        <x:v>1</x:v>
      </x:c>
      <x:c r="G492" s="23" t="str">
        <x:f>IF(E492=F492,"PASS","FAIL")</x:f>
        <x:v>PASS</x:v>
      </x:c>
    </x:row>
    <x:row r="493">
      <x:c r="B493" s="21" t="str">
        <x:v>A00487</x:v>
      </x:c>
      <x:c r="C493" s="21" t="str">
        <x:v>scenario</x:v>
      </x:c>
      <x:c r="D493" s="21" t="str">
        <x:v>scenario result 183 state</x:v>
      </x:c>
      <x:c r="E493" s="21" t="n">
        <x:f>IF('Scenario Results'!K189=IF('Scenario Results'!J189&gt;=1,"ADEQUATE","GAP"),1,0)</x:f>
        <x:v>1</x:v>
      </x:c>
      <x:c r="F493" s="21" t="n">
        <x:v>1</x:v>
      </x:c>
      <x:c r="G493" s="23" t="str">
        <x:f>IF(E493=F493,"PASS","FAIL")</x:f>
        <x:v>PASS</x:v>
      </x:c>
    </x:row>
    <x:row r="494">
      <x:c r="B494" s="21" t="str">
        <x:v>A00488</x:v>
      </x:c>
      <x:c r="C494" s="21" t="str">
        <x:v>scenario</x:v>
      </x:c>
      <x:c r="D494" s="21" t="str">
        <x:v>scenario result 184 conservation</x:v>
      </x:c>
      <x:c r="E494" s="21" t="n">
        <x:f>IF(AND(ABS('Scenario Results'!I190-MIN('Scenario Results'!E190,'Scenario Results'!H190))&lt;0.000001,'Scenario Results'!I190&lt;='Scenario Results'!E190),1,0)</x:f>
        <x:v>1</x:v>
      </x:c>
      <x:c r="F494" s="21" t="n">
        <x:v>1</x:v>
      </x:c>
      <x:c r="G494" s="23" t="str">
        <x:f>IF(E494=F494,"PASS","FAIL")</x:f>
        <x:v>PASS</x:v>
      </x:c>
    </x:row>
    <x:row r="495">
      <x:c r="B495" s="21" t="str">
        <x:v>A00489</x:v>
      </x:c>
      <x:c r="C495" s="21" t="str">
        <x:v>scenario</x:v>
      </x:c>
      <x:c r="D495" s="21" t="str">
        <x:v>scenario result 184 state</x:v>
      </x:c>
      <x:c r="E495" s="21" t="n">
        <x:f>IF('Scenario Results'!K190=IF('Scenario Results'!J190&gt;=1,"ADEQUATE","GAP"),1,0)</x:f>
        <x:v>1</x:v>
      </x:c>
      <x:c r="F495" s="21" t="n">
        <x:v>1</x:v>
      </x:c>
      <x:c r="G495" s="23" t="str">
        <x:f>IF(E495=F495,"PASS","FAIL")</x:f>
        <x:v>PASS</x:v>
      </x:c>
    </x:row>
    <x:row r="496">
      <x:c r="B496" s="21" t="str">
        <x:v>A00490</x:v>
      </x:c>
      <x:c r="C496" s="21" t="str">
        <x:v>scenario</x:v>
      </x:c>
      <x:c r="D496" s="21" t="str">
        <x:v>scenario result 185 conservation</x:v>
      </x:c>
      <x:c r="E496" s="21" t="n">
        <x:f>IF(AND(ABS('Scenario Results'!I191-MIN('Scenario Results'!E191,'Scenario Results'!H191))&lt;0.000001,'Scenario Results'!I191&lt;='Scenario Results'!E191),1,0)</x:f>
        <x:v>1</x:v>
      </x:c>
      <x:c r="F496" s="21" t="n">
        <x:v>1</x:v>
      </x:c>
      <x:c r="G496" s="23" t="str">
        <x:f>IF(E496=F496,"PASS","FAIL")</x:f>
        <x:v>PASS</x:v>
      </x:c>
    </x:row>
    <x:row r="497">
      <x:c r="B497" s="21" t="str">
        <x:v>A00491</x:v>
      </x:c>
      <x:c r="C497" s="21" t="str">
        <x:v>scenario</x:v>
      </x:c>
      <x:c r="D497" s="21" t="str">
        <x:v>scenario result 185 state</x:v>
      </x:c>
      <x:c r="E497" s="21" t="n">
        <x:f>IF('Scenario Results'!K191=IF('Scenario Results'!J191&gt;=1,"ADEQUATE","GAP"),1,0)</x:f>
        <x:v>1</x:v>
      </x:c>
      <x:c r="F497" s="21" t="n">
        <x:v>1</x:v>
      </x:c>
      <x:c r="G497" s="23" t="str">
        <x:f>IF(E497=F497,"PASS","FAIL")</x:f>
        <x:v>PASS</x:v>
      </x:c>
    </x:row>
    <x:row r="498">
      <x:c r="B498" s="21" t="str">
        <x:v>A00492</x:v>
      </x:c>
      <x:c r="C498" s="21" t="str">
        <x:v>scenario</x:v>
      </x:c>
      <x:c r="D498" s="21" t="str">
        <x:v>scenario result 186 conservation</x:v>
      </x:c>
      <x:c r="E498" s="21" t="n">
        <x:f>IF(AND(ABS('Scenario Results'!I192-MIN('Scenario Results'!E192,'Scenario Results'!H192))&lt;0.000001,'Scenario Results'!I192&lt;='Scenario Results'!E192),1,0)</x:f>
        <x:v>1</x:v>
      </x:c>
      <x:c r="F498" s="21" t="n">
        <x:v>1</x:v>
      </x:c>
      <x:c r="G498" s="23" t="str">
        <x:f>IF(E498=F498,"PASS","FAIL")</x:f>
        <x:v>PASS</x:v>
      </x:c>
    </x:row>
    <x:row r="499">
      <x:c r="B499" s="21" t="str">
        <x:v>A00493</x:v>
      </x:c>
      <x:c r="C499" s="21" t="str">
        <x:v>scenario</x:v>
      </x:c>
      <x:c r="D499" s="21" t="str">
        <x:v>scenario result 186 state</x:v>
      </x:c>
      <x:c r="E499" s="21" t="n">
        <x:f>IF('Scenario Results'!K192=IF('Scenario Results'!J192&gt;=1,"ADEQUATE","GAP"),1,0)</x:f>
        <x:v>1</x:v>
      </x:c>
      <x:c r="F499" s="21" t="n">
        <x:v>1</x:v>
      </x:c>
      <x:c r="G499" s="23" t="str">
        <x:f>IF(E499=F499,"PASS","FAIL")</x:f>
        <x:v>PASS</x:v>
      </x:c>
    </x:row>
    <x:row r="500">
      <x:c r="B500" s="21" t="str">
        <x:v>A00494</x:v>
      </x:c>
      <x:c r="C500" s="21" t="str">
        <x:v>scenario</x:v>
      </x:c>
      <x:c r="D500" s="21" t="str">
        <x:v>scenario result 187 conservation</x:v>
      </x:c>
      <x:c r="E500" s="21" t="n">
        <x:f>IF(AND(ABS('Scenario Results'!I193-MIN('Scenario Results'!E193,'Scenario Results'!H193))&lt;0.000001,'Scenario Results'!I193&lt;='Scenario Results'!E193),1,0)</x:f>
        <x:v>1</x:v>
      </x:c>
      <x:c r="F500" s="21" t="n">
        <x:v>1</x:v>
      </x:c>
      <x:c r="G500" s="23" t="str">
        <x:f>IF(E500=F500,"PASS","FAIL")</x:f>
        <x:v>PASS</x:v>
      </x:c>
    </x:row>
    <x:row r="501">
      <x:c r="B501" s="21" t="str">
        <x:v>A00495</x:v>
      </x:c>
      <x:c r="C501" s="21" t="str">
        <x:v>scenario</x:v>
      </x:c>
      <x:c r="D501" s="21" t="str">
        <x:v>scenario result 187 state</x:v>
      </x:c>
      <x:c r="E501" s="21" t="n">
        <x:f>IF('Scenario Results'!K193=IF('Scenario Results'!J193&gt;=1,"ADEQUATE","GAP"),1,0)</x:f>
        <x:v>1</x:v>
      </x:c>
      <x:c r="F501" s="21" t="n">
        <x:v>1</x:v>
      </x:c>
      <x:c r="G501" s="23" t="str">
        <x:f>IF(E501=F501,"PASS","FAIL")</x:f>
        <x:v>PASS</x:v>
      </x:c>
    </x:row>
    <x:row r="502">
      <x:c r="B502" s="21" t="str">
        <x:v>A00496</x:v>
      </x:c>
      <x:c r="C502" s="21" t="str">
        <x:v>scenario</x:v>
      </x:c>
      <x:c r="D502" s="21" t="str">
        <x:v>scenario result 188 conservation</x:v>
      </x:c>
      <x:c r="E502" s="21" t="n">
        <x:f>IF(AND(ABS('Scenario Results'!I194-MIN('Scenario Results'!E194,'Scenario Results'!H194))&lt;0.000001,'Scenario Results'!I194&lt;='Scenario Results'!E194),1,0)</x:f>
        <x:v>1</x:v>
      </x:c>
      <x:c r="F502" s="21" t="n">
        <x:v>1</x:v>
      </x:c>
      <x:c r="G502" s="23" t="str">
        <x:f>IF(E502=F502,"PASS","FAIL")</x:f>
        <x:v>PASS</x:v>
      </x:c>
    </x:row>
    <x:row r="503">
      <x:c r="B503" s="21" t="str">
        <x:v>A00497</x:v>
      </x:c>
      <x:c r="C503" s="21" t="str">
        <x:v>scenario</x:v>
      </x:c>
      <x:c r="D503" s="21" t="str">
        <x:v>scenario result 188 state</x:v>
      </x:c>
      <x:c r="E503" s="21" t="n">
        <x:f>IF('Scenario Results'!K194=IF('Scenario Results'!J194&gt;=1,"ADEQUATE","GAP"),1,0)</x:f>
        <x:v>1</x:v>
      </x:c>
      <x:c r="F503" s="21" t="n">
        <x:v>1</x:v>
      </x:c>
      <x:c r="G503" s="23" t="str">
        <x:f>IF(E503=F503,"PASS","FAIL")</x:f>
        <x:v>PASS</x:v>
      </x:c>
    </x:row>
    <x:row r="504">
      <x:c r="B504" s="21" t="str">
        <x:v>A00498</x:v>
      </x:c>
      <x:c r="C504" s="21" t="str">
        <x:v>scenario</x:v>
      </x:c>
      <x:c r="D504" s="21" t="str">
        <x:v>scenario result 189 conservation</x:v>
      </x:c>
      <x:c r="E504" s="21" t="n">
        <x:f>IF(AND(ABS('Scenario Results'!I195-MIN('Scenario Results'!E195,'Scenario Results'!H195))&lt;0.000001,'Scenario Results'!I195&lt;='Scenario Results'!E195),1,0)</x:f>
        <x:v>1</x:v>
      </x:c>
      <x:c r="F504" s="21" t="n">
        <x:v>1</x:v>
      </x:c>
      <x:c r="G504" s="23" t="str">
        <x:f>IF(E504=F504,"PASS","FAIL")</x:f>
        <x:v>PASS</x:v>
      </x:c>
    </x:row>
    <x:row r="505">
      <x:c r="B505" s="21" t="str">
        <x:v>A00499</x:v>
      </x:c>
      <x:c r="C505" s="21" t="str">
        <x:v>scenario</x:v>
      </x:c>
      <x:c r="D505" s="21" t="str">
        <x:v>scenario result 189 state</x:v>
      </x:c>
      <x:c r="E505" s="21" t="n">
        <x:f>IF('Scenario Results'!K195=IF('Scenario Results'!J195&gt;=1,"ADEQUATE","GAP"),1,0)</x:f>
        <x:v>1</x:v>
      </x:c>
      <x:c r="F505" s="21" t="n">
        <x:v>1</x:v>
      </x:c>
      <x:c r="G505" s="23" t="str">
        <x:f>IF(E505=F505,"PASS","FAIL")</x:f>
        <x:v>PASS</x:v>
      </x:c>
    </x:row>
    <x:row r="506">
      <x:c r="B506" s="21" t="str">
        <x:v>A00500</x:v>
      </x:c>
      <x:c r="C506" s="21" t="str">
        <x:v>scenario</x:v>
      </x:c>
      <x:c r="D506" s="21" t="str">
        <x:v>scenario result 190 conservation</x:v>
      </x:c>
      <x:c r="E506" s="21" t="n">
        <x:f>IF(AND(ABS('Scenario Results'!I196-MIN('Scenario Results'!E196,'Scenario Results'!H196))&lt;0.000001,'Scenario Results'!I196&lt;='Scenario Results'!E196),1,0)</x:f>
        <x:v>1</x:v>
      </x:c>
      <x:c r="F506" s="21" t="n">
        <x:v>1</x:v>
      </x:c>
      <x:c r="G506" s="23" t="str">
        <x:f>IF(E506=F506,"PASS","FAIL")</x:f>
        <x:v>PASS</x:v>
      </x:c>
    </x:row>
    <x:row r="507">
      <x:c r="B507" s="21" t="str">
        <x:v>A00501</x:v>
      </x:c>
      <x:c r="C507" s="21" t="str">
        <x:v>scenario</x:v>
      </x:c>
      <x:c r="D507" s="21" t="str">
        <x:v>scenario result 190 state</x:v>
      </x:c>
      <x:c r="E507" s="21" t="n">
        <x:f>IF('Scenario Results'!K196=IF('Scenario Results'!J196&gt;=1,"ADEQUATE","GAP"),1,0)</x:f>
        <x:v>1</x:v>
      </x:c>
      <x:c r="F507" s="21" t="n">
        <x:v>1</x:v>
      </x:c>
      <x:c r="G507" s="23" t="str">
        <x:f>IF(E507=F507,"PASS","FAIL")</x:f>
        <x:v>PASS</x:v>
      </x:c>
    </x:row>
    <x:row r="508">
      <x:c r="B508" s="21" t="str">
        <x:v>A00502</x:v>
      </x:c>
      <x:c r="C508" s="21" t="str">
        <x:v>scenario</x:v>
      </x:c>
      <x:c r="D508" s="21" t="str">
        <x:v>scenario result 191 conservation</x:v>
      </x:c>
      <x:c r="E508" s="21" t="n">
        <x:f>IF(AND(ABS('Scenario Results'!I197-MIN('Scenario Results'!E197,'Scenario Results'!H197))&lt;0.000001,'Scenario Results'!I197&lt;='Scenario Results'!E197),1,0)</x:f>
        <x:v>1</x:v>
      </x:c>
      <x:c r="F508" s="21" t="n">
        <x:v>1</x:v>
      </x:c>
      <x:c r="G508" s="23" t="str">
        <x:f>IF(E508=F508,"PASS","FAIL")</x:f>
        <x:v>PASS</x:v>
      </x:c>
    </x:row>
    <x:row r="509">
      <x:c r="B509" s="21" t="str">
        <x:v>A00503</x:v>
      </x:c>
      <x:c r="C509" s="21" t="str">
        <x:v>scenario</x:v>
      </x:c>
      <x:c r="D509" s="21" t="str">
        <x:v>scenario result 191 state</x:v>
      </x:c>
      <x:c r="E509" s="21" t="n">
        <x:f>IF('Scenario Results'!K197=IF('Scenario Results'!J197&gt;=1,"ADEQUATE","GAP"),1,0)</x:f>
        <x:v>1</x:v>
      </x:c>
      <x:c r="F509" s="21" t="n">
        <x:v>1</x:v>
      </x:c>
      <x:c r="G509" s="23" t="str">
        <x:f>IF(E509=F509,"PASS","FAIL")</x:f>
        <x:v>PASS</x:v>
      </x:c>
    </x:row>
    <x:row r="510">
      <x:c r="B510" s="21" t="str">
        <x:v>A00504</x:v>
      </x:c>
      <x:c r="C510" s="21" t="str">
        <x:v>scenario</x:v>
      </x:c>
      <x:c r="D510" s="21" t="str">
        <x:v>scenario result 192 conservation</x:v>
      </x:c>
      <x:c r="E510" s="21" t="n">
        <x:f>IF(AND(ABS('Scenario Results'!I198-MIN('Scenario Results'!E198,'Scenario Results'!H198))&lt;0.000001,'Scenario Results'!I198&lt;='Scenario Results'!E198),1,0)</x:f>
        <x:v>1</x:v>
      </x:c>
      <x:c r="F510" s="21" t="n">
        <x:v>1</x:v>
      </x:c>
      <x:c r="G510" s="23" t="str">
        <x:f>IF(E510=F510,"PASS","FAIL")</x:f>
        <x:v>PASS</x:v>
      </x:c>
    </x:row>
    <x:row r="511">
      <x:c r="B511" s="21" t="str">
        <x:v>A00505</x:v>
      </x:c>
      <x:c r="C511" s="21" t="str">
        <x:v>scenario</x:v>
      </x:c>
      <x:c r="D511" s="21" t="str">
        <x:v>scenario result 192 state</x:v>
      </x:c>
      <x:c r="E511" s="21" t="n">
        <x:f>IF('Scenario Results'!K198=IF('Scenario Results'!J198&gt;=1,"ADEQUATE","GAP"),1,0)</x:f>
        <x:v>1</x:v>
      </x:c>
      <x:c r="F511" s="21" t="n">
        <x:v>1</x:v>
      </x:c>
      <x:c r="G511" s="23" t="str">
        <x:f>IF(E511=F511,"PASS","FAIL")</x:f>
        <x:v>PASS</x:v>
      </x:c>
    </x:row>
    <x:row r="512">
      <x:c r="B512" s="21" t="str">
        <x:v>A00506</x:v>
      </x:c>
      <x:c r="C512" s="21" t="str">
        <x:v>scenario</x:v>
      </x:c>
      <x:c r="D512" s="21" t="str">
        <x:v>scenario result 193 conservation</x:v>
      </x:c>
      <x:c r="E512" s="21" t="n">
        <x:f>IF(AND(ABS('Scenario Results'!I199-MIN('Scenario Results'!E199,'Scenario Results'!H199))&lt;0.000001,'Scenario Results'!I199&lt;='Scenario Results'!E199),1,0)</x:f>
        <x:v>1</x:v>
      </x:c>
      <x:c r="F512" s="21" t="n">
        <x:v>1</x:v>
      </x:c>
      <x:c r="G512" s="23" t="str">
        <x:f>IF(E512=F512,"PASS","FAIL")</x:f>
        <x:v>PASS</x:v>
      </x:c>
    </x:row>
    <x:row r="513">
      <x:c r="B513" s="21" t="str">
        <x:v>A00507</x:v>
      </x:c>
      <x:c r="C513" s="21" t="str">
        <x:v>scenario</x:v>
      </x:c>
      <x:c r="D513" s="21" t="str">
        <x:v>scenario result 193 state</x:v>
      </x:c>
      <x:c r="E513" s="21" t="n">
        <x:f>IF('Scenario Results'!K199=IF('Scenario Results'!J199&gt;=1,"ADEQUATE","GAP"),1,0)</x:f>
        <x:v>1</x:v>
      </x:c>
      <x:c r="F513" s="21" t="n">
        <x:v>1</x:v>
      </x:c>
      <x:c r="G513" s="23" t="str">
        <x:f>IF(E513=F513,"PASS","FAIL")</x:f>
        <x:v>PASS</x:v>
      </x:c>
    </x:row>
    <x:row r="514">
      <x:c r="B514" s="21" t="str">
        <x:v>A00508</x:v>
      </x:c>
      <x:c r="C514" s="21" t="str">
        <x:v>scenario</x:v>
      </x:c>
      <x:c r="D514" s="21" t="str">
        <x:v>scenario result 194 conservation</x:v>
      </x:c>
      <x:c r="E514" s="21" t="n">
        <x:f>IF(AND(ABS('Scenario Results'!I200-MIN('Scenario Results'!E200,'Scenario Results'!H200))&lt;0.000001,'Scenario Results'!I200&lt;='Scenario Results'!E200),1,0)</x:f>
        <x:v>1</x:v>
      </x:c>
      <x:c r="F514" s="21" t="n">
        <x:v>1</x:v>
      </x:c>
      <x:c r="G514" s="23" t="str">
        <x:f>IF(E514=F514,"PASS","FAIL")</x:f>
        <x:v>PASS</x:v>
      </x:c>
    </x:row>
    <x:row r="515">
      <x:c r="B515" s="21" t="str">
        <x:v>A00509</x:v>
      </x:c>
      <x:c r="C515" s="21" t="str">
        <x:v>scenario</x:v>
      </x:c>
      <x:c r="D515" s="21" t="str">
        <x:v>scenario result 194 state</x:v>
      </x:c>
      <x:c r="E515" s="21" t="n">
        <x:f>IF('Scenario Results'!K200=IF('Scenario Results'!J200&gt;=1,"ADEQUATE","GAP"),1,0)</x:f>
        <x:v>1</x:v>
      </x:c>
      <x:c r="F515" s="21" t="n">
        <x:v>1</x:v>
      </x:c>
      <x:c r="G515" s="23" t="str">
        <x:f>IF(E515=F515,"PASS","FAIL")</x:f>
        <x:v>PASS</x:v>
      </x:c>
    </x:row>
    <x:row r="516">
      <x:c r="B516" s="21" t="str">
        <x:v>A00510</x:v>
      </x:c>
      <x:c r="C516" s="21" t="str">
        <x:v>scenario</x:v>
      </x:c>
      <x:c r="D516" s="21" t="str">
        <x:v>scenario result 195 conservation</x:v>
      </x:c>
      <x:c r="E516" s="21" t="n">
        <x:f>IF(AND(ABS('Scenario Results'!I201-MIN('Scenario Results'!E201,'Scenario Results'!H201))&lt;0.000001,'Scenario Results'!I201&lt;='Scenario Results'!E201),1,0)</x:f>
        <x:v>1</x:v>
      </x:c>
      <x:c r="F516" s="21" t="n">
        <x:v>1</x:v>
      </x:c>
      <x:c r="G516" s="23" t="str">
        <x:f>IF(E516=F516,"PASS","FAIL")</x:f>
        <x:v>PASS</x:v>
      </x:c>
    </x:row>
    <x:row r="517">
      <x:c r="B517" s="21" t="str">
        <x:v>A00511</x:v>
      </x:c>
      <x:c r="C517" s="21" t="str">
        <x:v>scenario</x:v>
      </x:c>
      <x:c r="D517" s="21" t="str">
        <x:v>scenario result 195 state</x:v>
      </x:c>
      <x:c r="E517" s="21" t="n">
        <x:f>IF('Scenario Results'!K201=IF('Scenario Results'!J201&gt;=1,"ADEQUATE","GAP"),1,0)</x:f>
        <x:v>1</x:v>
      </x:c>
      <x:c r="F517" s="21" t="n">
        <x:v>1</x:v>
      </x:c>
      <x:c r="G517" s="23" t="str">
        <x:f>IF(E517=F517,"PASS","FAIL")</x:f>
        <x:v>PASS</x:v>
      </x:c>
    </x:row>
    <x:row r="518">
      <x:c r="B518" s="21" t="str">
        <x:v>A00512</x:v>
      </x:c>
      <x:c r="C518" s="21" t="str">
        <x:v>scenario</x:v>
      </x:c>
      <x:c r="D518" s="21" t="str">
        <x:v>scenario result 196 conservation</x:v>
      </x:c>
      <x:c r="E518" s="21" t="n">
        <x:f>IF(AND(ABS('Scenario Results'!I202-MIN('Scenario Results'!E202,'Scenario Results'!H202))&lt;0.000001,'Scenario Results'!I202&lt;='Scenario Results'!E202),1,0)</x:f>
        <x:v>1</x:v>
      </x:c>
      <x:c r="F518" s="21" t="n">
        <x:v>1</x:v>
      </x:c>
      <x:c r="G518" s="23" t="str">
        <x:f>IF(E518=F518,"PASS","FAIL")</x:f>
        <x:v>PASS</x:v>
      </x:c>
    </x:row>
    <x:row r="519">
      <x:c r="B519" s="21" t="str">
        <x:v>A00513</x:v>
      </x:c>
      <x:c r="C519" s="21" t="str">
        <x:v>scenario</x:v>
      </x:c>
      <x:c r="D519" s="21" t="str">
        <x:v>scenario result 196 state</x:v>
      </x:c>
      <x:c r="E519" s="21" t="n">
        <x:f>IF('Scenario Results'!K202=IF('Scenario Results'!J202&gt;=1,"ADEQUATE","GAP"),1,0)</x:f>
        <x:v>1</x:v>
      </x:c>
      <x:c r="F519" s="21" t="n">
        <x:v>1</x:v>
      </x:c>
      <x:c r="G519" s="23" t="str">
        <x:f>IF(E519=F519,"PASS","FAIL")</x:f>
        <x:v>PASS</x:v>
      </x:c>
    </x:row>
    <x:row r="520">
      <x:c r="B520" s="21" t="str">
        <x:v>A00514</x:v>
      </x:c>
      <x:c r="C520" s="21" t="str">
        <x:v>scenario</x:v>
      </x:c>
      <x:c r="D520" s="21" t="str">
        <x:v>scenario result 197 conservation</x:v>
      </x:c>
      <x:c r="E520" s="21" t="n">
        <x:f>IF(AND(ABS('Scenario Results'!I203-MIN('Scenario Results'!E203,'Scenario Results'!H203))&lt;0.000001,'Scenario Results'!I203&lt;='Scenario Results'!E203),1,0)</x:f>
        <x:v>1</x:v>
      </x:c>
      <x:c r="F520" s="21" t="n">
        <x:v>1</x:v>
      </x:c>
      <x:c r="G520" s="23" t="str">
        <x:f>IF(E520=F520,"PASS","FAIL")</x:f>
        <x:v>PASS</x:v>
      </x:c>
    </x:row>
    <x:row r="521">
      <x:c r="B521" s="21" t="str">
        <x:v>A00515</x:v>
      </x:c>
      <x:c r="C521" s="21" t="str">
        <x:v>scenario</x:v>
      </x:c>
      <x:c r="D521" s="21" t="str">
        <x:v>scenario result 197 state</x:v>
      </x:c>
      <x:c r="E521" s="21" t="n">
        <x:f>IF('Scenario Results'!K203=IF('Scenario Results'!J203&gt;=1,"ADEQUATE","GAP"),1,0)</x:f>
        <x:v>1</x:v>
      </x:c>
      <x:c r="F521" s="21" t="n">
        <x:v>1</x:v>
      </x:c>
      <x:c r="G521" s="23" t="str">
        <x:f>IF(E521=F521,"PASS","FAIL")</x:f>
        <x:v>PASS</x:v>
      </x:c>
    </x:row>
    <x:row r="522">
      <x:c r="B522" s="21" t="str">
        <x:v>A00516</x:v>
      </x:c>
      <x:c r="C522" s="21" t="str">
        <x:v>scenario</x:v>
      </x:c>
      <x:c r="D522" s="21" t="str">
        <x:v>scenario result 198 conservation</x:v>
      </x:c>
      <x:c r="E522" s="21" t="n">
        <x:f>IF(AND(ABS('Scenario Results'!I204-MIN('Scenario Results'!E204,'Scenario Results'!H204))&lt;0.000001,'Scenario Results'!I204&lt;='Scenario Results'!E204),1,0)</x:f>
        <x:v>1</x:v>
      </x:c>
      <x:c r="F522" s="21" t="n">
        <x:v>1</x:v>
      </x:c>
      <x:c r="G522" s="23" t="str">
        <x:f>IF(E522=F522,"PASS","FAIL")</x:f>
        <x:v>PASS</x:v>
      </x:c>
    </x:row>
    <x:row r="523">
      <x:c r="B523" s="21" t="str">
        <x:v>A00517</x:v>
      </x:c>
      <x:c r="C523" s="21" t="str">
        <x:v>scenario</x:v>
      </x:c>
      <x:c r="D523" s="21" t="str">
        <x:v>scenario result 198 state</x:v>
      </x:c>
      <x:c r="E523" s="21" t="n">
        <x:f>IF('Scenario Results'!K204=IF('Scenario Results'!J204&gt;=1,"ADEQUATE","GAP"),1,0)</x:f>
        <x:v>1</x:v>
      </x:c>
      <x:c r="F523" s="21" t="n">
        <x:v>1</x:v>
      </x:c>
      <x:c r="G523" s="23" t="str">
        <x:f>IF(E523=F523,"PASS","FAIL")</x:f>
        <x:v>PASS</x:v>
      </x:c>
    </x:row>
    <x:row r="524">
      <x:c r="B524" s="21" t="str">
        <x:v>A00518</x:v>
      </x:c>
      <x:c r="C524" s="21" t="str">
        <x:v>scenario</x:v>
      </x:c>
      <x:c r="D524" s="21" t="str">
        <x:v>scenario result 199 conservation</x:v>
      </x:c>
      <x:c r="E524" s="21" t="n">
        <x:f>IF(AND(ABS('Scenario Results'!I205-MIN('Scenario Results'!E205,'Scenario Results'!H205))&lt;0.000001,'Scenario Results'!I205&lt;='Scenario Results'!E205),1,0)</x:f>
        <x:v>1</x:v>
      </x:c>
      <x:c r="F524" s="21" t="n">
        <x:v>1</x:v>
      </x:c>
      <x:c r="G524" s="23" t="str">
        <x:f>IF(E524=F524,"PASS","FAIL")</x:f>
        <x:v>PASS</x:v>
      </x:c>
    </x:row>
    <x:row r="525">
      <x:c r="B525" s="21" t="str">
        <x:v>A00519</x:v>
      </x:c>
      <x:c r="C525" s="21" t="str">
        <x:v>scenario</x:v>
      </x:c>
      <x:c r="D525" s="21" t="str">
        <x:v>scenario result 199 state</x:v>
      </x:c>
      <x:c r="E525" s="21" t="n">
        <x:f>IF('Scenario Results'!K205=IF('Scenario Results'!J205&gt;=1,"ADEQUATE","GAP"),1,0)</x:f>
        <x:v>1</x:v>
      </x:c>
      <x:c r="F525" s="21" t="n">
        <x:v>1</x:v>
      </x:c>
      <x:c r="G525" s="23" t="str">
        <x:f>IF(E525=F525,"PASS","FAIL")</x:f>
        <x:v>PASS</x:v>
      </x:c>
    </x:row>
    <x:row r="526">
      <x:c r="B526" s="21" t="str">
        <x:v>A00520</x:v>
      </x:c>
      <x:c r="C526" s="21" t="str">
        <x:v>scenario</x:v>
      </x:c>
      <x:c r="D526" s="21" t="str">
        <x:v>scenario result 200 conservation</x:v>
      </x:c>
      <x:c r="E526" s="21" t="n">
        <x:f>IF(AND(ABS('Scenario Results'!I206-MIN('Scenario Results'!E206,'Scenario Results'!H206))&lt;0.000001,'Scenario Results'!I206&lt;='Scenario Results'!E206),1,0)</x:f>
        <x:v>1</x:v>
      </x:c>
      <x:c r="F526" s="21" t="n">
        <x:v>1</x:v>
      </x:c>
      <x:c r="G526" s="23" t="str">
        <x:f>IF(E526=F526,"PASS","FAIL")</x:f>
        <x:v>PASS</x:v>
      </x:c>
    </x:row>
    <x:row r="527">
      <x:c r="B527" s="21" t="str">
        <x:v>A00521</x:v>
      </x:c>
      <x:c r="C527" s="21" t="str">
        <x:v>scenario</x:v>
      </x:c>
      <x:c r="D527" s="21" t="str">
        <x:v>scenario result 200 state</x:v>
      </x:c>
      <x:c r="E527" s="21" t="n">
        <x:f>IF('Scenario Results'!K206=IF('Scenario Results'!J206&gt;=1,"ADEQUATE","GAP"),1,0)</x:f>
        <x:v>1</x:v>
      </x:c>
      <x:c r="F527" s="21" t="n">
        <x:v>1</x:v>
      </x:c>
      <x:c r="G527" s="23" t="str">
        <x:f>IF(E527=F527,"PASS","FAIL")</x:f>
        <x:v>PASS</x:v>
      </x:c>
    </x:row>
    <x:row r="528">
      <x:c r="B528" s="21" t="str">
        <x:v>A00522</x:v>
      </x:c>
      <x:c r="C528" s="21" t="str">
        <x:v>scenario</x:v>
      </x:c>
      <x:c r="D528" s="21" t="str">
        <x:v>scenario result 201 conservation</x:v>
      </x:c>
      <x:c r="E528" s="21" t="n">
        <x:f>IF(AND(ABS('Scenario Results'!I207-MIN('Scenario Results'!E207,'Scenario Results'!H207))&lt;0.000001,'Scenario Results'!I207&lt;='Scenario Results'!E207),1,0)</x:f>
        <x:v>1</x:v>
      </x:c>
      <x:c r="F528" s="21" t="n">
        <x:v>1</x:v>
      </x:c>
      <x:c r="G528" s="23" t="str">
        <x:f>IF(E528=F528,"PASS","FAIL")</x:f>
        <x:v>PASS</x:v>
      </x:c>
    </x:row>
    <x:row r="529">
      <x:c r="B529" s="21" t="str">
        <x:v>A00523</x:v>
      </x:c>
      <x:c r="C529" s="21" t="str">
        <x:v>scenario</x:v>
      </x:c>
      <x:c r="D529" s="21" t="str">
        <x:v>scenario result 201 state</x:v>
      </x:c>
      <x:c r="E529" s="21" t="n">
        <x:f>IF('Scenario Results'!K207=IF('Scenario Results'!J207&gt;=1,"ADEQUATE","GAP"),1,0)</x:f>
        <x:v>1</x:v>
      </x:c>
      <x:c r="F529" s="21" t="n">
        <x:v>1</x:v>
      </x:c>
      <x:c r="G529" s="23" t="str">
        <x:f>IF(E529=F529,"PASS","FAIL")</x:f>
        <x:v>PASS</x:v>
      </x:c>
    </x:row>
    <x:row r="530">
      <x:c r="B530" s="21" t="str">
        <x:v>A00524</x:v>
      </x:c>
      <x:c r="C530" s="21" t="str">
        <x:v>scenario</x:v>
      </x:c>
      <x:c r="D530" s="21" t="str">
        <x:v>scenario result 202 conservation</x:v>
      </x:c>
      <x:c r="E530" s="21" t="n">
        <x:f>IF(AND(ABS('Scenario Results'!I208-MIN('Scenario Results'!E208,'Scenario Results'!H208))&lt;0.000001,'Scenario Results'!I208&lt;='Scenario Results'!E208),1,0)</x:f>
        <x:v>1</x:v>
      </x:c>
      <x:c r="F530" s="21" t="n">
        <x:v>1</x:v>
      </x:c>
      <x:c r="G530" s="23" t="str">
        <x:f>IF(E530=F530,"PASS","FAIL")</x:f>
        <x:v>PASS</x:v>
      </x:c>
    </x:row>
    <x:row r="531">
      <x:c r="B531" s="21" t="str">
        <x:v>A00525</x:v>
      </x:c>
      <x:c r="C531" s="21" t="str">
        <x:v>scenario</x:v>
      </x:c>
      <x:c r="D531" s="21" t="str">
        <x:v>scenario result 202 state</x:v>
      </x:c>
      <x:c r="E531" s="21" t="n">
        <x:f>IF('Scenario Results'!K208=IF('Scenario Results'!J208&gt;=1,"ADEQUATE","GAP"),1,0)</x:f>
        <x:v>1</x:v>
      </x:c>
      <x:c r="F531" s="21" t="n">
        <x:v>1</x:v>
      </x:c>
      <x:c r="G531" s="23" t="str">
        <x:f>IF(E531=F531,"PASS","FAIL")</x:f>
        <x:v>PASS</x:v>
      </x:c>
    </x:row>
    <x:row r="532">
      <x:c r="B532" s="21" t="str">
        <x:v>A00526</x:v>
      </x:c>
      <x:c r="C532" s="21" t="str">
        <x:v>scenario</x:v>
      </x:c>
      <x:c r="D532" s="21" t="str">
        <x:v>scenario result 203 conservation</x:v>
      </x:c>
      <x:c r="E532" s="21" t="n">
        <x:f>IF(AND(ABS('Scenario Results'!I209-MIN('Scenario Results'!E209,'Scenario Results'!H209))&lt;0.000001,'Scenario Results'!I209&lt;='Scenario Results'!E209),1,0)</x:f>
        <x:v>1</x:v>
      </x:c>
      <x:c r="F532" s="21" t="n">
        <x:v>1</x:v>
      </x:c>
      <x:c r="G532" s="23" t="str">
        <x:f>IF(E532=F532,"PASS","FAIL")</x:f>
        <x:v>PASS</x:v>
      </x:c>
    </x:row>
    <x:row r="533">
      <x:c r="B533" s="21" t="str">
        <x:v>A00527</x:v>
      </x:c>
      <x:c r="C533" s="21" t="str">
        <x:v>scenario</x:v>
      </x:c>
      <x:c r="D533" s="21" t="str">
        <x:v>scenario result 203 state</x:v>
      </x:c>
      <x:c r="E533" s="21" t="n">
        <x:f>IF('Scenario Results'!K209=IF('Scenario Results'!J209&gt;=1,"ADEQUATE","GAP"),1,0)</x:f>
        <x:v>1</x:v>
      </x:c>
      <x:c r="F533" s="21" t="n">
        <x:v>1</x:v>
      </x:c>
      <x:c r="G533" s="23" t="str">
        <x:f>IF(E533=F533,"PASS","FAIL")</x:f>
        <x:v>PASS</x:v>
      </x:c>
    </x:row>
    <x:row r="534">
      <x:c r="B534" s="21" t="str">
        <x:v>A00528</x:v>
      </x:c>
      <x:c r="C534" s="21" t="str">
        <x:v>scenario</x:v>
      </x:c>
      <x:c r="D534" s="21" t="str">
        <x:v>scenario result 204 conservation</x:v>
      </x:c>
      <x:c r="E534" s="21" t="n">
        <x:f>IF(AND(ABS('Scenario Results'!I210-MIN('Scenario Results'!E210,'Scenario Results'!H210))&lt;0.000001,'Scenario Results'!I210&lt;='Scenario Results'!E210),1,0)</x:f>
        <x:v>1</x:v>
      </x:c>
      <x:c r="F534" s="21" t="n">
        <x:v>1</x:v>
      </x:c>
      <x:c r="G534" s="23" t="str">
        <x:f>IF(E534=F534,"PASS","FAIL")</x:f>
        <x:v>PASS</x:v>
      </x:c>
    </x:row>
    <x:row r="535">
      <x:c r="B535" s="21" t="str">
        <x:v>A00529</x:v>
      </x:c>
      <x:c r="C535" s="21" t="str">
        <x:v>scenario</x:v>
      </x:c>
      <x:c r="D535" s="21" t="str">
        <x:v>scenario result 204 state</x:v>
      </x:c>
      <x:c r="E535" s="21" t="n">
        <x:f>IF('Scenario Results'!K210=IF('Scenario Results'!J210&gt;=1,"ADEQUATE","GAP"),1,0)</x:f>
        <x:v>1</x:v>
      </x:c>
      <x:c r="F535" s="21" t="n">
        <x:v>1</x:v>
      </x:c>
      <x:c r="G535" s="23" t="str">
        <x:f>IF(E535=F535,"PASS","FAIL")</x:f>
        <x:v>PASS</x:v>
      </x:c>
    </x:row>
    <x:row r="536">
      <x:c r="B536" s="21" t="str">
        <x:v>A00530</x:v>
      </x:c>
      <x:c r="C536" s="21" t="str">
        <x:v>scenario</x:v>
      </x:c>
      <x:c r="D536" s="21" t="str">
        <x:v>scenario result 205 conservation</x:v>
      </x:c>
      <x:c r="E536" s="21" t="n">
        <x:f>IF(AND(ABS('Scenario Results'!I211-MIN('Scenario Results'!E211,'Scenario Results'!H211))&lt;0.000001,'Scenario Results'!I211&lt;='Scenario Results'!E211),1,0)</x:f>
        <x:v>1</x:v>
      </x:c>
      <x:c r="F536" s="21" t="n">
        <x:v>1</x:v>
      </x:c>
      <x:c r="G536" s="23" t="str">
        <x:f>IF(E536=F536,"PASS","FAIL")</x:f>
        <x:v>PASS</x:v>
      </x:c>
    </x:row>
    <x:row r="537">
      <x:c r="B537" s="21" t="str">
        <x:v>A00531</x:v>
      </x:c>
      <x:c r="C537" s="21" t="str">
        <x:v>scenario</x:v>
      </x:c>
      <x:c r="D537" s="21" t="str">
        <x:v>scenario result 205 state</x:v>
      </x:c>
      <x:c r="E537" s="21" t="n">
        <x:f>IF('Scenario Results'!K211=IF('Scenario Results'!J211&gt;=1,"ADEQUATE","GAP"),1,0)</x:f>
        <x:v>1</x:v>
      </x:c>
      <x:c r="F537" s="21" t="n">
        <x:v>1</x:v>
      </x:c>
      <x:c r="G537" s="23" t="str">
        <x:f>IF(E537=F537,"PASS","FAIL")</x:f>
        <x:v>PASS</x:v>
      </x:c>
    </x:row>
    <x:row r="538">
      <x:c r="B538" s="21" t="str">
        <x:v>A00532</x:v>
      </x:c>
      <x:c r="C538" s="21" t="str">
        <x:v>scenario</x:v>
      </x:c>
      <x:c r="D538" s="21" t="str">
        <x:v>scenario result 206 conservation</x:v>
      </x:c>
      <x:c r="E538" s="21" t="n">
        <x:f>IF(AND(ABS('Scenario Results'!I212-MIN('Scenario Results'!E212,'Scenario Results'!H212))&lt;0.000001,'Scenario Results'!I212&lt;='Scenario Results'!E212),1,0)</x:f>
        <x:v>1</x:v>
      </x:c>
      <x:c r="F538" s="21" t="n">
        <x:v>1</x:v>
      </x:c>
      <x:c r="G538" s="23" t="str">
        <x:f>IF(E538=F538,"PASS","FAIL")</x:f>
        <x:v>PASS</x:v>
      </x:c>
    </x:row>
    <x:row r="539">
      <x:c r="B539" s="21" t="str">
        <x:v>A00533</x:v>
      </x:c>
      <x:c r="C539" s="21" t="str">
        <x:v>scenario</x:v>
      </x:c>
      <x:c r="D539" s="21" t="str">
        <x:v>scenario result 206 state</x:v>
      </x:c>
      <x:c r="E539" s="21" t="n">
        <x:f>IF('Scenario Results'!K212=IF('Scenario Results'!J212&gt;=1,"ADEQUATE","GAP"),1,0)</x:f>
        <x:v>1</x:v>
      </x:c>
      <x:c r="F539" s="21" t="n">
        <x:v>1</x:v>
      </x:c>
      <x:c r="G539" s="23" t="str">
        <x:f>IF(E539=F539,"PASS","FAIL")</x:f>
        <x:v>PASS</x:v>
      </x:c>
    </x:row>
    <x:row r="540">
      <x:c r="B540" s="21" t="str">
        <x:v>A00534</x:v>
      </x:c>
      <x:c r="C540" s="21" t="str">
        <x:v>scenario</x:v>
      </x:c>
      <x:c r="D540" s="21" t="str">
        <x:v>scenario result 207 conservation</x:v>
      </x:c>
      <x:c r="E540" s="21" t="n">
        <x:f>IF(AND(ABS('Scenario Results'!I213-MIN('Scenario Results'!E213,'Scenario Results'!H213))&lt;0.000001,'Scenario Results'!I213&lt;='Scenario Results'!E213),1,0)</x:f>
        <x:v>1</x:v>
      </x:c>
      <x:c r="F540" s="21" t="n">
        <x:v>1</x:v>
      </x:c>
      <x:c r="G540" s="23" t="str">
        <x:f>IF(E540=F540,"PASS","FAIL")</x:f>
        <x:v>PASS</x:v>
      </x:c>
    </x:row>
    <x:row r="541">
      <x:c r="B541" s="21" t="str">
        <x:v>A00535</x:v>
      </x:c>
      <x:c r="C541" s="21" t="str">
        <x:v>scenario</x:v>
      </x:c>
      <x:c r="D541" s="21" t="str">
        <x:v>scenario result 207 state</x:v>
      </x:c>
      <x:c r="E541" s="21" t="n">
        <x:f>IF('Scenario Results'!K213=IF('Scenario Results'!J213&gt;=1,"ADEQUATE","GAP"),1,0)</x:f>
        <x:v>1</x:v>
      </x:c>
      <x:c r="F541" s="21" t="n">
        <x:v>1</x:v>
      </x:c>
      <x:c r="G541" s="23" t="str">
        <x:f>IF(E541=F541,"PASS","FAIL")</x:f>
        <x:v>PASS</x:v>
      </x:c>
    </x:row>
    <x:row r="542">
      <x:c r="B542" s="21" t="str">
        <x:v>A00536</x:v>
      </x:c>
      <x:c r="C542" s="21" t="str">
        <x:v>scenario</x:v>
      </x:c>
      <x:c r="D542" s="21" t="str">
        <x:v>scenario result 208 conservation</x:v>
      </x:c>
      <x:c r="E542" s="21" t="n">
        <x:f>IF(AND(ABS('Scenario Results'!I214-MIN('Scenario Results'!E214,'Scenario Results'!H214))&lt;0.000001,'Scenario Results'!I214&lt;='Scenario Results'!E214),1,0)</x:f>
        <x:v>1</x:v>
      </x:c>
      <x:c r="F542" s="21" t="n">
        <x:v>1</x:v>
      </x:c>
      <x:c r="G542" s="23" t="str">
        <x:f>IF(E542=F542,"PASS","FAIL")</x:f>
        <x:v>PASS</x:v>
      </x:c>
    </x:row>
    <x:row r="543">
      <x:c r="B543" s="21" t="str">
        <x:v>A00537</x:v>
      </x:c>
      <x:c r="C543" s="21" t="str">
        <x:v>scenario</x:v>
      </x:c>
      <x:c r="D543" s="21" t="str">
        <x:v>scenario result 208 state</x:v>
      </x:c>
      <x:c r="E543" s="21" t="n">
        <x:f>IF('Scenario Results'!K214=IF('Scenario Results'!J214&gt;=1,"ADEQUATE","GAP"),1,0)</x:f>
        <x:v>1</x:v>
      </x:c>
      <x:c r="F543" s="21" t="n">
        <x:v>1</x:v>
      </x:c>
      <x:c r="G543" s="23" t="str">
        <x:f>IF(E543=F543,"PASS","FAIL")</x:f>
        <x:v>PASS</x:v>
      </x:c>
    </x:row>
    <x:row r="544">
      <x:c r="B544" s="21" t="str">
        <x:v>A00538</x:v>
      </x:c>
      <x:c r="C544" s="21" t="str">
        <x:v>scenario</x:v>
      </x:c>
      <x:c r="D544" s="21" t="str">
        <x:v>scenario result 209 conservation</x:v>
      </x:c>
      <x:c r="E544" s="21" t="n">
        <x:f>IF(AND(ABS('Scenario Results'!I215-MIN('Scenario Results'!E215,'Scenario Results'!H215))&lt;0.000001,'Scenario Results'!I215&lt;='Scenario Results'!E215),1,0)</x:f>
        <x:v>1</x:v>
      </x:c>
      <x:c r="F544" s="21" t="n">
        <x:v>1</x:v>
      </x:c>
      <x:c r="G544" s="23" t="str">
        <x:f>IF(E544=F544,"PASS","FAIL")</x:f>
        <x:v>PASS</x:v>
      </x:c>
    </x:row>
    <x:row r="545">
      <x:c r="B545" s="21" t="str">
        <x:v>A00539</x:v>
      </x:c>
      <x:c r="C545" s="21" t="str">
        <x:v>scenario</x:v>
      </x:c>
      <x:c r="D545" s="21" t="str">
        <x:v>scenario result 209 state</x:v>
      </x:c>
      <x:c r="E545" s="21" t="n">
        <x:f>IF('Scenario Results'!K215=IF('Scenario Results'!J215&gt;=1,"ADEQUATE","GAP"),1,0)</x:f>
        <x:v>1</x:v>
      </x:c>
      <x:c r="F545" s="21" t="n">
        <x:v>1</x:v>
      </x:c>
      <x:c r="G545" s="23" t="str">
        <x:f>IF(E545=F545,"PASS","FAIL")</x:f>
        <x:v>PASS</x:v>
      </x:c>
    </x:row>
    <x:row r="546">
      <x:c r="B546" s="21" t="str">
        <x:v>A00540</x:v>
      </x:c>
      <x:c r="C546" s="21" t="str">
        <x:v>scenario</x:v>
      </x:c>
      <x:c r="D546" s="21" t="str">
        <x:v>scenario result 210 conservation</x:v>
      </x:c>
      <x:c r="E546" s="21" t="n">
        <x:f>IF(AND(ABS('Scenario Results'!I216-MIN('Scenario Results'!E216,'Scenario Results'!H216))&lt;0.000001,'Scenario Results'!I216&lt;='Scenario Results'!E216),1,0)</x:f>
        <x:v>1</x:v>
      </x:c>
      <x:c r="F546" s="21" t="n">
        <x:v>1</x:v>
      </x:c>
      <x:c r="G546" s="23" t="str">
        <x:f>IF(E546=F546,"PASS","FAIL")</x:f>
        <x:v>PASS</x:v>
      </x:c>
    </x:row>
    <x:row r="547">
      <x:c r="B547" s="21" t="str">
        <x:v>A00541</x:v>
      </x:c>
      <x:c r="C547" s="21" t="str">
        <x:v>scenario</x:v>
      </x:c>
      <x:c r="D547" s="21" t="str">
        <x:v>scenario result 210 state</x:v>
      </x:c>
      <x:c r="E547" s="21" t="n">
        <x:f>IF('Scenario Results'!K216=IF('Scenario Results'!J216&gt;=1,"ADEQUATE","GAP"),1,0)</x:f>
        <x:v>1</x:v>
      </x:c>
      <x:c r="F547" s="21" t="n">
        <x:v>1</x:v>
      </x:c>
      <x:c r="G547" s="23" t="str">
        <x:f>IF(E547=F547,"PASS","FAIL")</x:f>
        <x:v>PASS</x:v>
      </x:c>
    </x:row>
    <x:row r="548">
      <x:c r="B548" s="21" t="str">
        <x:v>A00542</x:v>
      </x:c>
      <x:c r="C548" s="21" t="str">
        <x:v>scenario</x:v>
      </x:c>
      <x:c r="D548" s="21" t="str">
        <x:v>scenario result 211 conservation</x:v>
      </x:c>
      <x:c r="E548" s="21" t="n">
        <x:f>IF(AND(ABS('Scenario Results'!I217-MIN('Scenario Results'!E217,'Scenario Results'!H217))&lt;0.000001,'Scenario Results'!I217&lt;='Scenario Results'!E217),1,0)</x:f>
        <x:v>1</x:v>
      </x:c>
      <x:c r="F548" s="21" t="n">
        <x:v>1</x:v>
      </x:c>
      <x:c r="G548" s="23" t="str">
        <x:f>IF(E548=F548,"PASS","FAIL")</x:f>
        <x:v>PASS</x:v>
      </x:c>
    </x:row>
    <x:row r="549">
      <x:c r="B549" s="21" t="str">
        <x:v>A00543</x:v>
      </x:c>
      <x:c r="C549" s="21" t="str">
        <x:v>scenario</x:v>
      </x:c>
      <x:c r="D549" s="21" t="str">
        <x:v>scenario result 211 state</x:v>
      </x:c>
      <x:c r="E549" s="21" t="n">
        <x:f>IF('Scenario Results'!K217=IF('Scenario Results'!J217&gt;=1,"ADEQUATE","GAP"),1,0)</x:f>
        <x:v>1</x:v>
      </x:c>
      <x:c r="F549" s="21" t="n">
        <x:v>1</x:v>
      </x:c>
      <x:c r="G549" s="23" t="str">
        <x:f>IF(E549=F549,"PASS","FAIL")</x:f>
        <x:v>PASS</x:v>
      </x:c>
    </x:row>
    <x:row r="550">
      <x:c r="B550" s="21" t="str">
        <x:v>A00544</x:v>
      </x:c>
      <x:c r="C550" s="21" t="str">
        <x:v>scenario</x:v>
      </x:c>
      <x:c r="D550" s="21" t="str">
        <x:v>scenario result 212 conservation</x:v>
      </x:c>
      <x:c r="E550" s="21" t="n">
        <x:f>IF(AND(ABS('Scenario Results'!I218-MIN('Scenario Results'!E218,'Scenario Results'!H218))&lt;0.000001,'Scenario Results'!I218&lt;='Scenario Results'!E218),1,0)</x:f>
        <x:v>1</x:v>
      </x:c>
      <x:c r="F550" s="21" t="n">
        <x:v>1</x:v>
      </x:c>
      <x:c r="G550" s="23" t="str">
        <x:f>IF(E550=F550,"PASS","FAIL")</x:f>
        <x:v>PASS</x:v>
      </x:c>
    </x:row>
    <x:row r="551">
      <x:c r="B551" s="21" t="str">
        <x:v>A00545</x:v>
      </x:c>
      <x:c r="C551" s="21" t="str">
        <x:v>scenario</x:v>
      </x:c>
      <x:c r="D551" s="21" t="str">
        <x:v>scenario result 212 state</x:v>
      </x:c>
      <x:c r="E551" s="21" t="n">
        <x:f>IF('Scenario Results'!K218=IF('Scenario Results'!J218&gt;=1,"ADEQUATE","GAP"),1,0)</x:f>
        <x:v>1</x:v>
      </x:c>
      <x:c r="F551" s="21" t="n">
        <x:v>1</x:v>
      </x:c>
      <x:c r="G551" s="23" t="str">
        <x:f>IF(E551=F551,"PASS","FAIL")</x:f>
        <x:v>PASS</x:v>
      </x:c>
    </x:row>
    <x:row r="552">
      <x:c r="B552" s="21" t="str">
        <x:v>A00546</x:v>
      </x:c>
      <x:c r="C552" s="21" t="str">
        <x:v>scenario</x:v>
      </x:c>
      <x:c r="D552" s="21" t="str">
        <x:v>scenario result 213 conservation</x:v>
      </x:c>
      <x:c r="E552" s="21" t="n">
        <x:f>IF(AND(ABS('Scenario Results'!I219-MIN('Scenario Results'!E219,'Scenario Results'!H219))&lt;0.000001,'Scenario Results'!I219&lt;='Scenario Results'!E219),1,0)</x:f>
        <x:v>1</x:v>
      </x:c>
      <x:c r="F552" s="21" t="n">
        <x:v>1</x:v>
      </x:c>
      <x:c r="G552" s="23" t="str">
        <x:f>IF(E552=F552,"PASS","FAIL")</x:f>
        <x:v>PASS</x:v>
      </x:c>
    </x:row>
    <x:row r="553">
      <x:c r="B553" s="21" t="str">
        <x:v>A00547</x:v>
      </x:c>
      <x:c r="C553" s="21" t="str">
        <x:v>scenario</x:v>
      </x:c>
      <x:c r="D553" s="21" t="str">
        <x:v>scenario result 213 state</x:v>
      </x:c>
      <x:c r="E553" s="21" t="n">
        <x:f>IF('Scenario Results'!K219=IF('Scenario Results'!J219&gt;=1,"ADEQUATE","GAP"),1,0)</x:f>
        <x:v>1</x:v>
      </x:c>
      <x:c r="F553" s="21" t="n">
        <x:v>1</x:v>
      </x:c>
      <x:c r="G553" s="23" t="str">
        <x:f>IF(E553=F553,"PASS","FAIL")</x:f>
        <x:v>PASS</x:v>
      </x:c>
    </x:row>
    <x:row r="554">
      <x:c r="B554" s="21" t="str">
        <x:v>A00548</x:v>
      </x:c>
      <x:c r="C554" s="21" t="str">
        <x:v>scenario</x:v>
      </x:c>
      <x:c r="D554" s="21" t="str">
        <x:v>scenario result 214 conservation</x:v>
      </x:c>
      <x:c r="E554" s="21" t="n">
        <x:f>IF(AND(ABS('Scenario Results'!I220-MIN('Scenario Results'!E220,'Scenario Results'!H220))&lt;0.000001,'Scenario Results'!I220&lt;='Scenario Results'!E220),1,0)</x:f>
        <x:v>1</x:v>
      </x:c>
      <x:c r="F554" s="21" t="n">
        <x:v>1</x:v>
      </x:c>
      <x:c r="G554" s="23" t="str">
        <x:f>IF(E554=F554,"PASS","FAIL")</x:f>
        <x:v>PASS</x:v>
      </x:c>
    </x:row>
    <x:row r="555">
      <x:c r="B555" s="21" t="str">
        <x:v>A00549</x:v>
      </x:c>
      <x:c r="C555" s="21" t="str">
        <x:v>scenario</x:v>
      </x:c>
      <x:c r="D555" s="21" t="str">
        <x:v>scenario result 214 state</x:v>
      </x:c>
      <x:c r="E555" s="21" t="n">
        <x:f>IF('Scenario Results'!K220=IF('Scenario Results'!J220&gt;=1,"ADEQUATE","GAP"),1,0)</x:f>
        <x:v>1</x:v>
      </x:c>
      <x:c r="F555" s="21" t="n">
        <x:v>1</x:v>
      </x:c>
      <x:c r="G555" s="23" t="str">
        <x:f>IF(E555=F555,"PASS","FAIL")</x:f>
        <x:v>PASS</x:v>
      </x:c>
    </x:row>
    <x:row r="556">
      <x:c r="B556" s="21" t="str">
        <x:v>A00550</x:v>
      </x:c>
      <x:c r="C556" s="21" t="str">
        <x:v>scenario</x:v>
      </x:c>
      <x:c r="D556" s="21" t="str">
        <x:v>scenario result 215 conservation</x:v>
      </x:c>
      <x:c r="E556" s="21" t="n">
        <x:f>IF(AND(ABS('Scenario Results'!I221-MIN('Scenario Results'!E221,'Scenario Results'!H221))&lt;0.000001,'Scenario Results'!I221&lt;='Scenario Results'!E221),1,0)</x:f>
        <x:v>1</x:v>
      </x:c>
      <x:c r="F556" s="21" t="n">
        <x:v>1</x:v>
      </x:c>
      <x:c r="G556" s="23" t="str">
        <x:f>IF(E556=F556,"PASS","FAIL")</x:f>
        <x:v>PASS</x:v>
      </x:c>
    </x:row>
    <x:row r="557">
      <x:c r="B557" s="21" t="str">
        <x:v>A00551</x:v>
      </x:c>
      <x:c r="C557" s="21" t="str">
        <x:v>scenario</x:v>
      </x:c>
      <x:c r="D557" s="21" t="str">
        <x:v>scenario result 215 state</x:v>
      </x:c>
      <x:c r="E557" s="21" t="n">
        <x:f>IF('Scenario Results'!K221=IF('Scenario Results'!J221&gt;=1,"ADEQUATE","GAP"),1,0)</x:f>
        <x:v>1</x:v>
      </x:c>
      <x:c r="F557" s="21" t="n">
        <x:v>1</x:v>
      </x:c>
      <x:c r="G557" s="23" t="str">
        <x:f>IF(E557=F557,"PASS","FAIL")</x:f>
        <x:v>PASS</x:v>
      </x:c>
    </x:row>
    <x:row r="558">
      <x:c r="B558" s="21" t="str">
        <x:v>A00552</x:v>
      </x:c>
      <x:c r="C558" s="21" t="str">
        <x:v>scenario</x:v>
      </x:c>
      <x:c r="D558" s="21" t="str">
        <x:v>scenario result 216 conservation</x:v>
      </x:c>
      <x:c r="E558" s="21" t="n">
        <x:f>IF(AND(ABS('Scenario Results'!I222-MIN('Scenario Results'!E222,'Scenario Results'!H222))&lt;0.000001,'Scenario Results'!I222&lt;='Scenario Results'!E222),1,0)</x:f>
        <x:v>1</x:v>
      </x:c>
      <x:c r="F558" s="21" t="n">
        <x:v>1</x:v>
      </x:c>
      <x:c r="G558" s="23" t="str">
        <x:f>IF(E558=F558,"PASS","FAIL")</x:f>
        <x:v>PASS</x:v>
      </x:c>
    </x:row>
    <x:row r="559">
      <x:c r="B559" s="21" t="str">
        <x:v>A00553</x:v>
      </x:c>
      <x:c r="C559" s="21" t="str">
        <x:v>scenario</x:v>
      </x:c>
      <x:c r="D559" s="21" t="str">
        <x:v>scenario result 216 state</x:v>
      </x:c>
      <x:c r="E559" s="21" t="n">
        <x:f>IF('Scenario Results'!K222=IF('Scenario Results'!J222&gt;=1,"ADEQUATE","GAP"),1,0)</x:f>
        <x:v>1</x:v>
      </x:c>
      <x:c r="F559" s="21" t="n">
        <x:v>1</x:v>
      </x:c>
      <x:c r="G559" s="23" t="str">
        <x:f>IF(E559=F559,"PASS","FAIL")</x:f>
        <x:v>PASS</x:v>
      </x:c>
    </x:row>
    <x:row r="560">
      <x:c r="B560" s="21" t="str">
        <x:v>A00554</x:v>
      </x:c>
      <x:c r="C560" s="21" t="str">
        <x:v>scenario</x:v>
      </x:c>
      <x:c r="D560" s="21" t="str">
        <x:v>scenario result 217 conservation</x:v>
      </x:c>
      <x:c r="E560" s="21" t="n">
        <x:f>IF(AND(ABS('Scenario Results'!I223-MIN('Scenario Results'!E223,'Scenario Results'!H223))&lt;0.000001,'Scenario Results'!I223&lt;='Scenario Results'!E223),1,0)</x:f>
        <x:v>1</x:v>
      </x:c>
      <x:c r="F560" s="21" t="n">
        <x:v>1</x:v>
      </x:c>
      <x:c r="G560" s="23" t="str">
        <x:f>IF(E560=F560,"PASS","FAIL")</x:f>
        <x:v>PASS</x:v>
      </x:c>
    </x:row>
    <x:row r="561">
      <x:c r="B561" s="21" t="str">
        <x:v>A00555</x:v>
      </x:c>
      <x:c r="C561" s="21" t="str">
        <x:v>scenario</x:v>
      </x:c>
      <x:c r="D561" s="21" t="str">
        <x:v>scenario result 217 state</x:v>
      </x:c>
      <x:c r="E561" s="21" t="n">
        <x:f>IF('Scenario Results'!K223=IF('Scenario Results'!J223&gt;=1,"ADEQUATE","GAP"),1,0)</x:f>
        <x:v>1</x:v>
      </x:c>
      <x:c r="F561" s="21" t="n">
        <x:v>1</x:v>
      </x:c>
      <x:c r="G561" s="23" t="str">
        <x:f>IF(E561=F561,"PASS","FAIL")</x:f>
        <x:v>PASS</x:v>
      </x:c>
    </x:row>
    <x:row r="562">
      <x:c r="B562" s="21" t="str">
        <x:v>A00556</x:v>
      </x:c>
      <x:c r="C562" s="21" t="str">
        <x:v>scenario</x:v>
      </x:c>
      <x:c r="D562" s="21" t="str">
        <x:v>scenario result 218 conservation</x:v>
      </x:c>
      <x:c r="E562" s="21" t="n">
        <x:f>IF(AND(ABS('Scenario Results'!I224-MIN('Scenario Results'!E224,'Scenario Results'!H224))&lt;0.000001,'Scenario Results'!I224&lt;='Scenario Results'!E224),1,0)</x:f>
        <x:v>1</x:v>
      </x:c>
      <x:c r="F562" s="21" t="n">
        <x:v>1</x:v>
      </x:c>
      <x:c r="G562" s="23" t="str">
        <x:f>IF(E562=F562,"PASS","FAIL")</x:f>
        <x:v>PASS</x:v>
      </x:c>
    </x:row>
    <x:row r="563">
      <x:c r="B563" s="21" t="str">
        <x:v>A00557</x:v>
      </x:c>
      <x:c r="C563" s="21" t="str">
        <x:v>scenario</x:v>
      </x:c>
      <x:c r="D563" s="21" t="str">
        <x:v>scenario result 218 state</x:v>
      </x:c>
      <x:c r="E563" s="21" t="n">
        <x:f>IF('Scenario Results'!K224=IF('Scenario Results'!J224&gt;=1,"ADEQUATE","GAP"),1,0)</x:f>
        <x:v>1</x:v>
      </x:c>
      <x:c r="F563" s="21" t="n">
        <x:v>1</x:v>
      </x:c>
      <x:c r="G563" s="23" t="str">
        <x:f>IF(E563=F563,"PASS","FAIL")</x:f>
        <x:v>PASS</x:v>
      </x:c>
    </x:row>
    <x:row r="564">
      <x:c r="B564" s="21" t="str">
        <x:v>A00558</x:v>
      </x:c>
      <x:c r="C564" s="21" t="str">
        <x:v>scenario</x:v>
      </x:c>
      <x:c r="D564" s="21" t="str">
        <x:v>scenario result 219 conservation</x:v>
      </x:c>
      <x:c r="E564" s="21" t="n">
        <x:f>IF(AND(ABS('Scenario Results'!I225-MIN('Scenario Results'!E225,'Scenario Results'!H225))&lt;0.000001,'Scenario Results'!I225&lt;='Scenario Results'!E225),1,0)</x:f>
        <x:v>1</x:v>
      </x:c>
      <x:c r="F564" s="21" t="n">
        <x:v>1</x:v>
      </x:c>
      <x:c r="G564" s="23" t="str">
        <x:f>IF(E564=F564,"PASS","FAIL")</x:f>
        <x:v>PASS</x:v>
      </x:c>
    </x:row>
    <x:row r="565">
      <x:c r="B565" s="21" t="str">
        <x:v>A00559</x:v>
      </x:c>
      <x:c r="C565" s="21" t="str">
        <x:v>scenario</x:v>
      </x:c>
      <x:c r="D565" s="21" t="str">
        <x:v>scenario result 219 state</x:v>
      </x:c>
      <x:c r="E565" s="21" t="n">
        <x:f>IF('Scenario Results'!K225=IF('Scenario Results'!J225&gt;=1,"ADEQUATE","GAP"),1,0)</x:f>
        <x:v>1</x:v>
      </x:c>
      <x:c r="F565" s="21" t="n">
        <x:v>1</x:v>
      </x:c>
      <x:c r="G565" s="23" t="str">
        <x:f>IF(E565=F565,"PASS","FAIL")</x:f>
        <x:v>PASS</x:v>
      </x:c>
    </x:row>
    <x:row r="566">
      <x:c r="B566" s="21" t="str">
        <x:v>A00560</x:v>
      </x:c>
      <x:c r="C566" s="21" t="str">
        <x:v>scenario</x:v>
      </x:c>
      <x:c r="D566" s="21" t="str">
        <x:v>scenario result 220 conservation</x:v>
      </x:c>
      <x:c r="E566" s="21" t="n">
        <x:f>IF(AND(ABS('Scenario Results'!I226-MIN('Scenario Results'!E226,'Scenario Results'!H226))&lt;0.000001,'Scenario Results'!I226&lt;='Scenario Results'!E226),1,0)</x:f>
        <x:v>1</x:v>
      </x:c>
      <x:c r="F566" s="21" t="n">
        <x:v>1</x:v>
      </x:c>
      <x:c r="G566" s="23" t="str">
        <x:f>IF(E566=F566,"PASS","FAIL")</x:f>
        <x:v>PASS</x:v>
      </x:c>
    </x:row>
    <x:row r="567">
      <x:c r="B567" s="21" t="str">
        <x:v>A00561</x:v>
      </x:c>
      <x:c r="C567" s="21" t="str">
        <x:v>scenario</x:v>
      </x:c>
      <x:c r="D567" s="21" t="str">
        <x:v>scenario result 220 state</x:v>
      </x:c>
      <x:c r="E567" s="21" t="n">
        <x:f>IF('Scenario Results'!K226=IF('Scenario Results'!J226&gt;=1,"ADEQUATE","GAP"),1,0)</x:f>
        <x:v>1</x:v>
      </x:c>
      <x:c r="F567" s="21" t="n">
        <x:v>1</x:v>
      </x:c>
      <x:c r="G567" s="23" t="str">
        <x:f>IF(E567=F567,"PASS","FAIL")</x:f>
        <x:v>PASS</x:v>
      </x:c>
    </x:row>
    <x:row r="568">
      <x:c r="B568" s="21" t="str">
        <x:v>A00562</x:v>
      </x:c>
      <x:c r="C568" s="21" t="str">
        <x:v>scenario</x:v>
      </x:c>
      <x:c r="D568" s="21" t="str">
        <x:v>scenario result 221 conservation</x:v>
      </x:c>
      <x:c r="E568" s="21" t="n">
        <x:f>IF(AND(ABS('Scenario Results'!I227-MIN('Scenario Results'!E227,'Scenario Results'!H227))&lt;0.000001,'Scenario Results'!I227&lt;='Scenario Results'!E227),1,0)</x:f>
        <x:v>1</x:v>
      </x:c>
      <x:c r="F568" s="21" t="n">
        <x:v>1</x:v>
      </x:c>
      <x:c r="G568" s="23" t="str">
        <x:f>IF(E568=F568,"PASS","FAIL")</x:f>
        <x:v>PASS</x:v>
      </x:c>
    </x:row>
    <x:row r="569">
      <x:c r="B569" s="21" t="str">
        <x:v>A00563</x:v>
      </x:c>
      <x:c r="C569" s="21" t="str">
        <x:v>scenario</x:v>
      </x:c>
      <x:c r="D569" s="21" t="str">
        <x:v>scenario result 221 state</x:v>
      </x:c>
      <x:c r="E569" s="21" t="n">
        <x:f>IF('Scenario Results'!K227=IF('Scenario Results'!J227&gt;=1,"ADEQUATE","GAP"),1,0)</x:f>
        <x:v>1</x:v>
      </x:c>
      <x:c r="F569" s="21" t="n">
        <x:v>1</x:v>
      </x:c>
      <x:c r="G569" s="23" t="str">
        <x:f>IF(E569=F569,"PASS","FAIL")</x:f>
        <x:v>PASS</x:v>
      </x:c>
    </x:row>
    <x:row r="570">
      <x:c r="B570" s="21" t="str">
        <x:v>A00564</x:v>
      </x:c>
      <x:c r="C570" s="21" t="str">
        <x:v>scenario</x:v>
      </x:c>
      <x:c r="D570" s="21" t="str">
        <x:v>scenario result 222 conservation</x:v>
      </x:c>
      <x:c r="E570" s="21" t="n">
        <x:f>IF(AND(ABS('Scenario Results'!I228-MIN('Scenario Results'!E228,'Scenario Results'!H228))&lt;0.000001,'Scenario Results'!I228&lt;='Scenario Results'!E228),1,0)</x:f>
        <x:v>1</x:v>
      </x:c>
      <x:c r="F570" s="21" t="n">
        <x:v>1</x:v>
      </x:c>
      <x:c r="G570" s="23" t="str">
        <x:f>IF(E570=F570,"PASS","FAIL")</x:f>
        <x:v>PASS</x:v>
      </x:c>
    </x:row>
    <x:row r="571">
      <x:c r="B571" s="21" t="str">
        <x:v>A00565</x:v>
      </x:c>
      <x:c r="C571" s="21" t="str">
        <x:v>scenario</x:v>
      </x:c>
      <x:c r="D571" s="21" t="str">
        <x:v>scenario result 222 state</x:v>
      </x:c>
      <x:c r="E571" s="21" t="n">
        <x:f>IF('Scenario Results'!K228=IF('Scenario Results'!J228&gt;=1,"ADEQUATE","GAP"),1,0)</x:f>
        <x:v>1</x:v>
      </x:c>
      <x:c r="F571" s="21" t="n">
        <x:v>1</x:v>
      </x:c>
      <x:c r="G571" s="23" t="str">
        <x:f>IF(E571=F571,"PASS","FAIL")</x:f>
        <x:v>PASS</x:v>
      </x:c>
    </x:row>
    <x:row r="572">
      <x:c r="B572" s="21" t="str">
        <x:v>A00566</x:v>
      </x:c>
      <x:c r="C572" s="21" t="str">
        <x:v>scenario</x:v>
      </x:c>
      <x:c r="D572" s="21" t="str">
        <x:v>scenario result 223 conservation</x:v>
      </x:c>
      <x:c r="E572" s="21" t="n">
        <x:f>IF(AND(ABS('Scenario Results'!I229-MIN('Scenario Results'!E229,'Scenario Results'!H229))&lt;0.000001,'Scenario Results'!I229&lt;='Scenario Results'!E229),1,0)</x:f>
        <x:v>1</x:v>
      </x:c>
      <x:c r="F572" s="21" t="n">
        <x:v>1</x:v>
      </x:c>
      <x:c r="G572" s="23" t="str">
        <x:f>IF(E572=F572,"PASS","FAIL")</x:f>
        <x:v>PASS</x:v>
      </x:c>
    </x:row>
    <x:row r="573">
      <x:c r="B573" s="21" t="str">
        <x:v>A00567</x:v>
      </x:c>
      <x:c r="C573" s="21" t="str">
        <x:v>scenario</x:v>
      </x:c>
      <x:c r="D573" s="21" t="str">
        <x:v>scenario result 223 state</x:v>
      </x:c>
      <x:c r="E573" s="21" t="n">
        <x:f>IF('Scenario Results'!K229=IF('Scenario Results'!J229&gt;=1,"ADEQUATE","GAP"),1,0)</x:f>
        <x:v>1</x:v>
      </x:c>
      <x:c r="F573" s="21" t="n">
        <x:v>1</x:v>
      </x:c>
      <x:c r="G573" s="23" t="str">
        <x:f>IF(E573=F573,"PASS","FAIL")</x:f>
        <x:v>PASS</x:v>
      </x:c>
    </x:row>
    <x:row r="574">
      <x:c r="B574" s="21" t="str">
        <x:v>A00568</x:v>
      </x:c>
      <x:c r="C574" s="21" t="str">
        <x:v>scenario</x:v>
      </x:c>
      <x:c r="D574" s="21" t="str">
        <x:v>scenario result 224 conservation</x:v>
      </x:c>
      <x:c r="E574" s="21" t="n">
        <x:f>IF(AND(ABS('Scenario Results'!I230-MIN('Scenario Results'!E230,'Scenario Results'!H230))&lt;0.000001,'Scenario Results'!I230&lt;='Scenario Results'!E230),1,0)</x:f>
        <x:v>1</x:v>
      </x:c>
      <x:c r="F574" s="21" t="n">
        <x:v>1</x:v>
      </x:c>
      <x:c r="G574" s="23" t="str">
        <x:f>IF(E574=F574,"PASS","FAIL")</x:f>
        <x:v>PASS</x:v>
      </x:c>
    </x:row>
    <x:row r="575">
      <x:c r="B575" s="21" t="str">
        <x:v>A00569</x:v>
      </x:c>
      <x:c r="C575" s="21" t="str">
        <x:v>scenario</x:v>
      </x:c>
      <x:c r="D575" s="21" t="str">
        <x:v>scenario result 224 state</x:v>
      </x:c>
      <x:c r="E575" s="21" t="n">
        <x:f>IF('Scenario Results'!K230=IF('Scenario Results'!J230&gt;=1,"ADEQUATE","GAP"),1,0)</x:f>
        <x:v>1</x:v>
      </x:c>
      <x:c r="F575" s="21" t="n">
        <x:v>1</x:v>
      </x:c>
      <x:c r="G575" s="23" t="str">
        <x:f>IF(E575=F575,"PASS","FAIL")</x:f>
        <x:v>PASS</x:v>
      </x:c>
    </x:row>
    <x:row r="576">
      <x:c r="B576" s="21" t="str">
        <x:v>A00570</x:v>
      </x:c>
      <x:c r="C576" s="21" t="str">
        <x:v>scenario</x:v>
      </x:c>
      <x:c r="D576" s="21" t="str">
        <x:v>scenario result 225 conservation</x:v>
      </x:c>
      <x:c r="E576" s="21" t="n">
        <x:f>IF(AND(ABS('Scenario Results'!I231-MIN('Scenario Results'!E231,'Scenario Results'!H231))&lt;0.000001,'Scenario Results'!I231&lt;='Scenario Results'!E231),1,0)</x:f>
        <x:v>1</x:v>
      </x:c>
      <x:c r="F576" s="21" t="n">
        <x:v>1</x:v>
      </x:c>
      <x:c r="G576" s="23" t="str">
        <x:f>IF(E576=F576,"PASS","FAIL")</x:f>
        <x:v>PASS</x:v>
      </x:c>
    </x:row>
    <x:row r="577">
      <x:c r="B577" s="21" t="str">
        <x:v>A00571</x:v>
      </x:c>
      <x:c r="C577" s="21" t="str">
        <x:v>scenario</x:v>
      </x:c>
      <x:c r="D577" s="21" t="str">
        <x:v>scenario result 225 state</x:v>
      </x:c>
      <x:c r="E577" s="21" t="n">
        <x:f>IF('Scenario Results'!K231=IF('Scenario Results'!J231&gt;=1,"ADEQUATE","GAP"),1,0)</x:f>
        <x:v>1</x:v>
      </x:c>
      <x:c r="F577" s="21" t="n">
        <x:v>1</x:v>
      </x:c>
      <x:c r="G577" s="23" t="str">
        <x:f>IF(E577=F577,"PASS","FAIL")</x:f>
        <x:v>PASS</x:v>
      </x:c>
    </x:row>
    <x:row r="578">
      <x:c r="B578" s="21" t="str">
        <x:v>A00572</x:v>
      </x:c>
      <x:c r="C578" s="21" t="str">
        <x:v>scenario</x:v>
      </x:c>
      <x:c r="D578" s="21" t="str">
        <x:v>scenario result 226 conservation</x:v>
      </x:c>
      <x:c r="E578" s="21" t="n">
        <x:f>IF(AND(ABS('Scenario Results'!I232-MIN('Scenario Results'!E232,'Scenario Results'!H232))&lt;0.000001,'Scenario Results'!I232&lt;='Scenario Results'!E232),1,0)</x:f>
        <x:v>1</x:v>
      </x:c>
      <x:c r="F578" s="21" t="n">
        <x:v>1</x:v>
      </x:c>
      <x:c r="G578" s="23" t="str">
        <x:f>IF(E578=F578,"PASS","FAIL")</x:f>
        <x:v>PASS</x:v>
      </x:c>
    </x:row>
    <x:row r="579">
      <x:c r="B579" s="21" t="str">
        <x:v>A00573</x:v>
      </x:c>
      <x:c r="C579" s="21" t="str">
        <x:v>scenario</x:v>
      </x:c>
      <x:c r="D579" s="21" t="str">
        <x:v>scenario result 226 state</x:v>
      </x:c>
      <x:c r="E579" s="21" t="n">
        <x:f>IF('Scenario Results'!K232=IF('Scenario Results'!J232&gt;=1,"ADEQUATE","GAP"),1,0)</x:f>
        <x:v>1</x:v>
      </x:c>
      <x:c r="F579" s="21" t="n">
        <x:v>1</x:v>
      </x:c>
      <x:c r="G579" s="23" t="str">
        <x:f>IF(E579=F579,"PASS","FAIL")</x:f>
        <x:v>PASS</x:v>
      </x:c>
    </x:row>
    <x:row r="580">
      <x:c r="B580" s="21" t="str">
        <x:v>A00574</x:v>
      </x:c>
      <x:c r="C580" s="21" t="str">
        <x:v>scenario</x:v>
      </x:c>
      <x:c r="D580" s="21" t="str">
        <x:v>scenario result 227 conservation</x:v>
      </x:c>
      <x:c r="E580" s="21" t="n">
        <x:f>IF(AND(ABS('Scenario Results'!I233-MIN('Scenario Results'!E233,'Scenario Results'!H233))&lt;0.000001,'Scenario Results'!I233&lt;='Scenario Results'!E233),1,0)</x:f>
        <x:v>1</x:v>
      </x:c>
      <x:c r="F580" s="21" t="n">
        <x:v>1</x:v>
      </x:c>
      <x:c r="G580" s="23" t="str">
        <x:f>IF(E580=F580,"PASS","FAIL")</x:f>
        <x:v>PASS</x:v>
      </x:c>
    </x:row>
    <x:row r="581">
      <x:c r="B581" s="21" t="str">
        <x:v>A00575</x:v>
      </x:c>
      <x:c r="C581" s="21" t="str">
        <x:v>scenario</x:v>
      </x:c>
      <x:c r="D581" s="21" t="str">
        <x:v>scenario result 227 state</x:v>
      </x:c>
      <x:c r="E581" s="21" t="n">
        <x:f>IF('Scenario Results'!K233=IF('Scenario Results'!J233&gt;=1,"ADEQUATE","GAP"),1,0)</x:f>
        <x:v>1</x:v>
      </x:c>
      <x:c r="F581" s="21" t="n">
        <x:v>1</x:v>
      </x:c>
      <x:c r="G581" s="23" t="str">
        <x:f>IF(E581=F581,"PASS","FAIL")</x:f>
        <x:v>PASS</x:v>
      </x:c>
    </x:row>
    <x:row r="582">
      <x:c r="B582" s="21" t="str">
        <x:v>A00576</x:v>
      </x:c>
      <x:c r="C582" s="21" t="str">
        <x:v>scenario</x:v>
      </x:c>
      <x:c r="D582" s="21" t="str">
        <x:v>scenario result 228 conservation</x:v>
      </x:c>
      <x:c r="E582" s="21" t="n">
        <x:f>IF(AND(ABS('Scenario Results'!I234-MIN('Scenario Results'!E234,'Scenario Results'!H234))&lt;0.000001,'Scenario Results'!I234&lt;='Scenario Results'!E234),1,0)</x:f>
        <x:v>1</x:v>
      </x:c>
      <x:c r="F582" s="21" t="n">
        <x:v>1</x:v>
      </x:c>
      <x:c r="G582" s="23" t="str">
        <x:f>IF(E582=F582,"PASS","FAIL")</x:f>
        <x:v>PASS</x:v>
      </x:c>
    </x:row>
    <x:row r="583">
      <x:c r="B583" s="21" t="str">
        <x:v>A00577</x:v>
      </x:c>
      <x:c r="C583" s="21" t="str">
        <x:v>scenario</x:v>
      </x:c>
      <x:c r="D583" s="21" t="str">
        <x:v>scenario result 228 state</x:v>
      </x:c>
      <x:c r="E583" s="21" t="n">
        <x:f>IF('Scenario Results'!K234=IF('Scenario Results'!J234&gt;=1,"ADEQUATE","GAP"),1,0)</x:f>
        <x:v>1</x:v>
      </x:c>
      <x:c r="F583" s="21" t="n">
        <x:v>1</x:v>
      </x:c>
      <x:c r="G583" s="23" t="str">
        <x:f>IF(E583=F583,"PASS","FAIL")</x:f>
        <x:v>PASS</x:v>
      </x:c>
    </x:row>
    <x:row r="584">
      <x:c r="B584" s="21" t="str">
        <x:v>A00578</x:v>
      </x:c>
      <x:c r="C584" s="21" t="str">
        <x:v>scenario</x:v>
      </x:c>
      <x:c r="D584" s="21" t="str">
        <x:v>scenario result 229 conservation</x:v>
      </x:c>
      <x:c r="E584" s="21" t="n">
        <x:f>IF(AND(ABS('Scenario Results'!I235-MIN('Scenario Results'!E235,'Scenario Results'!H235))&lt;0.000001,'Scenario Results'!I235&lt;='Scenario Results'!E235),1,0)</x:f>
        <x:v>1</x:v>
      </x:c>
      <x:c r="F584" s="21" t="n">
        <x:v>1</x:v>
      </x:c>
      <x:c r="G584" s="23" t="str">
        <x:f>IF(E584=F584,"PASS","FAIL")</x:f>
        <x:v>PASS</x:v>
      </x:c>
    </x:row>
    <x:row r="585">
      <x:c r="B585" s="21" t="str">
        <x:v>A00579</x:v>
      </x:c>
      <x:c r="C585" s="21" t="str">
        <x:v>scenario</x:v>
      </x:c>
      <x:c r="D585" s="21" t="str">
        <x:v>scenario result 229 state</x:v>
      </x:c>
      <x:c r="E585" s="21" t="n">
        <x:f>IF('Scenario Results'!K235=IF('Scenario Results'!J235&gt;=1,"ADEQUATE","GAP"),1,0)</x:f>
        <x:v>1</x:v>
      </x:c>
      <x:c r="F585" s="21" t="n">
        <x:v>1</x:v>
      </x:c>
      <x:c r="G585" s="23" t="str">
        <x:f>IF(E585=F585,"PASS","FAIL")</x:f>
        <x:v>PASS</x:v>
      </x:c>
    </x:row>
    <x:row r="586">
      <x:c r="B586" s="21" t="str">
        <x:v>A00580</x:v>
      </x:c>
      <x:c r="C586" s="21" t="str">
        <x:v>scenario</x:v>
      </x:c>
      <x:c r="D586" s="21" t="str">
        <x:v>scenario result 230 conservation</x:v>
      </x:c>
      <x:c r="E586" s="21" t="n">
        <x:f>IF(AND(ABS('Scenario Results'!I236-MIN('Scenario Results'!E236,'Scenario Results'!H236))&lt;0.000001,'Scenario Results'!I236&lt;='Scenario Results'!E236),1,0)</x:f>
        <x:v>1</x:v>
      </x:c>
      <x:c r="F586" s="21" t="n">
        <x:v>1</x:v>
      </x:c>
      <x:c r="G586" s="23" t="str">
        <x:f>IF(E586=F586,"PASS","FAIL")</x:f>
        <x:v>PASS</x:v>
      </x:c>
    </x:row>
    <x:row r="587">
      <x:c r="B587" s="21" t="str">
        <x:v>A00581</x:v>
      </x:c>
      <x:c r="C587" s="21" t="str">
        <x:v>scenario</x:v>
      </x:c>
      <x:c r="D587" s="21" t="str">
        <x:v>scenario result 230 state</x:v>
      </x:c>
      <x:c r="E587" s="21" t="n">
        <x:f>IF('Scenario Results'!K236=IF('Scenario Results'!J236&gt;=1,"ADEQUATE","GAP"),1,0)</x:f>
        <x:v>1</x:v>
      </x:c>
      <x:c r="F587" s="21" t="n">
        <x:v>1</x:v>
      </x:c>
      <x:c r="G587" s="23" t="str">
        <x:f>IF(E587=F587,"PASS","FAIL")</x:f>
        <x:v>PASS</x:v>
      </x:c>
    </x:row>
    <x:row r="588">
      <x:c r="B588" s="21" t="str">
        <x:v>A00582</x:v>
      </x:c>
      <x:c r="C588" s="21" t="str">
        <x:v>scenario</x:v>
      </x:c>
      <x:c r="D588" s="21" t="str">
        <x:v>scenario result 231 conservation</x:v>
      </x:c>
      <x:c r="E588" s="21" t="n">
        <x:f>IF(AND(ABS('Scenario Results'!I237-MIN('Scenario Results'!E237,'Scenario Results'!H237))&lt;0.000001,'Scenario Results'!I237&lt;='Scenario Results'!E237),1,0)</x:f>
        <x:v>1</x:v>
      </x:c>
      <x:c r="F588" s="21" t="n">
        <x:v>1</x:v>
      </x:c>
      <x:c r="G588" s="23" t="str">
        <x:f>IF(E588=F588,"PASS","FAIL")</x:f>
        <x:v>PASS</x:v>
      </x:c>
    </x:row>
    <x:row r="589">
      <x:c r="B589" s="21" t="str">
        <x:v>A00583</x:v>
      </x:c>
      <x:c r="C589" s="21" t="str">
        <x:v>scenario</x:v>
      </x:c>
      <x:c r="D589" s="21" t="str">
        <x:v>scenario result 231 state</x:v>
      </x:c>
      <x:c r="E589" s="21" t="n">
        <x:f>IF('Scenario Results'!K237=IF('Scenario Results'!J237&gt;=1,"ADEQUATE","GAP"),1,0)</x:f>
        <x:v>1</x:v>
      </x:c>
      <x:c r="F589" s="21" t="n">
        <x:v>1</x:v>
      </x:c>
      <x:c r="G589" s="23" t="str">
        <x:f>IF(E589=F589,"PASS","FAIL")</x:f>
        <x:v>PASS</x:v>
      </x:c>
    </x:row>
    <x:row r="590">
      <x:c r="B590" s="21" t="str">
        <x:v>A00584</x:v>
      </x:c>
      <x:c r="C590" s="21" t="str">
        <x:v>scenario</x:v>
      </x:c>
      <x:c r="D590" s="21" t="str">
        <x:v>scenario result 232 conservation</x:v>
      </x:c>
      <x:c r="E590" s="21" t="n">
        <x:f>IF(AND(ABS('Scenario Results'!I238-MIN('Scenario Results'!E238,'Scenario Results'!H238))&lt;0.000001,'Scenario Results'!I238&lt;='Scenario Results'!E238),1,0)</x:f>
        <x:v>1</x:v>
      </x:c>
      <x:c r="F590" s="21" t="n">
        <x:v>1</x:v>
      </x:c>
      <x:c r="G590" s="23" t="str">
        <x:f>IF(E590=F590,"PASS","FAIL")</x:f>
        <x:v>PASS</x:v>
      </x:c>
    </x:row>
    <x:row r="591">
      <x:c r="B591" s="21" t="str">
        <x:v>A00585</x:v>
      </x:c>
      <x:c r="C591" s="21" t="str">
        <x:v>scenario</x:v>
      </x:c>
      <x:c r="D591" s="21" t="str">
        <x:v>scenario result 232 state</x:v>
      </x:c>
      <x:c r="E591" s="21" t="n">
        <x:f>IF('Scenario Results'!K238=IF('Scenario Results'!J238&gt;=1,"ADEQUATE","GAP"),1,0)</x:f>
        <x:v>1</x:v>
      </x:c>
      <x:c r="F591" s="21" t="n">
        <x:v>1</x:v>
      </x:c>
      <x:c r="G591" s="23" t="str">
        <x:f>IF(E591=F591,"PASS","FAIL")</x:f>
        <x:v>PASS</x:v>
      </x:c>
    </x:row>
    <x:row r="592">
      <x:c r="B592" s="21" t="str">
        <x:v>A00586</x:v>
      </x:c>
      <x:c r="C592" s="21" t="str">
        <x:v>scenario</x:v>
      </x:c>
      <x:c r="D592" s="21" t="str">
        <x:v>scenario result 233 conservation</x:v>
      </x:c>
      <x:c r="E592" s="21" t="n">
        <x:f>IF(AND(ABS('Scenario Results'!I239-MIN('Scenario Results'!E239,'Scenario Results'!H239))&lt;0.000001,'Scenario Results'!I239&lt;='Scenario Results'!E239),1,0)</x:f>
        <x:v>1</x:v>
      </x:c>
      <x:c r="F592" s="21" t="n">
        <x:v>1</x:v>
      </x:c>
      <x:c r="G592" s="23" t="str">
        <x:f>IF(E592=F592,"PASS","FAIL")</x:f>
        <x:v>PASS</x:v>
      </x:c>
    </x:row>
    <x:row r="593">
      <x:c r="B593" s="21" t="str">
        <x:v>A00587</x:v>
      </x:c>
      <x:c r="C593" s="21" t="str">
        <x:v>scenario</x:v>
      </x:c>
      <x:c r="D593" s="21" t="str">
        <x:v>scenario result 233 state</x:v>
      </x:c>
      <x:c r="E593" s="21" t="n">
        <x:f>IF('Scenario Results'!K239=IF('Scenario Results'!J239&gt;=1,"ADEQUATE","GAP"),1,0)</x:f>
        <x:v>1</x:v>
      </x:c>
      <x:c r="F593" s="21" t="n">
        <x:v>1</x:v>
      </x:c>
      <x:c r="G593" s="23" t="str">
        <x:f>IF(E593=F593,"PASS","FAIL")</x:f>
        <x:v>PASS</x:v>
      </x:c>
    </x:row>
    <x:row r="594">
      <x:c r="B594" s="21" t="str">
        <x:v>A00588</x:v>
      </x:c>
      <x:c r="C594" s="21" t="str">
        <x:v>scenario</x:v>
      </x:c>
      <x:c r="D594" s="21" t="str">
        <x:v>scenario result 234 conservation</x:v>
      </x:c>
      <x:c r="E594" s="21" t="n">
        <x:f>IF(AND(ABS('Scenario Results'!I240-MIN('Scenario Results'!E240,'Scenario Results'!H240))&lt;0.000001,'Scenario Results'!I240&lt;='Scenario Results'!E240),1,0)</x:f>
        <x:v>1</x:v>
      </x:c>
      <x:c r="F594" s="21" t="n">
        <x:v>1</x:v>
      </x:c>
      <x:c r="G594" s="23" t="str">
        <x:f>IF(E594=F594,"PASS","FAIL")</x:f>
        <x:v>PASS</x:v>
      </x:c>
    </x:row>
    <x:row r="595">
      <x:c r="B595" s="21" t="str">
        <x:v>A00589</x:v>
      </x:c>
      <x:c r="C595" s="21" t="str">
        <x:v>scenario</x:v>
      </x:c>
      <x:c r="D595" s="21" t="str">
        <x:v>scenario result 234 state</x:v>
      </x:c>
      <x:c r="E595" s="21" t="n">
        <x:f>IF('Scenario Results'!K240=IF('Scenario Results'!J240&gt;=1,"ADEQUATE","GAP"),1,0)</x:f>
        <x:v>1</x:v>
      </x:c>
      <x:c r="F595" s="21" t="n">
        <x:v>1</x:v>
      </x:c>
      <x:c r="G595" s="23" t="str">
        <x:f>IF(E595=F595,"PASS","FAIL")</x:f>
        <x:v>PASS</x:v>
      </x:c>
    </x:row>
    <x:row r="596">
      <x:c r="B596" s="21" t="str">
        <x:v>A00590</x:v>
      </x:c>
      <x:c r="C596" s="21" t="str">
        <x:v>scenario</x:v>
      </x:c>
      <x:c r="D596" s="21" t="str">
        <x:v>scenario result 235 conservation</x:v>
      </x:c>
      <x:c r="E596" s="21" t="n">
        <x:f>IF(AND(ABS('Scenario Results'!I241-MIN('Scenario Results'!E241,'Scenario Results'!H241))&lt;0.000001,'Scenario Results'!I241&lt;='Scenario Results'!E241),1,0)</x:f>
        <x:v>1</x:v>
      </x:c>
      <x:c r="F596" s="21" t="n">
        <x:v>1</x:v>
      </x:c>
      <x:c r="G596" s="23" t="str">
        <x:f>IF(E596=F596,"PASS","FAIL")</x:f>
        <x:v>PASS</x:v>
      </x:c>
    </x:row>
    <x:row r="597">
      <x:c r="B597" s="21" t="str">
        <x:v>A00591</x:v>
      </x:c>
      <x:c r="C597" s="21" t="str">
        <x:v>scenario</x:v>
      </x:c>
      <x:c r="D597" s="21" t="str">
        <x:v>scenario result 235 state</x:v>
      </x:c>
      <x:c r="E597" s="21" t="n">
        <x:f>IF('Scenario Results'!K241=IF('Scenario Results'!J241&gt;=1,"ADEQUATE","GAP"),1,0)</x:f>
        <x:v>1</x:v>
      </x:c>
      <x:c r="F597" s="21" t="n">
        <x:v>1</x:v>
      </x:c>
      <x:c r="G597" s="23" t="str">
        <x:f>IF(E597=F597,"PASS","FAIL")</x:f>
        <x:v>PASS</x:v>
      </x:c>
    </x:row>
    <x:row r="598">
      <x:c r="B598" s="21" t="str">
        <x:v>A00592</x:v>
      </x:c>
      <x:c r="C598" s="21" t="str">
        <x:v>scenario</x:v>
      </x:c>
      <x:c r="D598" s="21" t="str">
        <x:v>scenario result 236 conservation</x:v>
      </x:c>
      <x:c r="E598" s="21" t="n">
        <x:f>IF(AND(ABS('Scenario Results'!I242-MIN('Scenario Results'!E242,'Scenario Results'!H242))&lt;0.000001,'Scenario Results'!I242&lt;='Scenario Results'!E242),1,0)</x:f>
        <x:v>1</x:v>
      </x:c>
      <x:c r="F598" s="21" t="n">
        <x:v>1</x:v>
      </x:c>
      <x:c r="G598" s="23" t="str">
        <x:f>IF(E598=F598,"PASS","FAIL")</x:f>
        <x:v>PASS</x:v>
      </x:c>
    </x:row>
    <x:row r="599">
      <x:c r="B599" s="21" t="str">
        <x:v>A00593</x:v>
      </x:c>
      <x:c r="C599" s="21" t="str">
        <x:v>scenario</x:v>
      </x:c>
      <x:c r="D599" s="21" t="str">
        <x:v>scenario result 236 state</x:v>
      </x:c>
      <x:c r="E599" s="21" t="n">
        <x:f>IF('Scenario Results'!K242=IF('Scenario Results'!J242&gt;=1,"ADEQUATE","GAP"),1,0)</x:f>
        <x:v>1</x:v>
      </x:c>
      <x:c r="F599" s="21" t="n">
        <x:v>1</x:v>
      </x:c>
      <x:c r="G599" s="23" t="str">
        <x:f>IF(E599=F599,"PASS","FAIL")</x:f>
        <x:v>PASS</x:v>
      </x:c>
    </x:row>
    <x:row r="600">
      <x:c r="B600" s="21" t="str">
        <x:v>A00594</x:v>
      </x:c>
      <x:c r="C600" s="21" t="str">
        <x:v>scenario</x:v>
      </x:c>
      <x:c r="D600" s="21" t="str">
        <x:v>scenario result 237 conservation</x:v>
      </x:c>
      <x:c r="E600" s="21" t="n">
        <x:f>IF(AND(ABS('Scenario Results'!I243-MIN('Scenario Results'!E243,'Scenario Results'!H243))&lt;0.000001,'Scenario Results'!I243&lt;='Scenario Results'!E243),1,0)</x:f>
        <x:v>1</x:v>
      </x:c>
      <x:c r="F600" s="21" t="n">
        <x:v>1</x:v>
      </x:c>
      <x:c r="G600" s="23" t="str">
        <x:f>IF(E600=F600,"PASS","FAIL")</x:f>
        <x:v>PASS</x:v>
      </x:c>
    </x:row>
    <x:row r="601">
      <x:c r="B601" s="21" t="str">
        <x:v>A00595</x:v>
      </x:c>
      <x:c r="C601" s="21" t="str">
        <x:v>scenario</x:v>
      </x:c>
      <x:c r="D601" s="21" t="str">
        <x:v>scenario result 237 state</x:v>
      </x:c>
      <x:c r="E601" s="21" t="n">
        <x:f>IF('Scenario Results'!K243=IF('Scenario Results'!J243&gt;=1,"ADEQUATE","GAP"),1,0)</x:f>
        <x:v>1</x:v>
      </x:c>
      <x:c r="F601" s="21" t="n">
        <x:v>1</x:v>
      </x:c>
      <x:c r="G601" s="23" t="str">
        <x:f>IF(E601=F601,"PASS","FAIL")</x:f>
        <x:v>PASS</x:v>
      </x:c>
    </x:row>
    <x:row r="602">
      <x:c r="B602" s="21" t="str">
        <x:v>A00596</x:v>
      </x:c>
      <x:c r="C602" s="21" t="str">
        <x:v>scenario</x:v>
      </x:c>
      <x:c r="D602" s="21" t="str">
        <x:v>scenario result 238 conservation</x:v>
      </x:c>
      <x:c r="E602" s="21" t="n">
        <x:f>IF(AND(ABS('Scenario Results'!I244-MIN('Scenario Results'!E244,'Scenario Results'!H244))&lt;0.000001,'Scenario Results'!I244&lt;='Scenario Results'!E244),1,0)</x:f>
        <x:v>1</x:v>
      </x:c>
      <x:c r="F602" s="21" t="n">
        <x:v>1</x:v>
      </x:c>
      <x:c r="G602" s="23" t="str">
        <x:f>IF(E602=F602,"PASS","FAIL")</x:f>
        <x:v>PASS</x:v>
      </x:c>
    </x:row>
    <x:row r="603">
      <x:c r="B603" s="21" t="str">
        <x:v>A00597</x:v>
      </x:c>
      <x:c r="C603" s="21" t="str">
        <x:v>scenario</x:v>
      </x:c>
      <x:c r="D603" s="21" t="str">
        <x:v>scenario result 238 state</x:v>
      </x:c>
      <x:c r="E603" s="21" t="n">
        <x:f>IF('Scenario Results'!K244=IF('Scenario Results'!J244&gt;=1,"ADEQUATE","GAP"),1,0)</x:f>
        <x:v>1</x:v>
      </x:c>
      <x:c r="F603" s="21" t="n">
        <x:v>1</x:v>
      </x:c>
      <x:c r="G603" s="23" t="str">
        <x:f>IF(E603=F603,"PASS","FAIL")</x:f>
        <x:v>PASS</x:v>
      </x:c>
    </x:row>
    <x:row r="604">
      <x:c r="B604" s="21" t="str">
        <x:v>A00598</x:v>
      </x:c>
      <x:c r="C604" s="21" t="str">
        <x:v>scenario</x:v>
      </x:c>
      <x:c r="D604" s="21" t="str">
        <x:v>scenario result 239 conservation</x:v>
      </x:c>
      <x:c r="E604" s="21" t="n">
        <x:f>IF(AND(ABS('Scenario Results'!I245-MIN('Scenario Results'!E245,'Scenario Results'!H245))&lt;0.000001,'Scenario Results'!I245&lt;='Scenario Results'!E245),1,0)</x:f>
        <x:v>1</x:v>
      </x:c>
      <x:c r="F604" s="21" t="n">
        <x:v>1</x:v>
      </x:c>
      <x:c r="G604" s="23" t="str">
        <x:f>IF(E604=F604,"PASS","FAIL")</x:f>
        <x:v>PASS</x:v>
      </x:c>
    </x:row>
    <x:row r="605">
      <x:c r="B605" s="21" t="str">
        <x:v>A00599</x:v>
      </x:c>
      <x:c r="C605" s="21" t="str">
        <x:v>scenario</x:v>
      </x:c>
      <x:c r="D605" s="21" t="str">
        <x:v>scenario result 239 state</x:v>
      </x:c>
      <x:c r="E605" s="21" t="n">
        <x:f>IF('Scenario Results'!K245=IF('Scenario Results'!J245&gt;=1,"ADEQUATE","GAP"),1,0)</x:f>
        <x:v>1</x:v>
      </x:c>
      <x:c r="F605" s="21" t="n">
        <x:v>1</x:v>
      </x:c>
      <x:c r="G605" s="23" t="str">
        <x:f>IF(E605=F605,"PASS","FAIL")</x:f>
        <x:v>PASS</x:v>
      </x:c>
    </x:row>
    <x:row r="606">
      <x:c r="B606" s="21" t="str">
        <x:v>A00600</x:v>
      </x:c>
      <x:c r="C606" s="21" t="str">
        <x:v>scenario</x:v>
      </x:c>
      <x:c r="D606" s="21" t="str">
        <x:v>scenario result 240 conservation</x:v>
      </x:c>
      <x:c r="E606" s="21" t="n">
        <x:f>IF(AND(ABS('Scenario Results'!I246-MIN('Scenario Results'!E246,'Scenario Results'!H246))&lt;0.000001,'Scenario Results'!I246&lt;='Scenario Results'!E246),1,0)</x:f>
        <x:v>1</x:v>
      </x:c>
      <x:c r="F606" s="21" t="n">
        <x:v>1</x:v>
      </x:c>
      <x:c r="G606" s="23" t="str">
        <x:f>IF(E606=F606,"PASS","FAIL")</x:f>
        <x:v>PASS</x:v>
      </x:c>
    </x:row>
    <x:row r="607">
      <x:c r="B607" s="21" t="str">
        <x:v>A00601</x:v>
      </x:c>
      <x:c r="C607" s="21" t="str">
        <x:v>scenario</x:v>
      </x:c>
      <x:c r="D607" s="21" t="str">
        <x:v>scenario result 240 state</x:v>
      </x:c>
      <x:c r="E607" s="21" t="n">
        <x:f>IF('Scenario Results'!K246=IF('Scenario Results'!J246&gt;=1,"ADEQUATE","GAP"),1,0)</x:f>
        <x:v>1</x:v>
      </x:c>
      <x:c r="F607" s="21" t="n">
        <x:v>1</x:v>
      </x:c>
      <x:c r="G607" s="23" t="str">
        <x:f>IF(E607=F607,"PASS","FAIL")</x:f>
        <x:v>PASS</x:v>
      </x:c>
    </x:row>
    <x:row r="608">
      <x:c r="B608" s="21" t="str">
        <x:v>A00602</x:v>
      </x:c>
      <x:c r="C608" s="21" t="str">
        <x:v>scenario</x:v>
      </x:c>
      <x:c r="D608" s="21" t="str">
        <x:v>scenario result 241 conservation</x:v>
      </x:c>
      <x:c r="E608" s="21" t="n">
        <x:f>IF(AND(ABS('Scenario Results'!I247-MIN('Scenario Results'!E247,'Scenario Results'!H247))&lt;0.000001,'Scenario Results'!I247&lt;='Scenario Results'!E247),1,0)</x:f>
        <x:v>1</x:v>
      </x:c>
      <x:c r="F608" s="21" t="n">
        <x:v>1</x:v>
      </x:c>
      <x:c r="G608" s="23" t="str">
        <x:f>IF(E608=F608,"PASS","FAIL")</x:f>
        <x:v>PASS</x:v>
      </x:c>
    </x:row>
    <x:row r="609">
      <x:c r="B609" s="21" t="str">
        <x:v>A00603</x:v>
      </x:c>
      <x:c r="C609" s="21" t="str">
        <x:v>scenario</x:v>
      </x:c>
      <x:c r="D609" s="21" t="str">
        <x:v>scenario result 241 state</x:v>
      </x:c>
      <x:c r="E609" s="21" t="n">
        <x:f>IF('Scenario Results'!K247=IF('Scenario Results'!J247&gt;=1,"ADEQUATE","GAP"),1,0)</x:f>
        <x:v>1</x:v>
      </x:c>
      <x:c r="F609" s="21" t="n">
        <x:v>1</x:v>
      </x:c>
      <x:c r="G609" s="23" t="str">
        <x:f>IF(E609=F609,"PASS","FAIL")</x:f>
        <x:v>PASS</x:v>
      </x:c>
    </x:row>
    <x:row r="610">
      <x:c r="B610" s="21" t="str">
        <x:v>A00604</x:v>
      </x:c>
      <x:c r="C610" s="21" t="str">
        <x:v>scenario</x:v>
      </x:c>
      <x:c r="D610" s="21" t="str">
        <x:v>scenario result 242 conservation</x:v>
      </x:c>
      <x:c r="E610" s="21" t="n">
        <x:f>IF(AND(ABS('Scenario Results'!I248-MIN('Scenario Results'!E248,'Scenario Results'!H248))&lt;0.000001,'Scenario Results'!I248&lt;='Scenario Results'!E248),1,0)</x:f>
        <x:v>1</x:v>
      </x:c>
      <x:c r="F610" s="21" t="n">
        <x:v>1</x:v>
      </x:c>
      <x:c r="G610" s="23" t="str">
        <x:f>IF(E610=F610,"PASS","FAIL")</x:f>
        <x:v>PASS</x:v>
      </x:c>
    </x:row>
    <x:row r="611">
      <x:c r="B611" s="21" t="str">
        <x:v>A00605</x:v>
      </x:c>
      <x:c r="C611" s="21" t="str">
        <x:v>scenario</x:v>
      </x:c>
      <x:c r="D611" s="21" t="str">
        <x:v>scenario result 242 state</x:v>
      </x:c>
      <x:c r="E611" s="21" t="n">
        <x:f>IF('Scenario Results'!K248=IF('Scenario Results'!J248&gt;=1,"ADEQUATE","GAP"),1,0)</x:f>
        <x:v>1</x:v>
      </x:c>
      <x:c r="F611" s="21" t="n">
        <x:v>1</x:v>
      </x:c>
      <x:c r="G611" s="23" t="str">
        <x:f>IF(E611=F611,"PASS","FAIL")</x:f>
        <x:v>PASS</x:v>
      </x:c>
    </x:row>
    <x:row r="612">
      <x:c r="B612" s="21" t="str">
        <x:v>A00606</x:v>
      </x:c>
      <x:c r="C612" s="21" t="str">
        <x:v>scenario</x:v>
      </x:c>
      <x:c r="D612" s="21" t="str">
        <x:v>scenario result 243 conservation</x:v>
      </x:c>
      <x:c r="E612" s="21" t="n">
        <x:f>IF(AND(ABS('Scenario Results'!I249-MIN('Scenario Results'!E249,'Scenario Results'!H249))&lt;0.000001,'Scenario Results'!I249&lt;='Scenario Results'!E249),1,0)</x:f>
        <x:v>1</x:v>
      </x:c>
      <x:c r="F612" s="21" t="n">
        <x:v>1</x:v>
      </x:c>
      <x:c r="G612" s="23" t="str">
        <x:f>IF(E612=F612,"PASS","FAIL")</x:f>
        <x:v>PASS</x:v>
      </x:c>
    </x:row>
    <x:row r="613">
      <x:c r="B613" s="21" t="str">
        <x:v>A00607</x:v>
      </x:c>
      <x:c r="C613" s="21" t="str">
        <x:v>scenario</x:v>
      </x:c>
      <x:c r="D613" s="21" t="str">
        <x:v>scenario result 243 state</x:v>
      </x:c>
      <x:c r="E613" s="21" t="n">
        <x:f>IF('Scenario Results'!K249=IF('Scenario Results'!J249&gt;=1,"ADEQUATE","GAP"),1,0)</x:f>
        <x:v>1</x:v>
      </x:c>
      <x:c r="F613" s="21" t="n">
        <x:v>1</x:v>
      </x:c>
      <x:c r="G613" s="23" t="str">
        <x:f>IF(E613=F613,"PASS","FAIL")</x:f>
        <x:v>PASS</x:v>
      </x:c>
    </x:row>
    <x:row r="614">
      <x:c r="B614" s="21" t="str">
        <x:v>A00608</x:v>
      </x:c>
      <x:c r="C614" s="21" t="str">
        <x:v>scenario</x:v>
      </x:c>
      <x:c r="D614" s="21" t="str">
        <x:v>scenario result 244 conservation</x:v>
      </x:c>
      <x:c r="E614" s="21" t="n">
        <x:f>IF(AND(ABS('Scenario Results'!I250-MIN('Scenario Results'!E250,'Scenario Results'!H250))&lt;0.000001,'Scenario Results'!I250&lt;='Scenario Results'!E250),1,0)</x:f>
        <x:v>1</x:v>
      </x:c>
      <x:c r="F614" s="21" t="n">
        <x:v>1</x:v>
      </x:c>
      <x:c r="G614" s="23" t="str">
        <x:f>IF(E614=F614,"PASS","FAIL")</x:f>
        <x:v>PASS</x:v>
      </x:c>
    </x:row>
    <x:row r="615">
      <x:c r="B615" s="21" t="str">
        <x:v>A00609</x:v>
      </x:c>
      <x:c r="C615" s="21" t="str">
        <x:v>scenario</x:v>
      </x:c>
      <x:c r="D615" s="21" t="str">
        <x:v>scenario result 244 state</x:v>
      </x:c>
      <x:c r="E615" s="21" t="n">
        <x:f>IF('Scenario Results'!K250=IF('Scenario Results'!J250&gt;=1,"ADEQUATE","GAP"),1,0)</x:f>
        <x:v>1</x:v>
      </x:c>
      <x:c r="F615" s="21" t="n">
        <x:v>1</x:v>
      </x:c>
      <x:c r="G615" s="23" t="str">
        <x:f>IF(E615=F615,"PASS","FAIL")</x:f>
        <x:v>PASS</x:v>
      </x:c>
    </x:row>
    <x:row r="616">
      <x:c r="B616" s="21" t="str">
        <x:v>A00610</x:v>
      </x:c>
      <x:c r="C616" s="21" t="str">
        <x:v>scenario</x:v>
      </x:c>
      <x:c r="D616" s="21" t="str">
        <x:v>scenario result 245 conservation</x:v>
      </x:c>
      <x:c r="E616" s="21" t="n">
        <x:f>IF(AND(ABS('Scenario Results'!I251-MIN('Scenario Results'!E251,'Scenario Results'!H251))&lt;0.000001,'Scenario Results'!I251&lt;='Scenario Results'!E251),1,0)</x:f>
        <x:v>1</x:v>
      </x:c>
      <x:c r="F616" s="21" t="n">
        <x:v>1</x:v>
      </x:c>
      <x:c r="G616" s="23" t="str">
        <x:f>IF(E616=F616,"PASS","FAIL")</x:f>
        <x:v>PASS</x:v>
      </x:c>
    </x:row>
    <x:row r="617">
      <x:c r="B617" s="21" t="str">
        <x:v>A00611</x:v>
      </x:c>
      <x:c r="C617" s="21" t="str">
        <x:v>scenario</x:v>
      </x:c>
      <x:c r="D617" s="21" t="str">
        <x:v>scenario result 245 state</x:v>
      </x:c>
      <x:c r="E617" s="21" t="n">
        <x:f>IF('Scenario Results'!K251=IF('Scenario Results'!J251&gt;=1,"ADEQUATE","GAP"),1,0)</x:f>
        <x:v>1</x:v>
      </x:c>
      <x:c r="F617" s="21" t="n">
        <x:v>1</x:v>
      </x:c>
      <x:c r="G617" s="23" t="str">
        <x:f>IF(E617=F617,"PASS","FAIL")</x:f>
        <x:v>PASS</x:v>
      </x:c>
    </x:row>
    <x:row r="618">
      <x:c r="B618" s="21" t="str">
        <x:v>A00612</x:v>
      </x:c>
      <x:c r="C618" s="21" t="str">
        <x:v>scenario</x:v>
      </x:c>
      <x:c r="D618" s="21" t="str">
        <x:v>scenario result 246 conservation</x:v>
      </x:c>
      <x:c r="E618" s="21" t="n">
        <x:f>IF(AND(ABS('Scenario Results'!I252-MIN('Scenario Results'!E252,'Scenario Results'!H252))&lt;0.000001,'Scenario Results'!I252&lt;='Scenario Results'!E252),1,0)</x:f>
        <x:v>1</x:v>
      </x:c>
      <x:c r="F618" s="21" t="n">
        <x:v>1</x:v>
      </x:c>
      <x:c r="G618" s="23" t="str">
        <x:f>IF(E618=F618,"PASS","FAIL")</x:f>
        <x:v>PASS</x:v>
      </x:c>
    </x:row>
    <x:row r="619">
      <x:c r="B619" s="21" t="str">
        <x:v>A00613</x:v>
      </x:c>
      <x:c r="C619" s="21" t="str">
        <x:v>scenario</x:v>
      </x:c>
      <x:c r="D619" s="21" t="str">
        <x:v>scenario result 246 state</x:v>
      </x:c>
      <x:c r="E619" s="21" t="n">
        <x:f>IF('Scenario Results'!K252=IF('Scenario Results'!J252&gt;=1,"ADEQUATE","GAP"),1,0)</x:f>
        <x:v>1</x:v>
      </x:c>
      <x:c r="F619" s="21" t="n">
        <x:v>1</x:v>
      </x:c>
      <x:c r="G619" s="23" t="str">
        <x:f>IF(E619=F619,"PASS","FAIL")</x:f>
        <x:v>PASS</x:v>
      </x:c>
    </x:row>
    <x:row r="620">
      <x:c r="B620" s="21" t="str">
        <x:v>A00614</x:v>
      </x:c>
      <x:c r="C620" s="21" t="str">
        <x:v>scenario</x:v>
      </x:c>
      <x:c r="D620" s="21" t="str">
        <x:v>scenario result 247 conservation</x:v>
      </x:c>
      <x:c r="E620" s="21" t="n">
        <x:f>IF(AND(ABS('Scenario Results'!I253-MIN('Scenario Results'!E253,'Scenario Results'!H253))&lt;0.000001,'Scenario Results'!I253&lt;='Scenario Results'!E253),1,0)</x:f>
        <x:v>1</x:v>
      </x:c>
      <x:c r="F620" s="21" t="n">
        <x:v>1</x:v>
      </x:c>
      <x:c r="G620" s="23" t="str">
        <x:f>IF(E620=F620,"PASS","FAIL")</x:f>
        <x:v>PASS</x:v>
      </x:c>
    </x:row>
    <x:row r="621">
      <x:c r="B621" s="21" t="str">
        <x:v>A00615</x:v>
      </x:c>
      <x:c r="C621" s="21" t="str">
        <x:v>scenario</x:v>
      </x:c>
      <x:c r="D621" s="21" t="str">
        <x:v>scenario result 247 state</x:v>
      </x:c>
      <x:c r="E621" s="21" t="n">
        <x:f>IF('Scenario Results'!K253=IF('Scenario Results'!J253&gt;=1,"ADEQUATE","GAP"),1,0)</x:f>
        <x:v>1</x:v>
      </x:c>
      <x:c r="F621" s="21" t="n">
        <x:v>1</x:v>
      </x:c>
      <x:c r="G621" s="23" t="str">
        <x:f>IF(E621=F621,"PASS","FAIL")</x:f>
        <x:v>PASS</x:v>
      </x:c>
    </x:row>
    <x:row r="622">
      <x:c r="B622" s="21" t="str">
        <x:v>A00616</x:v>
      </x:c>
      <x:c r="C622" s="21" t="str">
        <x:v>scenario</x:v>
      </x:c>
      <x:c r="D622" s="21" t="str">
        <x:v>scenario result 248 conservation</x:v>
      </x:c>
      <x:c r="E622" s="21" t="n">
        <x:f>IF(AND(ABS('Scenario Results'!I254-MIN('Scenario Results'!E254,'Scenario Results'!H254))&lt;0.000001,'Scenario Results'!I254&lt;='Scenario Results'!E254),1,0)</x:f>
        <x:v>1</x:v>
      </x:c>
      <x:c r="F622" s="21" t="n">
        <x:v>1</x:v>
      </x:c>
      <x:c r="G622" s="23" t="str">
        <x:f>IF(E622=F622,"PASS","FAIL")</x:f>
        <x:v>PASS</x:v>
      </x:c>
    </x:row>
    <x:row r="623">
      <x:c r="B623" s="21" t="str">
        <x:v>A00617</x:v>
      </x:c>
      <x:c r="C623" s="21" t="str">
        <x:v>scenario</x:v>
      </x:c>
      <x:c r="D623" s="21" t="str">
        <x:v>scenario result 248 state</x:v>
      </x:c>
      <x:c r="E623" s="21" t="n">
        <x:f>IF('Scenario Results'!K254=IF('Scenario Results'!J254&gt;=1,"ADEQUATE","GAP"),1,0)</x:f>
        <x:v>1</x:v>
      </x:c>
      <x:c r="F623" s="21" t="n">
        <x:v>1</x:v>
      </x:c>
      <x:c r="G623" s="23" t="str">
        <x:f>IF(E623=F623,"PASS","FAIL")</x:f>
        <x:v>PASS</x:v>
      </x:c>
    </x:row>
    <x:row r="624">
      <x:c r="B624" s="21" t="str">
        <x:v>A00618</x:v>
      </x:c>
      <x:c r="C624" s="21" t="str">
        <x:v>scenario</x:v>
      </x:c>
      <x:c r="D624" s="21" t="str">
        <x:v>scenario result 249 conservation</x:v>
      </x:c>
      <x:c r="E624" s="21" t="n">
        <x:f>IF(AND(ABS('Scenario Results'!I255-MIN('Scenario Results'!E255,'Scenario Results'!H255))&lt;0.000001,'Scenario Results'!I255&lt;='Scenario Results'!E255),1,0)</x:f>
        <x:v>1</x:v>
      </x:c>
      <x:c r="F624" s="21" t="n">
        <x:v>1</x:v>
      </x:c>
      <x:c r="G624" s="23" t="str">
        <x:f>IF(E624=F624,"PASS","FAIL")</x:f>
        <x:v>PASS</x:v>
      </x:c>
    </x:row>
    <x:row r="625">
      <x:c r="B625" s="21" t="str">
        <x:v>A00619</x:v>
      </x:c>
      <x:c r="C625" s="21" t="str">
        <x:v>scenario</x:v>
      </x:c>
      <x:c r="D625" s="21" t="str">
        <x:v>scenario result 249 state</x:v>
      </x:c>
      <x:c r="E625" s="21" t="n">
        <x:f>IF('Scenario Results'!K255=IF('Scenario Results'!J255&gt;=1,"ADEQUATE","GAP"),1,0)</x:f>
        <x:v>1</x:v>
      </x:c>
      <x:c r="F625" s="21" t="n">
        <x:v>1</x:v>
      </x:c>
      <x:c r="G625" s="23" t="str">
        <x:f>IF(E625=F625,"PASS","FAIL")</x:f>
        <x:v>PASS</x:v>
      </x:c>
    </x:row>
    <x:row r="626">
      <x:c r="B626" s="21" t="str">
        <x:v>A00620</x:v>
      </x:c>
      <x:c r="C626" s="21" t="str">
        <x:v>scenario</x:v>
      </x:c>
      <x:c r="D626" s="21" t="str">
        <x:v>scenario result 250 conservation</x:v>
      </x:c>
      <x:c r="E626" s="21" t="n">
        <x:f>IF(AND(ABS('Scenario Results'!I256-MIN('Scenario Results'!E256,'Scenario Results'!H256))&lt;0.000001,'Scenario Results'!I256&lt;='Scenario Results'!E256),1,0)</x:f>
        <x:v>1</x:v>
      </x:c>
      <x:c r="F626" s="21" t="n">
        <x:v>1</x:v>
      </x:c>
      <x:c r="G626" s="23" t="str">
        <x:f>IF(E626=F626,"PASS","FAIL")</x:f>
        <x:v>PASS</x:v>
      </x:c>
    </x:row>
    <x:row r="627">
      <x:c r="B627" s="21" t="str">
        <x:v>A00621</x:v>
      </x:c>
      <x:c r="C627" s="21" t="str">
        <x:v>scenario</x:v>
      </x:c>
      <x:c r="D627" s="21" t="str">
        <x:v>scenario result 250 state</x:v>
      </x:c>
      <x:c r="E627" s="21" t="n">
        <x:f>IF('Scenario Results'!K256=IF('Scenario Results'!J256&gt;=1,"ADEQUATE","GAP"),1,0)</x:f>
        <x:v>1</x:v>
      </x:c>
      <x:c r="F627" s="21" t="n">
        <x:v>1</x:v>
      </x:c>
      <x:c r="G627" s="23" t="str">
        <x:f>IF(E627=F627,"PASS","FAIL")</x:f>
        <x:v>PASS</x:v>
      </x:c>
    </x:row>
    <x:row r="628">
      <x:c r="B628" s="21" t="str">
        <x:v>A00622</x:v>
      </x:c>
      <x:c r="C628" s="21" t="str">
        <x:v>scenario</x:v>
      </x:c>
      <x:c r="D628" s="21" t="str">
        <x:v>scenario result 251 conservation</x:v>
      </x:c>
      <x:c r="E628" s="21" t="n">
        <x:f>IF(AND(ABS('Scenario Results'!I257-MIN('Scenario Results'!E257,'Scenario Results'!H257))&lt;0.000001,'Scenario Results'!I257&lt;='Scenario Results'!E257),1,0)</x:f>
        <x:v>1</x:v>
      </x:c>
      <x:c r="F628" s="21" t="n">
        <x:v>1</x:v>
      </x:c>
      <x:c r="G628" s="23" t="str">
        <x:f>IF(E628=F628,"PASS","FAIL")</x:f>
        <x:v>PASS</x:v>
      </x:c>
    </x:row>
    <x:row r="629">
      <x:c r="B629" s="21" t="str">
        <x:v>A00623</x:v>
      </x:c>
      <x:c r="C629" s="21" t="str">
        <x:v>scenario</x:v>
      </x:c>
      <x:c r="D629" s="21" t="str">
        <x:v>scenario result 251 state</x:v>
      </x:c>
      <x:c r="E629" s="21" t="n">
        <x:f>IF('Scenario Results'!K257=IF('Scenario Results'!J257&gt;=1,"ADEQUATE","GAP"),1,0)</x:f>
        <x:v>1</x:v>
      </x:c>
      <x:c r="F629" s="21" t="n">
        <x:v>1</x:v>
      </x:c>
      <x:c r="G629" s="23" t="str">
        <x:f>IF(E629=F629,"PASS","FAIL")</x:f>
        <x:v>PASS</x:v>
      </x:c>
    </x:row>
    <x:row r="630">
      <x:c r="B630" s="21" t="str">
        <x:v>A00624</x:v>
      </x:c>
      <x:c r="C630" s="21" t="str">
        <x:v>scenario</x:v>
      </x:c>
      <x:c r="D630" s="21" t="str">
        <x:v>scenario result 252 conservation</x:v>
      </x:c>
      <x:c r="E630" s="21" t="n">
        <x:f>IF(AND(ABS('Scenario Results'!I258-MIN('Scenario Results'!E258,'Scenario Results'!H258))&lt;0.000001,'Scenario Results'!I258&lt;='Scenario Results'!E258),1,0)</x:f>
        <x:v>1</x:v>
      </x:c>
      <x:c r="F630" s="21" t="n">
        <x:v>1</x:v>
      </x:c>
      <x:c r="G630" s="23" t="str">
        <x:f>IF(E630=F630,"PASS","FAIL")</x:f>
        <x:v>PASS</x:v>
      </x:c>
    </x:row>
    <x:row r="631">
      <x:c r="B631" s="21" t="str">
        <x:v>A00625</x:v>
      </x:c>
      <x:c r="C631" s="21" t="str">
        <x:v>scenario</x:v>
      </x:c>
      <x:c r="D631" s="21" t="str">
        <x:v>scenario result 252 state</x:v>
      </x:c>
      <x:c r="E631" s="21" t="n">
        <x:f>IF('Scenario Results'!K258=IF('Scenario Results'!J258&gt;=1,"ADEQUATE","GAP"),1,0)</x:f>
        <x:v>1</x:v>
      </x:c>
      <x:c r="F631" s="21" t="n">
        <x:v>1</x:v>
      </x:c>
      <x:c r="G631" s="23" t="str">
        <x:f>IF(E631=F631,"PASS","FAIL")</x:f>
        <x:v>PASS</x:v>
      </x:c>
    </x:row>
    <x:row r="632">
      <x:c r="B632" s="21" t="str">
        <x:v>A00626</x:v>
      </x:c>
      <x:c r="C632" s="21" t="str">
        <x:v>scenario</x:v>
      </x:c>
      <x:c r="D632" s="21" t="str">
        <x:v>scenario result 253 conservation</x:v>
      </x:c>
      <x:c r="E632" s="21" t="n">
        <x:f>IF(AND(ABS('Scenario Results'!I259-MIN('Scenario Results'!E259,'Scenario Results'!H259))&lt;0.000001,'Scenario Results'!I259&lt;='Scenario Results'!E259),1,0)</x:f>
        <x:v>1</x:v>
      </x:c>
      <x:c r="F632" s="21" t="n">
        <x:v>1</x:v>
      </x:c>
      <x:c r="G632" s="23" t="str">
        <x:f>IF(E632=F632,"PASS","FAIL")</x:f>
        <x:v>PASS</x:v>
      </x:c>
    </x:row>
    <x:row r="633">
      <x:c r="B633" s="21" t="str">
        <x:v>A00627</x:v>
      </x:c>
      <x:c r="C633" s="21" t="str">
        <x:v>scenario</x:v>
      </x:c>
      <x:c r="D633" s="21" t="str">
        <x:v>scenario result 253 state</x:v>
      </x:c>
      <x:c r="E633" s="21" t="n">
        <x:f>IF('Scenario Results'!K259=IF('Scenario Results'!J259&gt;=1,"ADEQUATE","GAP"),1,0)</x:f>
        <x:v>1</x:v>
      </x:c>
      <x:c r="F633" s="21" t="n">
        <x:v>1</x:v>
      </x:c>
      <x:c r="G633" s="23" t="str">
        <x:f>IF(E633=F633,"PASS","FAIL")</x:f>
        <x:v>PASS</x:v>
      </x:c>
    </x:row>
    <x:row r="634">
      <x:c r="B634" s="21" t="str">
        <x:v>A00628</x:v>
      </x:c>
      <x:c r="C634" s="21" t="str">
        <x:v>scenario</x:v>
      </x:c>
      <x:c r="D634" s="21" t="str">
        <x:v>scenario result 254 conservation</x:v>
      </x:c>
      <x:c r="E634" s="21" t="n">
        <x:f>IF(AND(ABS('Scenario Results'!I260-MIN('Scenario Results'!E260,'Scenario Results'!H260))&lt;0.000001,'Scenario Results'!I260&lt;='Scenario Results'!E260),1,0)</x:f>
        <x:v>1</x:v>
      </x:c>
      <x:c r="F634" s="21" t="n">
        <x:v>1</x:v>
      </x:c>
      <x:c r="G634" s="23" t="str">
        <x:f>IF(E634=F634,"PASS","FAIL")</x:f>
        <x:v>PASS</x:v>
      </x:c>
    </x:row>
    <x:row r="635">
      <x:c r="B635" s="21" t="str">
        <x:v>A00629</x:v>
      </x:c>
      <x:c r="C635" s="21" t="str">
        <x:v>scenario</x:v>
      </x:c>
      <x:c r="D635" s="21" t="str">
        <x:v>scenario result 254 state</x:v>
      </x:c>
      <x:c r="E635" s="21" t="n">
        <x:f>IF('Scenario Results'!K260=IF('Scenario Results'!J260&gt;=1,"ADEQUATE","GAP"),1,0)</x:f>
        <x:v>1</x:v>
      </x:c>
      <x:c r="F635" s="21" t="n">
        <x:v>1</x:v>
      </x:c>
      <x:c r="G635" s="23" t="str">
        <x:f>IF(E635=F635,"PASS","FAIL")</x:f>
        <x:v>PASS</x:v>
      </x:c>
    </x:row>
    <x:row r="636">
      <x:c r="B636" s="21" t="str">
        <x:v>A00630</x:v>
      </x:c>
      <x:c r="C636" s="21" t="str">
        <x:v>scenario</x:v>
      </x:c>
      <x:c r="D636" s="21" t="str">
        <x:v>scenario result 255 conservation</x:v>
      </x:c>
      <x:c r="E636" s="21" t="n">
        <x:f>IF(AND(ABS('Scenario Results'!I261-MIN('Scenario Results'!E261,'Scenario Results'!H261))&lt;0.000001,'Scenario Results'!I261&lt;='Scenario Results'!E261),1,0)</x:f>
        <x:v>1</x:v>
      </x:c>
      <x:c r="F636" s="21" t="n">
        <x:v>1</x:v>
      </x:c>
      <x:c r="G636" s="23" t="str">
        <x:f>IF(E636=F636,"PASS","FAIL")</x:f>
        <x:v>PASS</x:v>
      </x:c>
    </x:row>
    <x:row r="637">
      <x:c r="B637" s="21" t="str">
        <x:v>A00631</x:v>
      </x:c>
      <x:c r="C637" s="21" t="str">
        <x:v>scenario</x:v>
      </x:c>
      <x:c r="D637" s="21" t="str">
        <x:v>scenario result 255 state</x:v>
      </x:c>
      <x:c r="E637" s="21" t="n">
        <x:f>IF('Scenario Results'!K261=IF('Scenario Results'!J261&gt;=1,"ADEQUATE","GAP"),1,0)</x:f>
        <x:v>1</x:v>
      </x:c>
      <x:c r="F637" s="21" t="n">
        <x:v>1</x:v>
      </x:c>
      <x:c r="G637" s="23" t="str">
        <x:f>IF(E637=F637,"PASS","FAIL")</x:f>
        <x:v>PASS</x:v>
      </x:c>
    </x:row>
    <x:row r="638">
      <x:c r="B638" s="21" t="str">
        <x:v>A00632</x:v>
      </x:c>
      <x:c r="C638" s="21" t="str">
        <x:v>scenario</x:v>
      </x:c>
      <x:c r="D638" s="21" t="str">
        <x:v>scenario result 256 conservation</x:v>
      </x:c>
      <x:c r="E638" s="21" t="n">
        <x:f>IF(AND(ABS('Scenario Results'!I262-MIN('Scenario Results'!E262,'Scenario Results'!H262))&lt;0.000001,'Scenario Results'!I262&lt;='Scenario Results'!E262),1,0)</x:f>
        <x:v>1</x:v>
      </x:c>
      <x:c r="F638" s="21" t="n">
        <x:v>1</x:v>
      </x:c>
      <x:c r="G638" s="23" t="str">
        <x:f>IF(E638=F638,"PASS","FAIL")</x:f>
        <x:v>PASS</x:v>
      </x:c>
    </x:row>
    <x:row r="639">
      <x:c r="B639" s="21" t="str">
        <x:v>A00633</x:v>
      </x:c>
      <x:c r="C639" s="21" t="str">
        <x:v>scenario</x:v>
      </x:c>
      <x:c r="D639" s="21" t="str">
        <x:v>scenario result 256 state</x:v>
      </x:c>
      <x:c r="E639" s="21" t="n">
        <x:f>IF('Scenario Results'!K262=IF('Scenario Results'!J262&gt;=1,"ADEQUATE","GAP"),1,0)</x:f>
        <x:v>1</x:v>
      </x:c>
      <x:c r="F639" s="21" t="n">
        <x:v>1</x:v>
      </x:c>
      <x:c r="G639" s="23" t="str">
        <x:f>IF(E639=F639,"PASS","FAIL")</x:f>
        <x:v>PASS</x:v>
      </x:c>
    </x:row>
    <x:row r="640">
      <x:c r="B640" s="21" t="str">
        <x:v>A00634</x:v>
      </x:c>
      <x:c r="C640" s="21" t="str">
        <x:v>scenario</x:v>
      </x:c>
      <x:c r="D640" s="21" t="str">
        <x:v>scenario result 257 conservation</x:v>
      </x:c>
      <x:c r="E640" s="21" t="n">
        <x:f>IF(AND(ABS('Scenario Results'!I263-MIN('Scenario Results'!E263,'Scenario Results'!H263))&lt;0.000001,'Scenario Results'!I263&lt;='Scenario Results'!E263),1,0)</x:f>
        <x:v>1</x:v>
      </x:c>
      <x:c r="F640" s="21" t="n">
        <x:v>1</x:v>
      </x:c>
      <x:c r="G640" s="23" t="str">
        <x:f>IF(E640=F640,"PASS","FAIL")</x:f>
        <x:v>PASS</x:v>
      </x:c>
    </x:row>
    <x:row r="641">
      <x:c r="B641" s="21" t="str">
        <x:v>A00635</x:v>
      </x:c>
      <x:c r="C641" s="21" t="str">
        <x:v>scenario</x:v>
      </x:c>
      <x:c r="D641" s="21" t="str">
        <x:v>scenario result 257 state</x:v>
      </x:c>
      <x:c r="E641" s="21" t="n">
        <x:f>IF('Scenario Results'!K263=IF('Scenario Results'!J263&gt;=1,"ADEQUATE","GAP"),1,0)</x:f>
        <x:v>1</x:v>
      </x:c>
      <x:c r="F641" s="21" t="n">
        <x:v>1</x:v>
      </x:c>
      <x:c r="G641" s="23" t="str">
        <x:f>IF(E641=F641,"PASS","FAIL")</x:f>
        <x:v>PASS</x:v>
      </x:c>
    </x:row>
    <x:row r="642">
      <x:c r="B642" s="21" t="str">
        <x:v>A00636</x:v>
      </x:c>
      <x:c r="C642" s="21" t="str">
        <x:v>scenario</x:v>
      </x:c>
      <x:c r="D642" s="21" t="str">
        <x:v>scenario result 258 conservation</x:v>
      </x:c>
      <x:c r="E642" s="21" t="n">
        <x:f>IF(AND(ABS('Scenario Results'!I264-MIN('Scenario Results'!E264,'Scenario Results'!H264))&lt;0.000001,'Scenario Results'!I264&lt;='Scenario Results'!E264),1,0)</x:f>
        <x:v>1</x:v>
      </x:c>
      <x:c r="F642" s="21" t="n">
        <x:v>1</x:v>
      </x:c>
      <x:c r="G642" s="23" t="str">
        <x:f>IF(E642=F642,"PASS","FAIL")</x:f>
        <x:v>PASS</x:v>
      </x:c>
    </x:row>
    <x:row r="643">
      <x:c r="B643" s="21" t="str">
        <x:v>A00637</x:v>
      </x:c>
      <x:c r="C643" s="21" t="str">
        <x:v>scenario</x:v>
      </x:c>
      <x:c r="D643" s="21" t="str">
        <x:v>scenario result 258 state</x:v>
      </x:c>
      <x:c r="E643" s="21" t="n">
        <x:f>IF('Scenario Results'!K264=IF('Scenario Results'!J264&gt;=1,"ADEQUATE","GAP"),1,0)</x:f>
        <x:v>1</x:v>
      </x:c>
      <x:c r="F643" s="21" t="n">
        <x:v>1</x:v>
      </x:c>
      <x:c r="G643" s="23" t="str">
        <x:f>IF(E643=F643,"PASS","FAIL")</x:f>
        <x:v>PASS</x:v>
      </x:c>
    </x:row>
    <x:row r="644">
      <x:c r="B644" s="21" t="str">
        <x:v>A00638</x:v>
      </x:c>
      <x:c r="C644" s="21" t="str">
        <x:v>scenario</x:v>
      </x:c>
      <x:c r="D644" s="21" t="str">
        <x:v>scenario result 259 conservation</x:v>
      </x:c>
      <x:c r="E644" s="21" t="n">
        <x:f>IF(AND(ABS('Scenario Results'!I265-MIN('Scenario Results'!E265,'Scenario Results'!H265))&lt;0.000001,'Scenario Results'!I265&lt;='Scenario Results'!E265),1,0)</x:f>
        <x:v>1</x:v>
      </x:c>
      <x:c r="F644" s="21" t="n">
        <x:v>1</x:v>
      </x:c>
      <x:c r="G644" s="23" t="str">
        <x:f>IF(E644=F644,"PASS","FAIL")</x:f>
        <x:v>PASS</x:v>
      </x:c>
    </x:row>
    <x:row r="645">
      <x:c r="B645" s="21" t="str">
        <x:v>A00639</x:v>
      </x:c>
      <x:c r="C645" s="21" t="str">
        <x:v>scenario</x:v>
      </x:c>
      <x:c r="D645" s="21" t="str">
        <x:v>scenario result 259 state</x:v>
      </x:c>
      <x:c r="E645" s="21" t="n">
        <x:f>IF('Scenario Results'!K265=IF('Scenario Results'!J265&gt;=1,"ADEQUATE","GAP"),1,0)</x:f>
        <x:v>1</x:v>
      </x:c>
      <x:c r="F645" s="21" t="n">
        <x:v>1</x:v>
      </x:c>
      <x:c r="G645" s="23" t="str">
        <x:f>IF(E645=F645,"PASS","FAIL")</x:f>
        <x:v>PASS</x:v>
      </x:c>
    </x:row>
    <x:row r="646">
      <x:c r="B646" s="21" t="str">
        <x:v>A00640</x:v>
      </x:c>
      <x:c r="C646" s="21" t="str">
        <x:v>scenario</x:v>
      </x:c>
      <x:c r="D646" s="21" t="str">
        <x:v>scenario result 260 conservation</x:v>
      </x:c>
      <x:c r="E646" s="21" t="n">
        <x:f>IF(AND(ABS('Scenario Results'!I266-MIN('Scenario Results'!E266,'Scenario Results'!H266))&lt;0.000001,'Scenario Results'!I266&lt;='Scenario Results'!E266),1,0)</x:f>
        <x:v>1</x:v>
      </x:c>
      <x:c r="F646" s="21" t="n">
        <x:v>1</x:v>
      </x:c>
      <x:c r="G646" s="23" t="str">
        <x:f>IF(E646=F646,"PASS","FAIL")</x:f>
        <x:v>PASS</x:v>
      </x:c>
    </x:row>
    <x:row r="647">
      <x:c r="B647" s="21" t="str">
        <x:v>A00641</x:v>
      </x:c>
      <x:c r="C647" s="21" t="str">
        <x:v>scenario</x:v>
      </x:c>
      <x:c r="D647" s="21" t="str">
        <x:v>scenario result 260 state</x:v>
      </x:c>
      <x:c r="E647" s="21" t="n">
        <x:f>IF('Scenario Results'!K266=IF('Scenario Results'!J266&gt;=1,"ADEQUATE","GAP"),1,0)</x:f>
        <x:v>1</x:v>
      </x:c>
      <x:c r="F647" s="21" t="n">
        <x:v>1</x:v>
      </x:c>
      <x:c r="G647" s="23" t="str">
        <x:f>IF(E647=F647,"PASS","FAIL")</x:f>
        <x:v>PASS</x:v>
      </x:c>
    </x:row>
    <x:row r="648">
      <x:c r="B648" s="21" t="str">
        <x:v>A00642</x:v>
      </x:c>
      <x:c r="C648" s="21" t="str">
        <x:v>scenario</x:v>
      </x:c>
      <x:c r="D648" s="21" t="str">
        <x:v>scenario result 261 conservation</x:v>
      </x:c>
      <x:c r="E648" s="21" t="n">
        <x:f>IF(AND(ABS('Scenario Results'!I267-MIN('Scenario Results'!E267,'Scenario Results'!H267))&lt;0.000001,'Scenario Results'!I267&lt;='Scenario Results'!E267),1,0)</x:f>
        <x:v>1</x:v>
      </x:c>
      <x:c r="F648" s="21" t="n">
        <x:v>1</x:v>
      </x:c>
      <x:c r="G648" s="23" t="str">
        <x:f>IF(E648=F648,"PASS","FAIL")</x:f>
        <x:v>PASS</x:v>
      </x:c>
    </x:row>
    <x:row r="649">
      <x:c r="B649" s="21" t="str">
        <x:v>A00643</x:v>
      </x:c>
      <x:c r="C649" s="21" t="str">
        <x:v>scenario</x:v>
      </x:c>
      <x:c r="D649" s="21" t="str">
        <x:v>scenario result 261 state</x:v>
      </x:c>
      <x:c r="E649" s="21" t="n">
        <x:f>IF('Scenario Results'!K267=IF('Scenario Results'!J267&gt;=1,"ADEQUATE","GAP"),1,0)</x:f>
        <x:v>1</x:v>
      </x:c>
      <x:c r="F649" s="21" t="n">
        <x:v>1</x:v>
      </x:c>
      <x:c r="G649" s="23" t="str">
        <x:f>IF(E649=F649,"PASS","FAIL")</x:f>
        <x:v>PASS</x:v>
      </x:c>
    </x:row>
    <x:row r="650">
      <x:c r="B650" s="21" t="str">
        <x:v>A00644</x:v>
      </x:c>
      <x:c r="C650" s="21" t="str">
        <x:v>scenario</x:v>
      </x:c>
      <x:c r="D650" s="21" t="str">
        <x:v>scenario result 262 conservation</x:v>
      </x:c>
      <x:c r="E650" s="21" t="n">
        <x:f>IF(AND(ABS('Scenario Results'!I268-MIN('Scenario Results'!E268,'Scenario Results'!H268))&lt;0.000001,'Scenario Results'!I268&lt;='Scenario Results'!E268),1,0)</x:f>
        <x:v>1</x:v>
      </x:c>
      <x:c r="F650" s="21" t="n">
        <x:v>1</x:v>
      </x:c>
      <x:c r="G650" s="23" t="str">
        <x:f>IF(E650=F650,"PASS","FAIL")</x:f>
        <x:v>PASS</x:v>
      </x:c>
    </x:row>
    <x:row r="651">
      <x:c r="B651" s="21" t="str">
        <x:v>A00645</x:v>
      </x:c>
      <x:c r="C651" s="21" t="str">
        <x:v>scenario</x:v>
      </x:c>
      <x:c r="D651" s="21" t="str">
        <x:v>scenario result 262 state</x:v>
      </x:c>
      <x:c r="E651" s="21" t="n">
        <x:f>IF('Scenario Results'!K268=IF('Scenario Results'!J268&gt;=1,"ADEQUATE","GAP"),1,0)</x:f>
        <x:v>1</x:v>
      </x:c>
      <x:c r="F651" s="21" t="n">
        <x:v>1</x:v>
      </x:c>
      <x:c r="G651" s="23" t="str">
        <x:f>IF(E651=F651,"PASS","FAIL")</x:f>
        <x:v>PASS</x:v>
      </x:c>
    </x:row>
    <x:row r="652">
      <x:c r="B652" s="21" t="str">
        <x:v>A00646</x:v>
      </x:c>
      <x:c r="C652" s="21" t="str">
        <x:v>scenario</x:v>
      </x:c>
      <x:c r="D652" s="21" t="str">
        <x:v>scenario result 263 conservation</x:v>
      </x:c>
      <x:c r="E652" s="21" t="n">
        <x:f>IF(AND(ABS('Scenario Results'!I269-MIN('Scenario Results'!E269,'Scenario Results'!H269))&lt;0.000001,'Scenario Results'!I269&lt;='Scenario Results'!E269),1,0)</x:f>
        <x:v>1</x:v>
      </x:c>
      <x:c r="F652" s="21" t="n">
        <x:v>1</x:v>
      </x:c>
      <x:c r="G652" s="23" t="str">
        <x:f>IF(E652=F652,"PASS","FAIL")</x:f>
        <x:v>PASS</x:v>
      </x:c>
    </x:row>
    <x:row r="653">
      <x:c r="B653" s="21" t="str">
        <x:v>A00647</x:v>
      </x:c>
      <x:c r="C653" s="21" t="str">
        <x:v>scenario</x:v>
      </x:c>
      <x:c r="D653" s="21" t="str">
        <x:v>scenario result 263 state</x:v>
      </x:c>
      <x:c r="E653" s="21" t="n">
        <x:f>IF('Scenario Results'!K269=IF('Scenario Results'!J269&gt;=1,"ADEQUATE","GAP"),1,0)</x:f>
        <x:v>1</x:v>
      </x:c>
      <x:c r="F653" s="21" t="n">
        <x:v>1</x:v>
      </x:c>
      <x:c r="G653" s="23" t="str">
        <x:f>IF(E653=F653,"PASS","FAIL")</x:f>
        <x:v>PASS</x:v>
      </x:c>
    </x:row>
    <x:row r="654">
      <x:c r="B654" s="21" t="str">
        <x:v>A00648</x:v>
      </x:c>
      <x:c r="C654" s="21" t="str">
        <x:v>scenario</x:v>
      </x:c>
      <x:c r="D654" s="21" t="str">
        <x:v>scenario result 264 conservation</x:v>
      </x:c>
      <x:c r="E654" s="21" t="n">
        <x:f>IF(AND(ABS('Scenario Results'!I270-MIN('Scenario Results'!E270,'Scenario Results'!H270))&lt;0.000001,'Scenario Results'!I270&lt;='Scenario Results'!E270),1,0)</x:f>
        <x:v>1</x:v>
      </x:c>
      <x:c r="F654" s="21" t="n">
        <x:v>1</x:v>
      </x:c>
      <x:c r="G654" s="23" t="str">
        <x:f>IF(E654=F654,"PASS","FAIL")</x:f>
        <x:v>PASS</x:v>
      </x:c>
    </x:row>
    <x:row r="655">
      <x:c r="B655" s="21" t="str">
        <x:v>A00649</x:v>
      </x:c>
      <x:c r="C655" s="21" t="str">
        <x:v>scenario</x:v>
      </x:c>
      <x:c r="D655" s="21" t="str">
        <x:v>scenario result 264 state</x:v>
      </x:c>
      <x:c r="E655" s="21" t="n">
        <x:f>IF('Scenario Results'!K270=IF('Scenario Results'!J270&gt;=1,"ADEQUATE","GAP"),1,0)</x:f>
        <x:v>1</x:v>
      </x:c>
      <x:c r="F655" s="21" t="n">
        <x:v>1</x:v>
      </x:c>
      <x:c r="G655" s="23" t="str">
        <x:f>IF(E655=F655,"PASS","FAIL")</x:f>
        <x:v>PASS</x:v>
      </x:c>
    </x:row>
    <x:row r="656">
      <x:c r="B656" s="21" t="str">
        <x:v>A00650</x:v>
      </x:c>
      <x:c r="C656" s="21" t="str">
        <x:v>scenario</x:v>
      </x:c>
      <x:c r="D656" s="21" t="str">
        <x:v>scenario result 265 conservation</x:v>
      </x:c>
      <x:c r="E656" s="21" t="n">
        <x:f>IF(AND(ABS('Scenario Results'!I271-MIN('Scenario Results'!E271,'Scenario Results'!H271))&lt;0.000001,'Scenario Results'!I271&lt;='Scenario Results'!E271),1,0)</x:f>
        <x:v>1</x:v>
      </x:c>
      <x:c r="F656" s="21" t="n">
        <x:v>1</x:v>
      </x:c>
      <x:c r="G656" s="23" t="str">
        <x:f>IF(E656=F656,"PASS","FAIL")</x:f>
        <x:v>PASS</x:v>
      </x:c>
    </x:row>
    <x:row r="657">
      <x:c r="B657" s="21" t="str">
        <x:v>A00651</x:v>
      </x:c>
      <x:c r="C657" s="21" t="str">
        <x:v>scenario</x:v>
      </x:c>
      <x:c r="D657" s="21" t="str">
        <x:v>scenario result 265 state</x:v>
      </x:c>
      <x:c r="E657" s="21" t="n">
        <x:f>IF('Scenario Results'!K271=IF('Scenario Results'!J271&gt;=1,"ADEQUATE","GAP"),1,0)</x:f>
        <x:v>1</x:v>
      </x:c>
      <x:c r="F657" s="21" t="n">
        <x:v>1</x:v>
      </x:c>
      <x:c r="G657" s="23" t="str">
        <x:f>IF(E657=F657,"PASS","FAIL")</x:f>
        <x:v>PASS</x:v>
      </x:c>
    </x:row>
    <x:row r="658">
      <x:c r="B658" s="21" t="str">
        <x:v>A00652</x:v>
      </x:c>
      <x:c r="C658" s="21" t="str">
        <x:v>scenario</x:v>
      </x:c>
      <x:c r="D658" s="21" t="str">
        <x:v>scenario result 266 conservation</x:v>
      </x:c>
      <x:c r="E658" s="21" t="n">
        <x:f>IF(AND(ABS('Scenario Results'!I272-MIN('Scenario Results'!E272,'Scenario Results'!H272))&lt;0.000001,'Scenario Results'!I272&lt;='Scenario Results'!E272),1,0)</x:f>
        <x:v>1</x:v>
      </x:c>
      <x:c r="F658" s="21" t="n">
        <x:v>1</x:v>
      </x:c>
      <x:c r="G658" s="23" t="str">
        <x:f>IF(E658=F658,"PASS","FAIL")</x:f>
        <x:v>PASS</x:v>
      </x:c>
    </x:row>
    <x:row r="659">
      <x:c r="B659" s="21" t="str">
        <x:v>A00653</x:v>
      </x:c>
      <x:c r="C659" s="21" t="str">
        <x:v>scenario</x:v>
      </x:c>
      <x:c r="D659" s="21" t="str">
        <x:v>scenario result 266 state</x:v>
      </x:c>
      <x:c r="E659" s="21" t="n">
        <x:f>IF('Scenario Results'!K272=IF('Scenario Results'!J272&gt;=1,"ADEQUATE","GAP"),1,0)</x:f>
        <x:v>1</x:v>
      </x:c>
      <x:c r="F659" s="21" t="n">
        <x:v>1</x:v>
      </x:c>
      <x:c r="G659" s="23" t="str">
        <x:f>IF(E659=F659,"PASS","FAIL")</x:f>
        <x:v>PASS</x:v>
      </x:c>
    </x:row>
    <x:row r="660">
      <x:c r="B660" s="21" t="str">
        <x:v>A00654</x:v>
      </x:c>
      <x:c r="C660" s="21" t="str">
        <x:v>scenario</x:v>
      </x:c>
      <x:c r="D660" s="21" t="str">
        <x:v>scenario result 267 conservation</x:v>
      </x:c>
      <x:c r="E660" s="21" t="n">
        <x:f>IF(AND(ABS('Scenario Results'!I273-MIN('Scenario Results'!E273,'Scenario Results'!H273))&lt;0.000001,'Scenario Results'!I273&lt;='Scenario Results'!E273),1,0)</x:f>
        <x:v>1</x:v>
      </x:c>
      <x:c r="F660" s="21" t="n">
        <x:v>1</x:v>
      </x:c>
      <x:c r="G660" s="23" t="str">
        <x:f>IF(E660=F660,"PASS","FAIL")</x:f>
        <x:v>PASS</x:v>
      </x:c>
    </x:row>
    <x:row r="661">
      <x:c r="B661" s="21" t="str">
        <x:v>A00655</x:v>
      </x:c>
      <x:c r="C661" s="21" t="str">
        <x:v>scenario</x:v>
      </x:c>
      <x:c r="D661" s="21" t="str">
        <x:v>scenario result 267 state</x:v>
      </x:c>
      <x:c r="E661" s="21" t="n">
        <x:f>IF('Scenario Results'!K273=IF('Scenario Results'!J273&gt;=1,"ADEQUATE","GAP"),1,0)</x:f>
        <x:v>1</x:v>
      </x:c>
      <x:c r="F661" s="21" t="n">
        <x:v>1</x:v>
      </x:c>
      <x:c r="G661" s="23" t="str">
        <x:f>IF(E661=F661,"PASS","FAIL")</x:f>
        <x:v>PASS</x:v>
      </x:c>
    </x:row>
    <x:row r="662">
      <x:c r="B662" s="21" t="str">
        <x:v>A00656</x:v>
      </x:c>
      <x:c r="C662" s="21" t="str">
        <x:v>scenario</x:v>
      </x:c>
      <x:c r="D662" s="21" t="str">
        <x:v>scenario result 268 conservation</x:v>
      </x:c>
      <x:c r="E662" s="21" t="n">
        <x:f>IF(AND(ABS('Scenario Results'!I274-MIN('Scenario Results'!E274,'Scenario Results'!H274))&lt;0.000001,'Scenario Results'!I274&lt;='Scenario Results'!E274),1,0)</x:f>
        <x:v>1</x:v>
      </x:c>
      <x:c r="F662" s="21" t="n">
        <x:v>1</x:v>
      </x:c>
      <x:c r="G662" s="23" t="str">
        <x:f>IF(E662=F662,"PASS","FAIL")</x:f>
        <x:v>PASS</x:v>
      </x:c>
    </x:row>
    <x:row r="663">
      <x:c r="B663" s="21" t="str">
        <x:v>A00657</x:v>
      </x:c>
      <x:c r="C663" s="21" t="str">
        <x:v>scenario</x:v>
      </x:c>
      <x:c r="D663" s="21" t="str">
        <x:v>scenario result 268 state</x:v>
      </x:c>
      <x:c r="E663" s="21" t="n">
        <x:f>IF('Scenario Results'!K274=IF('Scenario Results'!J274&gt;=1,"ADEQUATE","GAP"),1,0)</x:f>
        <x:v>1</x:v>
      </x:c>
      <x:c r="F663" s="21" t="n">
        <x:v>1</x:v>
      </x:c>
      <x:c r="G663" s="23" t="str">
        <x:f>IF(E663=F663,"PASS","FAIL")</x:f>
        <x:v>PASS</x:v>
      </x:c>
    </x:row>
    <x:row r="664">
      <x:c r="B664" s="21" t="str">
        <x:v>A00658</x:v>
      </x:c>
      <x:c r="C664" s="21" t="str">
        <x:v>scenario</x:v>
      </x:c>
      <x:c r="D664" s="21" t="str">
        <x:v>scenario result 269 conservation</x:v>
      </x:c>
      <x:c r="E664" s="21" t="n">
        <x:f>IF(AND(ABS('Scenario Results'!I275-MIN('Scenario Results'!E275,'Scenario Results'!H275))&lt;0.000001,'Scenario Results'!I275&lt;='Scenario Results'!E275),1,0)</x:f>
        <x:v>1</x:v>
      </x:c>
      <x:c r="F664" s="21" t="n">
        <x:v>1</x:v>
      </x:c>
      <x:c r="G664" s="23" t="str">
        <x:f>IF(E664=F664,"PASS","FAIL")</x:f>
        <x:v>PASS</x:v>
      </x:c>
    </x:row>
    <x:row r="665">
      <x:c r="B665" s="21" t="str">
        <x:v>A00659</x:v>
      </x:c>
      <x:c r="C665" s="21" t="str">
        <x:v>scenario</x:v>
      </x:c>
      <x:c r="D665" s="21" t="str">
        <x:v>scenario result 269 state</x:v>
      </x:c>
      <x:c r="E665" s="21" t="n">
        <x:f>IF('Scenario Results'!K275=IF('Scenario Results'!J275&gt;=1,"ADEQUATE","GAP"),1,0)</x:f>
        <x:v>1</x:v>
      </x:c>
      <x:c r="F665" s="21" t="n">
        <x:v>1</x:v>
      </x:c>
      <x:c r="G665" s="23" t="str">
        <x:f>IF(E665=F665,"PASS","FAIL")</x:f>
        <x:v>PASS</x:v>
      </x:c>
    </x:row>
    <x:row r="666">
      <x:c r="B666" s="21" t="str">
        <x:v>A00660</x:v>
      </x:c>
      <x:c r="C666" s="21" t="str">
        <x:v>scenario</x:v>
      </x:c>
      <x:c r="D666" s="21" t="str">
        <x:v>scenario result 270 conservation</x:v>
      </x:c>
      <x:c r="E666" s="21" t="n">
        <x:f>IF(AND(ABS('Scenario Results'!I276-MIN('Scenario Results'!E276,'Scenario Results'!H276))&lt;0.000001,'Scenario Results'!I276&lt;='Scenario Results'!E276),1,0)</x:f>
        <x:v>1</x:v>
      </x:c>
      <x:c r="F666" s="21" t="n">
        <x:v>1</x:v>
      </x:c>
      <x:c r="G666" s="23" t="str">
        <x:f>IF(E666=F666,"PASS","FAIL")</x:f>
        <x:v>PASS</x:v>
      </x:c>
    </x:row>
    <x:row r="667">
      <x:c r="B667" s="21" t="str">
        <x:v>A00661</x:v>
      </x:c>
      <x:c r="C667" s="21" t="str">
        <x:v>scenario</x:v>
      </x:c>
      <x:c r="D667" s="21" t="str">
        <x:v>scenario result 270 state</x:v>
      </x:c>
      <x:c r="E667" s="21" t="n">
        <x:f>IF('Scenario Results'!K276=IF('Scenario Results'!J276&gt;=1,"ADEQUATE","GAP"),1,0)</x:f>
        <x:v>1</x:v>
      </x:c>
      <x:c r="F667" s="21" t="n">
        <x:v>1</x:v>
      </x:c>
      <x:c r="G667" s="23" t="str">
        <x:f>IF(E667=F667,"PASS","FAIL")</x:f>
        <x:v>PASS</x:v>
      </x:c>
    </x:row>
    <x:row r="668">
      <x:c r="B668" s="21" t="str">
        <x:v>A00662</x:v>
      </x:c>
      <x:c r="C668" s="21" t="str">
        <x:v>scenario</x:v>
      </x:c>
      <x:c r="D668" s="21" t="str">
        <x:v>scenario result 271 conservation</x:v>
      </x:c>
      <x:c r="E668" s="21" t="n">
        <x:f>IF(AND(ABS('Scenario Results'!I277-MIN('Scenario Results'!E277,'Scenario Results'!H277))&lt;0.000001,'Scenario Results'!I277&lt;='Scenario Results'!E277),1,0)</x:f>
        <x:v>1</x:v>
      </x:c>
      <x:c r="F668" s="21" t="n">
        <x:v>1</x:v>
      </x:c>
      <x:c r="G668" s="23" t="str">
        <x:f>IF(E668=F668,"PASS","FAIL")</x:f>
        <x:v>PASS</x:v>
      </x:c>
    </x:row>
    <x:row r="669">
      <x:c r="B669" s="21" t="str">
        <x:v>A00663</x:v>
      </x:c>
      <x:c r="C669" s="21" t="str">
        <x:v>scenario</x:v>
      </x:c>
      <x:c r="D669" s="21" t="str">
        <x:v>scenario result 271 state</x:v>
      </x:c>
      <x:c r="E669" s="21" t="n">
        <x:f>IF('Scenario Results'!K277=IF('Scenario Results'!J277&gt;=1,"ADEQUATE","GAP"),1,0)</x:f>
        <x:v>1</x:v>
      </x:c>
      <x:c r="F669" s="21" t="n">
        <x:v>1</x:v>
      </x:c>
      <x:c r="G669" s="23" t="str">
        <x:f>IF(E669=F669,"PASS","FAIL")</x:f>
        <x:v>PASS</x:v>
      </x:c>
    </x:row>
    <x:row r="670">
      <x:c r="B670" s="21" t="str">
        <x:v>A00664</x:v>
      </x:c>
      <x:c r="C670" s="21" t="str">
        <x:v>scenario</x:v>
      </x:c>
      <x:c r="D670" s="21" t="str">
        <x:v>scenario result 272 conservation</x:v>
      </x:c>
      <x:c r="E670" s="21" t="n">
        <x:f>IF(AND(ABS('Scenario Results'!I278-MIN('Scenario Results'!E278,'Scenario Results'!H278))&lt;0.000001,'Scenario Results'!I278&lt;='Scenario Results'!E278),1,0)</x:f>
        <x:v>1</x:v>
      </x:c>
      <x:c r="F670" s="21" t="n">
        <x:v>1</x:v>
      </x:c>
      <x:c r="G670" s="23" t="str">
        <x:f>IF(E670=F670,"PASS","FAIL")</x:f>
        <x:v>PASS</x:v>
      </x:c>
    </x:row>
    <x:row r="671">
      <x:c r="B671" s="21" t="str">
        <x:v>A00665</x:v>
      </x:c>
      <x:c r="C671" s="21" t="str">
        <x:v>scenario</x:v>
      </x:c>
      <x:c r="D671" s="21" t="str">
        <x:v>scenario result 272 state</x:v>
      </x:c>
      <x:c r="E671" s="21" t="n">
        <x:f>IF('Scenario Results'!K278=IF('Scenario Results'!J278&gt;=1,"ADEQUATE","GAP"),1,0)</x:f>
        <x:v>1</x:v>
      </x:c>
      <x:c r="F671" s="21" t="n">
        <x:v>1</x:v>
      </x:c>
      <x:c r="G671" s="23" t="str">
        <x:f>IF(E671=F671,"PASS","FAIL")</x:f>
        <x:v>PASS</x:v>
      </x:c>
    </x:row>
    <x:row r="672">
      <x:c r="B672" s="21" t="str">
        <x:v>A00666</x:v>
      </x:c>
      <x:c r="C672" s="21" t="str">
        <x:v>scenario</x:v>
      </x:c>
      <x:c r="D672" s="21" t="str">
        <x:v>scenario result 273 conservation</x:v>
      </x:c>
      <x:c r="E672" s="21" t="n">
        <x:f>IF(AND(ABS('Scenario Results'!I279-MIN('Scenario Results'!E279,'Scenario Results'!H279))&lt;0.000001,'Scenario Results'!I279&lt;='Scenario Results'!E279),1,0)</x:f>
        <x:v>1</x:v>
      </x:c>
      <x:c r="F672" s="21" t="n">
        <x:v>1</x:v>
      </x:c>
      <x:c r="G672" s="23" t="str">
        <x:f>IF(E672=F672,"PASS","FAIL")</x:f>
        <x:v>PASS</x:v>
      </x:c>
    </x:row>
    <x:row r="673">
      <x:c r="B673" s="21" t="str">
        <x:v>A00667</x:v>
      </x:c>
      <x:c r="C673" s="21" t="str">
        <x:v>scenario</x:v>
      </x:c>
      <x:c r="D673" s="21" t="str">
        <x:v>scenario result 273 state</x:v>
      </x:c>
      <x:c r="E673" s="21" t="n">
        <x:f>IF('Scenario Results'!K279=IF('Scenario Results'!J279&gt;=1,"ADEQUATE","GAP"),1,0)</x:f>
        <x:v>1</x:v>
      </x:c>
      <x:c r="F673" s="21" t="n">
        <x:v>1</x:v>
      </x:c>
      <x:c r="G673" s="23" t="str">
        <x:f>IF(E673=F673,"PASS","FAIL")</x:f>
        <x:v>PASS</x:v>
      </x:c>
    </x:row>
    <x:row r="674">
      <x:c r="B674" s="21" t="str">
        <x:v>A00668</x:v>
      </x:c>
      <x:c r="C674" s="21" t="str">
        <x:v>scenario</x:v>
      </x:c>
      <x:c r="D674" s="21" t="str">
        <x:v>scenario result 274 conservation</x:v>
      </x:c>
      <x:c r="E674" s="21" t="n">
        <x:f>IF(AND(ABS('Scenario Results'!I280-MIN('Scenario Results'!E280,'Scenario Results'!H280))&lt;0.000001,'Scenario Results'!I280&lt;='Scenario Results'!E280),1,0)</x:f>
        <x:v>1</x:v>
      </x:c>
      <x:c r="F674" s="21" t="n">
        <x:v>1</x:v>
      </x:c>
      <x:c r="G674" s="23" t="str">
        <x:f>IF(E674=F674,"PASS","FAIL")</x:f>
        <x:v>PASS</x:v>
      </x:c>
    </x:row>
    <x:row r="675">
      <x:c r="B675" s="21" t="str">
        <x:v>A00669</x:v>
      </x:c>
      <x:c r="C675" s="21" t="str">
        <x:v>scenario</x:v>
      </x:c>
      <x:c r="D675" s="21" t="str">
        <x:v>scenario result 274 state</x:v>
      </x:c>
      <x:c r="E675" s="21" t="n">
        <x:f>IF('Scenario Results'!K280=IF('Scenario Results'!J280&gt;=1,"ADEQUATE","GAP"),1,0)</x:f>
        <x:v>1</x:v>
      </x:c>
      <x:c r="F675" s="21" t="n">
        <x:v>1</x:v>
      </x:c>
      <x:c r="G675" s="23" t="str">
        <x:f>IF(E675=F675,"PASS","FAIL")</x:f>
        <x:v>PASS</x:v>
      </x:c>
    </x:row>
    <x:row r="676">
      <x:c r="B676" s="21" t="str">
        <x:v>A00670</x:v>
      </x:c>
      <x:c r="C676" s="21" t="str">
        <x:v>scenario</x:v>
      </x:c>
      <x:c r="D676" s="21" t="str">
        <x:v>scenario result 275 conservation</x:v>
      </x:c>
      <x:c r="E676" s="21" t="n">
        <x:f>IF(AND(ABS('Scenario Results'!I281-MIN('Scenario Results'!E281,'Scenario Results'!H281))&lt;0.000001,'Scenario Results'!I281&lt;='Scenario Results'!E281),1,0)</x:f>
        <x:v>1</x:v>
      </x:c>
      <x:c r="F676" s="21" t="n">
        <x:v>1</x:v>
      </x:c>
      <x:c r="G676" s="23" t="str">
        <x:f>IF(E676=F676,"PASS","FAIL")</x:f>
        <x:v>PASS</x:v>
      </x:c>
    </x:row>
    <x:row r="677">
      <x:c r="B677" s="21" t="str">
        <x:v>A00671</x:v>
      </x:c>
      <x:c r="C677" s="21" t="str">
        <x:v>scenario</x:v>
      </x:c>
      <x:c r="D677" s="21" t="str">
        <x:v>scenario result 275 state</x:v>
      </x:c>
      <x:c r="E677" s="21" t="n">
        <x:f>IF('Scenario Results'!K281=IF('Scenario Results'!J281&gt;=1,"ADEQUATE","GAP"),1,0)</x:f>
        <x:v>1</x:v>
      </x:c>
      <x:c r="F677" s="21" t="n">
        <x:v>1</x:v>
      </x:c>
      <x:c r="G677" s="23" t="str">
        <x:f>IF(E677=F677,"PASS","FAIL")</x:f>
        <x:v>PASS</x:v>
      </x:c>
    </x:row>
    <x:row r="678">
      <x:c r="B678" s="21" t="str">
        <x:v>A00672</x:v>
      </x:c>
      <x:c r="C678" s="21" t="str">
        <x:v>scenario</x:v>
      </x:c>
      <x:c r="D678" s="21" t="str">
        <x:v>scenario result 276 conservation</x:v>
      </x:c>
      <x:c r="E678" s="21" t="n">
        <x:f>IF(AND(ABS('Scenario Results'!I282-MIN('Scenario Results'!E282,'Scenario Results'!H282))&lt;0.000001,'Scenario Results'!I282&lt;='Scenario Results'!E282),1,0)</x:f>
        <x:v>1</x:v>
      </x:c>
      <x:c r="F678" s="21" t="n">
        <x:v>1</x:v>
      </x:c>
      <x:c r="G678" s="23" t="str">
        <x:f>IF(E678=F678,"PASS","FAIL")</x:f>
        <x:v>PASS</x:v>
      </x:c>
    </x:row>
    <x:row r="679">
      <x:c r="B679" s="21" t="str">
        <x:v>A00673</x:v>
      </x:c>
      <x:c r="C679" s="21" t="str">
        <x:v>scenario</x:v>
      </x:c>
      <x:c r="D679" s="21" t="str">
        <x:v>scenario result 276 state</x:v>
      </x:c>
      <x:c r="E679" s="21" t="n">
        <x:f>IF('Scenario Results'!K282=IF('Scenario Results'!J282&gt;=1,"ADEQUATE","GAP"),1,0)</x:f>
        <x:v>1</x:v>
      </x:c>
      <x:c r="F679" s="21" t="n">
        <x:v>1</x:v>
      </x:c>
      <x:c r="G679" s="23" t="str">
        <x:f>IF(E679=F679,"PASS","FAIL")</x:f>
        <x:v>PASS</x:v>
      </x:c>
    </x:row>
    <x:row r="680">
      <x:c r="B680" s="21" t="str">
        <x:v>A00674</x:v>
      </x:c>
      <x:c r="C680" s="21" t="str">
        <x:v>scenario</x:v>
      </x:c>
      <x:c r="D680" s="21" t="str">
        <x:v>scenario result 277 conservation</x:v>
      </x:c>
      <x:c r="E680" s="21" t="n">
        <x:f>IF(AND(ABS('Scenario Results'!I283-MIN('Scenario Results'!E283,'Scenario Results'!H283))&lt;0.000001,'Scenario Results'!I283&lt;='Scenario Results'!E283),1,0)</x:f>
        <x:v>1</x:v>
      </x:c>
      <x:c r="F680" s="21" t="n">
        <x:v>1</x:v>
      </x:c>
      <x:c r="G680" s="23" t="str">
        <x:f>IF(E680=F680,"PASS","FAIL")</x:f>
        <x:v>PASS</x:v>
      </x:c>
    </x:row>
    <x:row r="681">
      <x:c r="B681" s="21" t="str">
        <x:v>A00675</x:v>
      </x:c>
      <x:c r="C681" s="21" t="str">
        <x:v>scenario</x:v>
      </x:c>
      <x:c r="D681" s="21" t="str">
        <x:v>scenario result 277 state</x:v>
      </x:c>
      <x:c r="E681" s="21" t="n">
        <x:f>IF('Scenario Results'!K283=IF('Scenario Results'!J283&gt;=1,"ADEQUATE","GAP"),1,0)</x:f>
        <x:v>1</x:v>
      </x:c>
      <x:c r="F681" s="21" t="n">
        <x:v>1</x:v>
      </x:c>
      <x:c r="G681" s="23" t="str">
        <x:f>IF(E681=F681,"PASS","FAIL")</x:f>
        <x:v>PASS</x:v>
      </x:c>
    </x:row>
    <x:row r="682">
      <x:c r="B682" s="21" t="str">
        <x:v>A00676</x:v>
      </x:c>
      <x:c r="C682" s="21" t="str">
        <x:v>scenario</x:v>
      </x:c>
      <x:c r="D682" s="21" t="str">
        <x:v>scenario result 278 conservation</x:v>
      </x:c>
      <x:c r="E682" s="21" t="n">
        <x:f>IF(AND(ABS('Scenario Results'!I284-MIN('Scenario Results'!E284,'Scenario Results'!H284))&lt;0.000001,'Scenario Results'!I284&lt;='Scenario Results'!E284),1,0)</x:f>
        <x:v>1</x:v>
      </x:c>
      <x:c r="F682" s="21" t="n">
        <x:v>1</x:v>
      </x:c>
      <x:c r="G682" s="23" t="str">
        <x:f>IF(E682=F682,"PASS","FAIL")</x:f>
        <x:v>PASS</x:v>
      </x:c>
    </x:row>
    <x:row r="683">
      <x:c r="B683" s="21" t="str">
        <x:v>A00677</x:v>
      </x:c>
      <x:c r="C683" s="21" t="str">
        <x:v>scenario</x:v>
      </x:c>
      <x:c r="D683" s="21" t="str">
        <x:v>scenario result 278 state</x:v>
      </x:c>
      <x:c r="E683" s="21" t="n">
        <x:f>IF('Scenario Results'!K284=IF('Scenario Results'!J284&gt;=1,"ADEQUATE","GAP"),1,0)</x:f>
        <x:v>1</x:v>
      </x:c>
      <x:c r="F683" s="21" t="n">
        <x:v>1</x:v>
      </x:c>
      <x:c r="G683" s="23" t="str">
        <x:f>IF(E683=F683,"PASS","FAIL")</x:f>
        <x:v>PASS</x:v>
      </x:c>
    </x:row>
    <x:row r="684">
      <x:c r="B684" s="21" t="str">
        <x:v>A00678</x:v>
      </x:c>
      <x:c r="C684" s="21" t="str">
        <x:v>scenario</x:v>
      </x:c>
      <x:c r="D684" s="21" t="str">
        <x:v>scenario result 279 conservation</x:v>
      </x:c>
      <x:c r="E684" s="21" t="n">
        <x:f>IF(AND(ABS('Scenario Results'!I285-MIN('Scenario Results'!E285,'Scenario Results'!H285))&lt;0.000001,'Scenario Results'!I285&lt;='Scenario Results'!E285),1,0)</x:f>
        <x:v>1</x:v>
      </x:c>
      <x:c r="F684" s="21" t="n">
        <x:v>1</x:v>
      </x:c>
      <x:c r="G684" s="23" t="str">
        <x:f>IF(E684=F684,"PASS","FAIL")</x:f>
        <x:v>PASS</x:v>
      </x:c>
    </x:row>
    <x:row r="685">
      <x:c r="B685" s="21" t="str">
        <x:v>A00679</x:v>
      </x:c>
      <x:c r="C685" s="21" t="str">
        <x:v>scenario</x:v>
      </x:c>
      <x:c r="D685" s="21" t="str">
        <x:v>scenario result 279 state</x:v>
      </x:c>
      <x:c r="E685" s="21" t="n">
        <x:f>IF('Scenario Results'!K285=IF('Scenario Results'!J285&gt;=1,"ADEQUATE","GAP"),1,0)</x:f>
        <x:v>1</x:v>
      </x:c>
      <x:c r="F685" s="21" t="n">
        <x:v>1</x:v>
      </x:c>
      <x:c r="G685" s="23" t="str">
        <x:f>IF(E685=F685,"PASS","FAIL")</x:f>
        <x:v>PASS</x:v>
      </x:c>
    </x:row>
    <x:row r="686">
      <x:c r="B686" s="21" t="str">
        <x:v>A00680</x:v>
      </x:c>
      <x:c r="C686" s="21" t="str">
        <x:v>scenario</x:v>
      </x:c>
      <x:c r="D686" s="21" t="str">
        <x:v>scenario result 280 conservation</x:v>
      </x:c>
      <x:c r="E686" s="21" t="n">
        <x:f>IF(AND(ABS('Scenario Results'!I286-MIN('Scenario Results'!E286,'Scenario Results'!H286))&lt;0.000001,'Scenario Results'!I286&lt;='Scenario Results'!E286),1,0)</x:f>
        <x:v>1</x:v>
      </x:c>
      <x:c r="F686" s="21" t="n">
        <x:v>1</x:v>
      </x:c>
      <x:c r="G686" s="23" t="str">
        <x:f>IF(E686=F686,"PASS","FAIL")</x:f>
        <x:v>PASS</x:v>
      </x:c>
    </x:row>
    <x:row r="687">
      <x:c r="B687" s="21" t="str">
        <x:v>A00681</x:v>
      </x:c>
      <x:c r="C687" s="21" t="str">
        <x:v>scenario</x:v>
      </x:c>
      <x:c r="D687" s="21" t="str">
        <x:v>scenario result 280 state</x:v>
      </x:c>
      <x:c r="E687" s="21" t="n">
        <x:f>IF('Scenario Results'!K286=IF('Scenario Results'!J286&gt;=1,"ADEQUATE","GAP"),1,0)</x:f>
        <x:v>1</x:v>
      </x:c>
      <x:c r="F687" s="21" t="n">
        <x:v>1</x:v>
      </x:c>
      <x:c r="G687" s="23" t="str">
        <x:f>IF(E687=F687,"PASS","FAIL")</x:f>
        <x:v>PASS</x:v>
      </x:c>
    </x:row>
    <x:row r="688">
      <x:c r="B688" s="21" t="str">
        <x:v>A00682</x:v>
      </x:c>
      <x:c r="C688" s="21" t="str">
        <x:v>scenario</x:v>
      </x:c>
      <x:c r="D688" s="21" t="str">
        <x:v>scenario result 281 conservation</x:v>
      </x:c>
      <x:c r="E688" s="21" t="n">
        <x:f>IF(AND(ABS('Scenario Results'!I287-MIN('Scenario Results'!E287,'Scenario Results'!H287))&lt;0.000001,'Scenario Results'!I287&lt;='Scenario Results'!E287),1,0)</x:f>
        <x:v>1</x:v>
      </x:c>
      <x:c r="F688" s="21" t="n">
        <x:v>1</x:v>
      </x:c>
      <x:c r="G688" s="23" t="str">
        <x:f>IF(E688=F688,"PASS","FAIL")</x:f>
        <x:v>PASS</x:v>
      </x:c>
    </x:row>
    <x:row r="689">
      <x:c r="B689" s="21" t="str">
        <x:v>A00683</x:v>
      </x:c>
      <x:c r="C689" s="21" t="str">
        <x:v>scenario</x:v>
      </x:c>
      <x:c r="D689" s="21" t="str">
        <x:v>scenario result 281 state</x:v>
      </x:c>
      <x:c r="E689" s="21" t="n">
        <x:f>IF('Scenario Results'!K287=IF('Scenario Results'!J287&gt;=1,"ADEQUATE","GAP"),1,0)</x:f>
        <x:v>1</x:v>
      </x:c>
      <x:c r="F689" s="21" t="n">
        <x:v>1</x:v>
      </x:c>
      <x:c r="G689" s="23" t="str">
        <x:f>IF(E689=F689,"PASS","FAIL")</x:f>
        <x:v>PASS</x:v>
      </x:c>
    </x:row>
    <x:row r="690">
      <x:c r="B690" s="21" t="str">
        <x:v>A00684</x:v>
      </x:c>
      <x:c r="C690" s="21" t="str">
        <x:v>scenario</x:v>
      </x:c>
      <x:c r="D690" s="21" t="str">
        <x:v>scenario result 282 conservation</x:v>
      </x:c>
      <x:c r="E690" s="21" t="n">
        <x:f>IF(AND(ABS('Scenario Results'!I288-MIN('Scenario Results'!E288,'Scenario Results'!H288))&lt;0.000001,'Scenario Results'!I288&lt;='Scenario Results'!E288),1,0)</x:f>
        <x:v>1</x:v>
      </x:c>
      <x:c r="F690" s="21" t="n">
        <x:v>1</x:v>
      </x:c>
      <x:c r="G690" s="23" t="str">
        <x:f>IF(E690=F690,"PASS","FAIL")</x:f>
        <x:v>PASS</x:v>
      </x:c>
    </x:row>
    <x:row r="691">
      <x:c r="B691" s="21" t="str">
        <x:v>A00685</x:v>
      </x:c>
      <x:c r="C691" s="21" t="str">
        <x:v>scenario</x:v>
      </x:c>
      <x:c r="D691" s="21" t="str">
        <x:v>scenario result 282 state</x:v>
      </x:c>
      <x:c r="E691" s="21" t="n">
        <x:f>IF('Scenario Results'!K288=IF('Scenario Results'!J288&gt;=1,"ADEQUATE","GAP"),1,0)</x:f>
        <x:v>1</x:v>
      </x:c>
      <x:c r="F691" s="21" t="n">
        <x:v>1</x:v>
      </x:c>
      <x:c r="G691" s="23" t="str">
        <x:f>IF(E691=F691,"PASS","FAIL")</x:f>
        <x:v>PASS</x:v>
      </x:c>
    </x:row>
    <x:row r="692">
      <x:c r="B692" s="21" t="str">
        <x:v>A00686</x:v>
      </x:c>
      <x:c r="C692" s="21" t="str">
        <x:v>scenario</x:v>
      </x:c>
      <x:c r="D692" s="21" t="str">
        <x:v>scenario result 283 conservation</x:v>
      </x:c>
      <x:c r="E692" s="21" t="n">
        <x:f>IF(AND(ABS('Scenario Results'!I289-MIN('Scenario Results'!E289,'Scenario Results'!H289))&lt;0.000001,'Scenario Results'!I289&lt;='Scenario Results'!E289),1,0)</x:f>
        <x:v>1</x:v>
      </x:c>
      <x:c r="F692" s="21" t="n">
        <x:v>1</x:v>
      </x:c>
      <x:c r="G692" s="23" t="str">
        <x:f>IF(E692=F692,"PASS","FAIL")</x:f>
        <x:v>PASS</x:v>
      </x:c>
    </x:row>
    <x:row r="693">
      <x:c r="B693" s="21" t="str">
        <x:v>A00687</x:v>
      </x:c>
      <x:c r="C693" s="21" t="str">
        <x:v>scenario</x:v>
      </x:c>
      <x:c r="D693" s="21" t="str">
        <x:v>scenario result 283 state</x:v>
      </x:c>
      <x:c r="E693" s="21" t="n">
        <x:f>IF('Scenario Results'!K289=IF('Scenario Results'!J289&gt;=1,"ADEQUATE","GAP"),1,0)</x:f>
        <x:v>1</x:v>
      </x:c>
      <x:c r="F693" s="21" t="n">
        <x:v>1</x:v>
      </x:c>
      <x:c r="G693" s="23" t="str">
        <x:f>IF(E693=F693,"PASS","FAIL")</x:f>
        <x:v>PASS</x:v>
      </x:c>
    </x:row>
    <x:row r="694">
      <x:c r="B694" s="21" t="str">
        <x:v>A00688</x:v>
      </x:c>
      <x:c r="C694" s="21" t="str">
        <x:v>scenario</x:v>
      </x:c>
      <x:c r="D694" s="21" t="str">
        <x:v>scenario result 284 conservation</x:v>
      </x:c>
      <x:c r="E694" s="21" t="n">
        <x:f>IF(AND(ABS('Scenario Results'!I290-MIN('Scenario Results'!E290,'Scenario Results'!H290))&lt;0.000001,'Scenario Results'!I290&lt;='Scenario Results'!E290),1,0)</x:f>
        <x:v>1</x:v>
      </x:c>
      <x:c r="F694" s="21" t="n">
        <x:v>1</x:v>
      </x:c>
      <x:c r="G694" s="23" t="str">
        <x:f>IF(E694=F694,"PASS","FAIL")</x:f>
        <x:v>PASS</x:v>
      </x:c>
    </x:row>
    <x:row r="695">
      <x:c r="B695" s="21" t="str">
        <x:v>A00689</x:v>
      </x:c>
      <x:c r="C695" s="21" t="str">
        <x:v>scenario</x:v>
      </x:c>
      <x:c r="D695" s="21" t="str">
        <x:v>scenario result 284 state</x:v>
      </x:c>
      <x:c r="E695" s="21" t="n">
        <x:f>IF('Scenario Results'!K290=IF('Scenario Results'!J290&gt;=1,"ADEQUATE","GAP"),1,0)</x:f>
        <x:v>1</x:v>
      </x:c>
      <x:c r="F695" s="21" t="n">
        <x:v>1</x:v>
      </x:c>
      <x:c r="G695" s="23" t="str">
        <x:f>IF(E695=F695,"PASS","FAIL")</x:f>
        <x:v>PASS</x:v>
      </x:c>
    </x:row>
    <x:row r="696">
      <x:c r="B696" s="21" t="str">
        <x:v>A00690</x:v>
      </x:c>
      <x:c r="C696" s="21" t="str">
        <x:v>scenario</x:v>
      </x:c>
      <x:c r="D696" s="21" t="str">
        <x:v>scenario result 285 conservation</x:v>
      </x:c>
      <x:c r="E696" s="21" t="n">
        <x:f>IF(AND(ABS('Scenario Results'!I291-MIN('Scenario Results'!E291,'Scenario Results'!H291))&lt;0.000001,'Scenario Results'!I291&lt;='Scenario Results'!E291),1,0)</x:f>
        <x:v>1</x:v>
      </x:c>
      <x:c r="F696" s="21" t="n">
        <x:v>1</x:v>
      </x:c>
      <x:c r="G696" s="23" t="str">
        <x:f>IF(E696=F696,"PASS","FAIL")</x:f>
        <x:v>PASS</x:v>
      </x:c>
    </x:row>
    <x:row r="697">
      <x:c r="B697" s="21" t="str">
        <x:v>A00691</x:v>
      </x:c>
      <x:c r="C697" s="21" t="str">
        <x:v>scenario</x:v>
      </x:c>
      <x:c r="D697" s="21" t="str">
        <x:v>scenario result 285 state</x:v>
      </x:c>
      <x:c r="E697" s="21" t="n">
        <x:f>IF('Scenario Results'!K291=IF('Scenario Results'!J291&gt;=1,"ADEQUATE","GAP"),1,0)</x:f>
        <x:v>1</x:v>
      </x:c>
      <x:c r="F697" s="21" t="n">
        <x:v>1</x:v>
      </x:c>
      <x:c r="G697" s="23" t="str">
        <x:f>IF(E697=F697,"PASS","FAIL")</x:f>
        <x:v>PASS</x:v>
      </x:c>
    </x:row>
    <x:row r="698">
      <x:c r="B698" s="21" t="str">
        <x:v>A00692</x:v>
      </x:c>
      <x:c r="C698" s="21" t="str">
        <x:v>scenario</x:v>
      </x:c>
      <x:c r="D698" s="21" t="str">
        <x:v>scenario result 286 conservation</x:v>
      </x:c>
      <x:c r="E698" s="21" t="n">
        <x:f>IF(AND(ABS('Scenario Results'!I292-MIN('Scenario Results'!E292,'Scenario Results'!H292))&lt;0.000001,'Scenario Results'!I292&lt;='Scenario Results'!E292),1,0)</x:f>
        <x:v>1</x:v>
      </x:c>
      <x:c r="F698" s="21" t="n">
        <x:v>1</x:v>
      </x:c>
      <x:c r="G698" s="23" t="str">
        <x:f>IF(E698=F698,"PASS","FAIL")</x:f>
        <x:v>PASS</x:v>
      </x:c>
    </x:row>
    <x:row r="699">
      <x:c r="B699" s="21" t="str">
        <x:v>A00693</x:v>
      </x:c>
      <x:c r="C699" s="21" t="str">
        <x:v>scenario</x:v>
      </x:c>
      <x:c r="D699" s="21" t="str">
        <x:v>scenario result 286 state</x:v>
      </x:c>
      <x:c r="E699" s="21" t="n">
        <x:f>IF('Scenario Results'!K292=IF('Scenario Results'!J292&gt;=1,"ADEQUATE","GAP"),1,0)</x:f>
        <x:v>1</x:v>
      </x:c>
      <x:c r="F699" s="21" t="n">
        <x:v>1</x:v>
      </x:c>
      <x:c r="G699" s="23" t="str">
        <x:f>IF(E699=F699,"PASS","FAIL")</x:f>
        <x:v>PASS</x:v>
      </x:c>
    </x:row>
    <x:row r="700">
      <x:c r="B700" s="21" t="str">
        <x:v>A00694</x:v>
      </x:c>
      <x:c r="C700" s="21" t="str">
        <x:v>scenario</x:v>
      </x:c>
      <x:c r="D700" s="21" t="str">
        <x:v>scenario result 287 conservation</x:v>
      </x:c>
      <x:c r="E700" s="21" t="n">
        <x:f>IF(AND(ABS('Scenario Results'!I293-MIN('Scenario Results'!E293,'Scenario Results'!H293))&lt;0.000001,'Scenario Results'!I293&lt;='Scenario Results'!E293),1,0)</x:f>
        <x:v>1</x:v>
      </x:c>
      <x:c r="F700" s="21" t="n">
        <x:v>1</x:v>
      </x:c>
      <x:c r="G700" s="23" t="str">
        <x:f>IF(E700=F700,"PASS","FAIL")</x:f>
        <x:v>PASS</x:v>
      </x:c>
    </x:row>
    <x:row r="701">
      <x:c r="B701" s="21" t="str">
        <x:v>A00695</x:v>
      </x:c>
      <x:c r="C701" s="21" t="str">
        <x:v>scenario</x:v>
      </x:c>
      <x:c r="D701" s="21" t="str">
        <x:v>scenario result 287 state</x:v>
      </x:c>
      <x:c r="E701" s="21" t="n">
        <x:f>IF('Scenario Results'!K293=IF('Scenario Results'!J293&gt;=1,"ADEQUATE","GAP"),1,0)</x:f>
        <x:v>1</x:v>
      </x:c>
      <x:c r="F701" s="21" t="n">
        <x:v>1</x:v>
      </x:c>
      <x:c r="G701" s="23" t="str">
        <x:f>IF(E701=F701,"PASS","FAIL")</x:f>
        <x:v>PASS</x:v>
      </x:c>
    </x:row>
    <x:row r="702">
      <x:c r="B702" s="21" t="str">
        <x:v>A00696</x:v>
      </x:c>
      <x:c r="C702" s="21" t="str">
        <x:v>scenario</x:v>
      </x:c>
      <x:c r="D702" s="21" t="str">
        <x:v>scenario result 288 conservation</x:v>
      </x:c>
      <x:c r="E702" s="21" t="n">
        <x:f>IF(AND(ABS('Scenario Results'!I294-MIN('Scenario Results'!E294,'Scenario Results'!H294))&lt;0.000001,'Scenario Results'!I294&lt;='Scenario Results'!E294),1,0)</x:f>
        <x:v>1</x:v>
      </x:c>
      <x:c r="F702" s="21" t="n">
        <x:v>1</x:v>
      </x:c>
      <x:c r="G702" s="23" t="str">
        <x:f>IF(E702=F702,"PASS","FAIL")</x:f>
        <x:v>PASS</x:v>
      </x:c>
    </x:row>
    <x:row r="703">
      <x:c r="B703" s="21" t="str">
        <x:v>A00697</x:v>
      </x:c>
      <x:c r="C703" s="21" t="str">
        <x:v>scenario</x:v>
      </x:c>
      <x:c r="D703" s="21" t="str">
        <x:v>scenario result 288 state</x:v>
      </x:c>
      <x:c r="E703" s="21" t="n">
        <x:f>IF('Scenario Results'!K294=IF('Scenario Results'!J294&gt;=1,"ADEQUATE","GAP"),1,0)</x:f>
        <x:v>1</x:v>
      </x:c>
      <x:c r="F703" s="21" t="n">
        <x:v>1</x:v>
      </x:c>
      <x:c r="G703" s="23" t="str">
        <x:f>IF(E703=F703,"PASS","FAIL")</x:f>
        <x:v>PASS</x:v>
      </x:c>
    </x:row>
    <x:row r="704">
      <x:c r="B704" s="21" t="str">
        <x:v>A00698</x:v>
      </x:c>
      <x:c r="C704" s="21" t="str">
        <x:v>stage</x:v>
      </x:c>
      <x:c r="D704" s="21" t="str">
        <x:v>stage 1 planned conservation</x:v>
      </x:c>
      <x:c r="E704" s="21" t="n">
        <x:f>IF(ABS('Stage Ledger'!J7-MIN('Stage Ledger'!F7,'Stage Ledger'!H7,'Stage Ledger'!I7))&lt;0.000001,1,0)</x:f>
        <x:v>1</x:v>
      </x:c>
      <x:c r="F704" s="21" t="n">
        <x:v>1</x:v>
      </x:c>
      <x:c r="G704" s="23" t="str">
        <x:f>IF(E704=F704,"PASS","FAIL")</x:f>
        <x:v>PASS</x:v>
      </x:c>
    </x:row>
    <x:row r="705">
      <x:c r="B705" s="21" t="str">
        <x:v>A00699</x:v>
      </x:c>
      <x:c r="C705" s="21" t="str">
        <x:v>stage</x:v>
      </x:c>
      <x:c r="D705" s="21" t="str">
        <x:v>stage 1 observed conservation</x:v>
      </x:c>
      <x:c r="E705" s="21" t="n">
        <x:f>IF(AND(ABS('Stage Ledger'!R7-IF(AND('Stage Ledger'!P7=1,'Stage Ledger'!Q7=1),MIN('Stage Ledger'!F7,'Stage Ledger'!M7),0))&lt;0.000001,'Stage Ledger'!S7=IF('Stage Ledger'!R7&gt;='Stage Ledger'!F7,"ADMITTED","NOT ADMITTED")),1,0)</x:f>
        <x:v>1</x:v>
      </x:c>
      <x:c r="F705" s="21" t="n">
        <x:v>1</x:v>
      </x:c>
      <x:c r="G705" s="23" t="str">
        <x:f>IF(E705=F705,"PASS","FAIL")</x:f>
        <x:v>PASS</x:v>
      </x:c>
    </x:row>
    <x:row r="706">
      <x:c r="B706" s="21" t="str">
        <x:v>A00700</x:v>
      </x:c>
      <x:c r="C706" s="21" t="str">
        <x:v>stage</x:v>
      </x:c>
      <x:c r="D706" s="21" t="str">
        <x:v>stage 2 planned conservation</x:v>
      </x:c>
      <x:c r="E706" s="21" t="n">
        <x:f>IF(ABS('Stage Ledger'!J8-MIN('Stage Ledger'!F8,'Stage Ledger'!H8,'Stage Ledger'!I8))&lt;0.000001,1,0)</x:f>
        <x:v>1</x:v>
      </x:c>
      <x:c r="F706" s="21" t="n">
        <x:v>1</x:v>
      </x:c>
      <x:c r="G706" s="23" t="str">
        <x:f>IF(E706=F706,"PASS","FAIL")</x:f>
        <x:v>PASS</x:v>
      </x:c>
    </x:row>
    <x:row r="707">
      <x:c r="B707" s="21" t="str">
        <x:v>A00701</x:v>
      </x:c>
      <x:c r="C707" s="21" t="str">
        <x:v>stage</x:v>
      </x:c>
      <x:c r="D707" s="21" t="str">
        <x:v>stage 2 observed conservation</x:v>
      </x:c>
      <x:c r="E707" s="21" t="n">
        <x:f>IF(AND(ABS('Stage Ledger'!R8-IF(AND('Stage Ledger'!P8=1,'Stage Ledger'!Q8=1),MIN('Stage Ledger'!F8,'Stage Ledger'!M8,'Stage Ledger'!R7),0))&lt;0.000001,'Stage Ledger'!S8=IF('Stage Ledger'!R8&gt;='Stage Ledger'!F8,"ADMITTED","NOT ADMITTED")),1,0)</x:f>
        <x:v>1</x:v>
      </x:c>
      <x:c r="F707" s="21" t="n">
        <x:v>1</x:v>
      </x:c>
      <x:c r="G707" s="23" t="str">
        <x:f>IF(E707=F707,"PASS","FAIL")</x:f>
        <x:v>PASS</x:v>
      </x:c>
    </x:row>
    <x:row r="708">
      <x:c r="B708" s="21" t="str">
        <x:v>A00702</x:v>
      </x:c>
      <x:c r="C708" s="21" t="str">
        <x:v>stage</x:v>
      </x:c>
      <x:c r="D708" s="21" t="str">
        <x:v>stage 3 planned conservation</x:v>
      </x:c>
      <x:c r="E708" s="21" t="n">
        <x:f>IF(ABS('Stage Ledger'!J9-MIN('Stage Ledger'!F9,'Stage Ledger'!H9,'Stage Ledger'!I9))&lt;0.000001,1,0)</x:f>
        <x:v>1</x:v>
      </x:c>
      <x:c r="F708" s="21" t="n">
        <x:v>1</x:v>
      </x:c>
      <x:c r="G708" s="23" t="str">
        <x:f>IF(E708=F708,"PASS","FAIL")</x:f>
        <x:v>PASS</x:v>
      </x:c>
    </x:row>
    <x:row r="709">
      <x:c r="B709" s="21" t="str">
        <x:v>A00703</x:v>
      </x:c>
      <x:c r="C709" s="21" t="str">
        <x:v>stage</x:v>
      </x:c>
      <x:c r="D709" s="21" t="str">
        <x:v>stage 3 observed conservation</x:v>
      </x:c>
      <x:c r="E709" s="21" t="n">
        <x:f>IF(AND(ABS('Stage Ledger'!R9-IF(AND('Stage Ledger'!P9=1,'Stage Ledger'!Q9=1),MIN('Stage Ledger'!F9,'Stage Ledger'!M9,'Stage Ledger'!R8),0))&lt;0.000001,'Stage Ledger'!S9=IF('Stage Ledger'!R9&gt;='Stage Ledger'!F9,"ADMITTED","NOT ADMITTED")),1,0)</x:f>
        <x:v>1</x:v>
      </x:c>
      <x:c r="F709" s="21" t="n">
        <x:v>1</x:v>
      </x:c>
      <x:c r="G709" s="23" t="str">
        <x:f>IF(E709=F709,"PASS","FAIL")</x:f>
        <x:v>PASS</x:v>
      </x:c>
    </x:row>
    <x:row r="710">
      <x:c r="B710" s="21" t="str">
        <x:v>A00704</x:v>
      </x:c>
      <x:c r="C710" s="21" t="str">
        <x:v>stage</x:v>
      </x:c>
      <x:c r="D710" s="21" t="str">
        <x:v>stage 4 planned conservation</x:v>
      </x:c>
      <x:c r="E710" s="21" t="n">
        <x:f>IF(ABS('Stage Ledger'!J10-MIN('Stage Ledger'!F10,'Stage Ledger'!H10,'Stage Ledger'!I10))&lt;0.000001,1,0)</x:f>
        <x:v>1</x:v>
      </x:c>
      <x:c r="F710" s="21" t="n">
        <x:v>1</x:v>
      </x:c>
      <x:c r="G710" s="23" t="str">
        <x:f>IF(E710=F710,"PASS","FAIL")</x:f>
        <x:v>PASS</x:v>
      </x:c>
    </x:row>
    <x:row r="711">
      <x:c r="B711" s="21" t="str">
        <x:v>A00705</x:v>
      </x:c>
      <x:c r="C711" s="21" t="str">
        <x:v>stage</x:v>
      </x:c>
      <x:c r="D711" s="21" t="str">
        <x:v>stage 4 observed conservation</x:v>
      </x:c>
      <x:c r="E711" s="21" t="n">
        <x:f>IF(AND(ABS('Stage Ledger'!R10-IF(AND('Stage Ledger'!P10=1,'Stage Ledger'!Q10=1),MIN('Stage Ledger'!F10,'Stage Ledger'!M10,'Stage Ledger'!R9),0))&lt;0.000001,'Stage Ledger'!S10=IF('Stage Ledger'!R10&gt;='Stage Ledger'!F10,"ADMITTED","NOT ADMITTED")),1,0)</x:f>
        <x:v>1</x:v>
      </x:c>
      <x:c r="F711" s="21" t="n">
        <x:v>1</x:v>
      </x:c>
      <x:c r="G711" s="23" t="str">
        <x:f>IF(E711=F711,"PASS","FAIL")</x:f>
        <x:v>PASS</x:v>
      </x:c>
    </x:row>
    <x:row r="712">
      <x:c r="B712" s="21" t="str">
        <x:v>A00706</x:v>
      </x:c>
      <x:c r="C712" s="21" t="str">
        <x:v>stage</x:v>
      </x:c>
      <x:c r="D712" s="21" t="str">
        <x:v>stage 5 planned conservation</x:v>
      </x:c>
      <x:c r="E712" s="21" t="n">
        <x:f>IF(ABS('Stage Ledger'!J11-MIN('Stage Ledger'!F11,'Stage Ledger'!H11,'Stage Ledger'!I11))&lt;0.000001,1,0)</x:f>
        <x:v>1</x:v>
      </x:c>
      <x:c r="F712" s="21" t="n">
        <x:v>1</x:v>
      </x:c>
      <x:c r="G712" s="23" t="str">
        <x:f>IF(E712=F712,"PASS","FAIL")</x:f>
        <x:v>PASS</x:v>
      </x:c>
    </x:row>
    <x:row r="713">
      <x:c r="B713" s="21" t="str">
        <x:v>A00707</x:v>
      </x:c>
      <x:c r="C713" s="21" t="str">
        <x:v>stage</x:v>
      </x:c>
      <x:c r="D713" s="21" t="str">
        <x:v>stage 5 observed conservation</x:v>
      </x:c>
      <x:c r="E713" s="21" t="n">
        <x:f>IF(AND(ABS('Stage Ledger'!R11-IF(AND('Stage Ledger'!P11=1,'Stage Ledger'!Q11=1),MIN('Stage Ledger'!F11,'Stage Ledger'!M11,'Stage Ledger'!R10),0))&lt;0.000001,'Stage Ledger'!S11=IF('Stage Ledger'!R11&gt;='Stage Ledger'!F11,"ADMITTED","NOT ADMITTED")),1,0)</x:f>
        <x:v>1</x:v>
      </x:c>
      <x:c r="F713" s="21" t="n">
        <x:v>1</x:v>
      </x:c>
      <x:c r="G713" s="23" t="str">
        <x:f>IF(E713=F713,"PASS","FAIL")</x:f>
        <x:v>PASS</x:v>
      </x:c>
    </x:row>
    <x:row r="714">
      <x:c r="B714" s="21" t="str">
        <x:v>A00708</x:v>
      </x:c>
      <x:c r="C714" s="21" t="str">
        <x:v>stage</x:v>
      </x:c>
      <x:c r="D714" s="21" t="str">
        <x:v>stage 6 planned conservation</x:v>
      </x:c>
      <x:c r="E714" s="21" t="n">
        <x:f>IF(ABS('Stage Ledger'!J12-MIN('Stage Ledger'!F12,'Stage Ledger'!H12,'Stage Ledger'!I12))&lt;0.000001,1,0)</x:f>
        <x:v>1</x:v>
      </x:c>
      <x:c r="F714" s="21" t="n">
        <x:v>1</x:v>
      </x:c>
      <x:c r="G714" s="23" t="str">
        <x:f>IF(E714=F714,"PASS","FAIL")</x:f>
        <x:v>PASS</x:v>
      </x:c>
    </x:row>
    <x:row r="715">
      <x:c r="B715" s="21" t="str">
        <x:v>A00709</x:v>
      </x:c>
      <x:c r="C715" s="21" t="str">
        <x:v>stage</x:v>
      </x:c>
      <x:c r="D715" s="21" t="str">
        <x:v>stage 6 observed conservation</x:v>
      </x:c>
      <x:c r="E715" s="21" t="n">
        <x:f>IF(AND(ABS('Stage Ledger'!R12-IF(AND('Stage Ledger'!P12=1,'Stage Ledger'!Q12=1),MIN('Stage Ledger'!F12,'Stage Ledger'!M12,'Stage Ledger'!R11),0))&lt;0.000001,'Stage Ledger'!S12=IF('Stage Ledger'!R12&gt;='Stage Ledger'!F12,"ADMITTED","NOT ADMITTED")),1,0)</x:f>
        <x:v>1</x:v>
      </x:c>
      <x:c r="F715" s="21" t="n">
        <x:v>1</x:v>
      </x:c>
      <x:c r="G715" s="23" t="str">
        <x:f>IF(E715=F715,"PASS","FAIL")</x:f>
        <x:v>PASS</x:v>
      </x:c>
    </x:row>
    <x:row r="716">
      <x:c r="B716" s="21" t="str">
        <x:v>A00710</x:v>
      </x:c>
      <x:c r="C716" s="21" t="str">
        <x:v>stage</x:v>
      </x:c>
      <x:c r="D716" s="21" t="str">
        <x:v>stage 7 planned conservation</x:v>
      </x:c>
      <x:c r="E716" s="21" t="n">
        <x:f>IF(ABS('Stage Ledger'!J13-MIN('Stage Ledger'!F13,'Stage Ledger'!H13,'Stage Ledger'!I13))&lt;0.000001,1,0)</x:f>
        <x:v>1</x:v>
      </x:c>
      <x:c r="F716" s="21" t="n">
        <x:v>1</x:v>
      </x:c>
      <x:c r="G716" s="23" t="str">
        <x:f>IF(E716=F716,"PASS","FAIL")</x:f>
        <x:v>PASS</x:v>
      </x:c>
    </x:row>
    <x:row r="717">
      <x:c r="B717" s="21" t="str">
        <x:v>A00711</x:v>
      </x:c>
      <x:c r="C717" s="21" t="str">
        <x:v>stage</x:v>
      </x:c>
      <x:c r="D717" s="21" t="str">
        <x:v>stage 7 observed conservation</x:v>
      </x:c>
      <x:c r="E717" s="21" t="n">
        <x:f>IF(AND(ABS('Stage Ledger'!R13-IF(AND('Stage Ledger'!P13=1,'Stage Ledger'!Q13=1),MIN('Stage Ledger'!F13,'Stage Ledger'!M13,'Stage Ledger'!R12),0))&lt;0.000001,'Stage Ledger'!S13=IF('Stage Ledger'!R13&gt;='Stage Ledger'!F13,"ADMITTED","NOT ADMITTED")),1,0)</x:f>
        <x:v>1</x:v>
      </x:c>
      <x:c r="F717" s="21" t="n">
        <x:v>1</x:v>
      </x:c>
      <x:c r="G717" s="23" t="str">
        <x:f>IF(E717=F717,"PASS","FAIL")</x:f>
        <x:v>PASS</x:v>
      </x:c>
    </x:row>
    <x:row r="718">
      <x:c r="B718" s="21" t="str">
        <x:v>A00712</x:v>
      </x:c>
      <x:c r="C718" s="21" t="str">
        <x:v>stage</x:v>
      </x:c>
      <x:c r="D718" s="21" t="str">
        <x:v>stage 8 planned conservation</x:v>
      </x:c>
      <x:c r="E718" s="21" t="n">
        <x:f>IF(ABS('Stage Ledger'!J14-MIN('Stage Ledger'!F14,'Stage Ledger'!H14,'Stage Ledger'!I14))&lt;0.000001,1,0)</x:f>
        <x:v>1</x:v>
      </x:c>
      <x:c r="F718" s="21" t="n">
        <x:v>1</x:v>
      </x:c>
      <x:c r="G718" s="23" t="str">
        <x:f>IF(E718=F718,"PASS","FAIL")</x:f>
        <x:v>PASS</x:v>
      </x:c>
    </x:row>
    <x:row r="719">
      <x:c r="B719" s="21" t="str">
        <x:v>A00713</x:v>
      </x:c>
      <x:c r="C719" s="21" t="str">
        <x:v>stage</x:v>
      </x:c>
      <x:c r="D719" s="21" t="str">
        <x:v>stage 8 observed conservation</x:v>
      </x:c>
      <x:c r="E719" s="21" t="n">
        <x:f>IF(AND(ABS('Stage Ledger'!R14-IF(AND('Stage Ledger'!P14=1,'Stage Ledger'!Q14=1),MIN('Stage Ledger'!F14,'Stage Ledger'!M14,'Stage Ledger'!R13),0))&lt;0.000001,'Stage Ledger'!S14=IF('Stage Ledger'!R14&gt;='Stage Ledger'!F14,"ADMITTED","NOT ADMITTED")),1,0)</x:f>
        <x:v>1</x:v>
      </x:c>
      <x:c r="F719" s="21" t="n">
        <x:v>1</x:v>
      </x:c>
      <x:c r="G719" s="23" t="str">
        <x:f>IF(E719=F719,"PASS","FAIL")</x:f>
        <x:v>PASS</x:v>
      </x:c>
    </x:row>
    <x:row r="720">
      <x:c r="B720" s="21" t="str">
        <x:v>A00714</x:v>
      </x:c>
      <x:c r="C720" s="21" t="str">
        <x:v>stage</x:v>
      </x:c>
      <x:c r="D720" s="21" t="str">
        <x:v>stage 9 planned conservation</x:v>
      </x:c>
      <x:c r="E720" s="21" t="n">
        <x:f>IF(ABS('Stage Ledger'!J15-MIN('Stage Ledger'!F15,'Stage Ledger'!H15,'Stage Ledger'!I15))&lt;0.000001,1,0)</x:f>
        <x:v>1</x:v>
      </x:c>
      <x:c r="F720" s="21" t="n">
        <x:v>1</x:v>
      </x:c>
      <x:c r="G720" s="23" t="str">
        <x:f>IF(E720=F720,"PASS","FAIL")</x:f>
        <x:v>PASS</x:v>
      </x:c>
    </x:row>
    <x:row r="721">
      <x:c r="B721" s="21" t="str">
        <x:v>A00715</x:v>
      </x:c>
      <x:c r="C721" s="21" t="str">
        <x:v>stage</x:v>
      </x:c>
      <x:c r="D721" s="21" t="str">
        <x:v>stage 9 observed conservation</x:v>
      </x:c>
      <x:c r="E721" s="21" t="n">
        <x:f>IF(AND(ABS('Stage Ledger'!R15-IF(AND('Stage Ledger'!P15=1,'Stage Ledger'!Q15=1),MIN('Stage Ledger'!F15,'Stage Ledger'!M15,'Stage Ledger'!R14),0))&lt;0.000001,'Stage Ledger'!S15=IF('Stage Ledger'!R15&gt;='Stage Ledger'!F15,"ADMITTED","NOT ADMITTED")),1,0)</x:f>
        <x:v>1</x:v>
      </x:c>
      <x:c r="F721" s="21" t="n">
        <x:v>1</x:v>
      </x:c>
      <x:c r="G721" s="23" t="str">
        <x:f>IF(E721=F721,"PASS","FAIL")</x:f>
        <x:v>PASS</x:v>
      </x:c>
    </x:row>
    <x:row r="722">
      <x:c r="B722" s="21" t="str">
        <x:v>A00716</x:v>
      </x:c>
      <x:c r="C722" s="21" t="str">
        <x:v>stage</x:v>
      </x:c>
      <x:c r="D722" s="21" t="str">
        <x:v>stage 10 planned conservation</x:v>
      </x:c>
      <x:c r="E722" s="21" t="n">
        <x:f>IF(ABS('Stage Ledger'!J16-MIN('Stage Ledger'!F16,'Stage Ledger'!H16,'Stage Ledger'!I16))&lt;0.000001,1,0)</x:f>
        <x:v>1</x:v>
      </x:c>
      <x:c r="F722" s="21" t="n">
        <x:v>1</x:v>
      </x:c>
      <x:c r="G722" s="23" t="str">
        <x:f>IF(E722=F722,"PASS","FAIL")</x:f>
        <x:v>PASS</x:v>
      </x:c>
    </x:row>
    <x:row r="723">
      <x:c r="B723" s="21" t="str">
        <x:v>A00717</x:v>
      </x:c>
      <x:c r="C723" s="21" t="str">
        <x:v>stage</x:v>
      </x:c>
      <x:c r="D723" s="21" t="str">
        <x:v>stage 10 observed conservation</x:v>
      </x:c>
      <x:c r="E723" s="21" t="n">
        <x:f>IF(AND(ABS('Stage Ledger'!R16-IF(AND('Stage Ledger'!P16=1,'Stage Ledger'!Q16=1),MIN('Stage Ledger'!F16,'Stage Ledger'!M16,'Stage Ledger'!R15),0))&lt;0.000001,'Stage Ledger'!S16=IF('Stage Ledger'!R16&gt;='Stage Ledger'!F16,"ADMITTED","NOT ADMITTED")),1,0)</x:f>
        <x:v>1</x:v>
      </x:c>
      <x:c r="F723" s="21" t="n">
        <x:v>1</x:v>
      </x:c>
      <x:c r="G723" s="23" t="str">
        <x:f>IF(E723=F723,"PASS","FAIL")</x:f>
        <x:v>PASS</x:v>
      </x:c>
    </x:row>
    <x:row r="724">
      <x:c r="B724" s="21" t="str">
        <x:v>A00718</x:v>
      </x:c>
      <x:c r="C724" s="21" t="str">
        <x:v>stage</x:v>
      </x:c>
      <x:c r="D724" s="21" t="str">
        <x:v>stage 11 planned conservation</x:v>
      </x:c>
      <x:c r="E724" s="21" t="n">
        <x:f>IF(ABS('Stage Ledger'!J17-MIN('Stage Ledger'!F17,'Stage Ledger'!H17,'Stage Ledger'!I17))&lt;0.000001,1,0)</x:f>
        <x:v>1</x:v>
      </x:c>
      <x:c r="F724" s="21" t="n">
        <x:v>1</x:v>
      </x:c>
      <x:c r="G724" s="23" t="str">
        <x:f>IF(E724=F724,"PASS","FAIL")</x:f>
        <x:v>PASS</x:v>
      </x:c>
    </x:row>
    <x:row r="725">
      <x:c r="B725" s="21" t="str">
        <x:v>A00719</x:v>
      </x:c>
      <x:c r="C725" s="21" t="str">
        <x:v>stage</x:v>
      </x:c>
      <x:c r="D725" s="21" t="str">
        <x:v>stage 11 observed conservation</x:v>
      </x:c>
      <x:c r="E725" s="21" t="n">
        <x:f>IF(AND(ABS('Stage Ledger'!R17-IF(AND('Stage Ledger'!P17=1,'Stage Ledger'!Q17=1),MIN('Stage Ledger'!F17,'Stage Ledger'!M17,'Stage Ledger'!R16),0))&lt;0.000001,'Stage Ledger'!S17=IF('Stage Ledger'!R17&gt;='Stage Ledger'!F17,"ADMITTED","NOT ADMITTED")),1,0)</x:f>
        <x:v>1</x:v>
      </x:c>
      <x:c r="F725" s="21" t="n">
        <x:v>1</x:v>
      </x:c>
      <x:c r="G725" s="23" t="str">
        <x:f>IF(E725=F725,"PASS","FAIL")</x:f>
        <x:v>PASS</x:v>
      </x:c>
    </x:row>
    <x:row r="726">
      <x:c r="B726" s="21" t="str">
        <x:v>A00720</x:v>
      </x:c>
      <x:c r="C726" s="21" t="str">
        <x:v>stage</x:v>
      </x:c>
      <x:c r="D726" s="21" t="str">
        <x:v>stage 12 planned conservation</x:v>
      </x:c>
      <x:c r="E726" s="21" t="n">
        <x:f>IF(ABS('Stage Ledger'!J18-MIN('Stage Ledger'!F18,'Stage Ledger'!H18,'Stage Ledger'!I18))&lt;0.000001,1,0)</x:f>
        <x:v>1</x:v>
      </x:c>
      <x:c r="F726" s="21" t="n">
        <x:v>1</x:v>
      </x:c>
      <x:c r="G726" s="23" t="str">
        <x:f>IF(E726=F726,"PASS","FAIL")</x:f>
        <x:v>PASS</x:v>
      </x:c>
    </x:row>
    <x:row r="727">
      <x:c r="B727" s="21" t="str">
        <x:v>A00721</x:v>
      </x:c>
      <x:c r="C727" s="21" t="str">
        <x:v>stage</x:v>
      </x:c>
      <x:c r="D727" s="21" t="str">
        <x:v>stage 12 observed conservation</x:v>
      </x:c>
      <x:c r="E727" s="21" t="n">
        <x:f>IF(AND(ABS('Stage Ledger'!R18-IF(AND('Stage Ledger'!P18=1,'Stage Ledger'!Q18=1),MIN('Stage Ledger'!F18,'Stage Ledger'!M18,'Stage Ledger'!R17),0))&lt;0.000001,'Stage Ledger'!S18=IF('Stage Ledger'!R18&gt;='Stage Ledger'!F18,"ADMITTED","NOT ADMITTED")),1,0)</x:f>
        <x:v>1</x:v>
      </x:c>
      <x:c r="F727" s="21" t="n">
        <x:v>1</x:v>
      </x:c>
      <x:c r="G727" s="23" t="str">
        <x:f>IF(E727=F727,"PASS","FAIL")</x:f>
        <x:v>PASS</x:v>
      </x:c>
    </x:row>
    <x:row r="728">
      <x:c r="B728" s="21" t="str">
        <x:v>A00722</x:v>
      </x:c>
      <x:c r="C728" s="21" t="str">
        <x:v>stage</x:v>
      </x:c>
      <x:c r="D728" s="21" t="str">
        <x:v>stage 13 planned conservation</x:v>
      </x:c>
      <x:c r="E728" s="21" t="n">
        <x:f>IF(ABS('Stage Ledger'!J19-MIN('Stage Ledger'!F19,'Stage Ledger'!H19,'Stage Ledger'!I19))&lt;0.000001,1,0)</x:f>
        <x:v>1</x:v>
      </x:c>
      <x:c r="F728" s="21" t="n">
        <x:v>1</x:v>
      </x:c>
      <x:c r="G728" s="23" t="str">
        <x:f>IF(E728=F728,"PASS","FAIL")</x:f>
        <x:v>PASS</x:v>
      </x:c>
    </x:row>
    <x:row r="729">
      <x:c r="B729" s="21" t="str">
        <x:v>A00723</x:v>
      </x:c>
      <x:c r="C729" s="21" t="str">
        <x:v>stage</x:v>
      </x:c>
      <x:c r="D729" s="21" t="str">
        <x:v>stage 13 observed conservation</x:v>
      </x:c>
      <x:c r="E729" s="21" t="n">
        <x:f>IF(AND(ABS('Stage Ledger'!R19-IF(AND('Stage Ledger'!P19=1,'Stage Ledger'!Q19=1),MIN('Stage Ledger'!F19,'Stage Ledger'!M19),0))&lt;0.000001,'Stage Ledger'!S19=IF('Stage Ledger'!R19&gt;='Stage Ledger'!F19,"ADMITTED","NOT ADMITTED")),1,0)</x:f>
        <x:v>1</x:v>
      </x:c>
      <x:c r="F729" s="21" t="n">
        <x:v>1</x:v>
      </x:c>
      <x:c r="G729" s="23" t="str">
        <x:f>IF(E729=F729,"PASS","FAIL")</x:f>
        <x:v>PASS</x:v>
      </x:c>
    </x:row>
    <x:row r="730">
      <x:c r="B730" s="21" t="str">
        <x:v>A00724</x:v>
      </x:c>
      <x:c r="C730" s="21" t="str">
        <x:v>stage</x:v>
      </x:c>
      <x:c r="D730" s="21" t="str">
        <x:v>stage 14 planned conservation</x:v>
      </x:c>
      <x:c r="E730" s="21" t="n">
        <x:f>IF(ABS('Stage Ledger'!J20-MIN('Stage Ledger'!F20,'Stage Ledger'!H20,'Stage Ledger'!I20))&lt;0.000001,1,0)</x:f>
        <x:v>1</x:v>
      </x:c>
      <x:c r="F730" s="21" t="n">
        <x:v>1</x:v>
      </x:c>
      <x:c r="G730" s="23" t="str">
        <x:f>IF(E730=F730,"PASS","FAIL")</x:f>
        <x:v>PASS</x:v>
      </x:c>
    </x:row>
    <x:row r="731">
      <x:c r="B731" s="21" t="str">
        <x:v>A00725</x:v>
      </x:c>
      <x:c r="C731" s="21" t="str">
        <x:v>stage</x:v>
      </x:c>
      <x:c r="D731" s="21" t="str">
        <x:v>stage 14 observed conservation</x:v>
      </x:c>
      <x:c r="E731" s="21" t="n">
        <x:f>IF(AND(ABS('Stage Ledger'!R20-IF(AND('Stage Ledger'!P20=1,'Stage Ledger'!Q20=1),MIN('Stage Ledger'!F20,'Stage Ledger'!M20,'Stage Ledger'!R19),0))&lt;0.000001,'Stage Ledger'!S20=IF('Stage Ledger'!R20&gt;='Stage Ledger'!F20,"ADMITTED","NOT ADMITTED")),1,0)</x:f>
        <x:v>1</x:v>
      </x:c>
      <x:c r="F731" s="21" t="n">
        <x:v>1</x:v>
      </x:c>
      <x:c r="G731" s="23" t="str">
        <x:f>IF(E731=F731,"PASS","FAIL")</x:f>
        <x:v>PASS</x:v>
      </x:c>
    </x:row>
    <x:row r="732">
      <x:c r="B732" s="21" t="str">
        <x:v>A00726</x:v>
      </x:c>
      <x:c r="C732" s="21" t="str">
        <x:v>stage</x:v>
      </x:c>
      <x:c r="D732" s="21" t="str">
        <x:v>stage 15 planned conservation</x:v>
      </x:c>
      <x:c r="E732" s="21" t="n">
        <x:f>IF(ABS('Stage Ledger'!J21-MIN('Stage Ledger'!F21,'Stage Ledger'!H21,'Stage Ledger'!I21))&lt;0.000001,1,0)</x:f>
        <x:v>1</x:v>
      </x:c>
      <x:c r="F732" s="21" t="n">
        <x:v>1</x:v>
      </x:c>
      <x:c r="G732" s="23" t="str">
        <x:f>IF(E732=F732,"PASS","FAIL")</x:f>
        <x:v>PASS</x:v>
      </x:c>
    </x:row>
    <x:row r="733">
      <x:c r="B733" s="21" t="str">
        <x:v>A00727</x:v>
      </x:c>
      <x:c r="C733" s="21" t="str">
        <x:v>stage</x:v>
      </x:c>
      <x:c r="D733" s="21" t="str">
        <x:v>stage 15 observed conservation</x:v>
      </x:c>
      <x:c r="E733" s="21" t="n">
        <x:f>IF(AND(ABS('Stage Ledger'!R21-IF(AND('Stage Ledger'!P21=1,'Stage Ledger'!Q21=1),MIN('Stage Ledger'!F21,'Stage Ledger'!M21,'Stage Ledger'!R20),0))&lt;0.000001,'Stage Ledger'!S21=IF('Stage Ledger'!R21&gt;='Stage Ledger'!F21,"ADMITTED","NOT ADMITTED")),1,0)</x:f>
        <x:v>1</x:v>
      </x:c>
      <x:c r="F733" s="21" t="n">
        <x:v>1</x:v>
      </x:c>
      <x:c r="G733" s="23" t="str">
        <x:f>IF(E733=F733,"PASS","FAIL")</x:f>
        <x:v>PASS</x:v>
      </x:c>
    </x:row>
    <x:row r="734">
      <x:c r="B734" s="21" t="str">
        <x:v>A00728</x:v>
      </x:c>
      <x:c r="C734" s="21" t="str">
        <x:v>stage</x:v>
      </x:c>
      <x:c r="D734" s="21" t="str">
        <x:v>stage 16 planned conservation</x:v>
      </x:c>
      <x:c r="E734" s="21" t="n">
        <x:f>IF(ABS('Stage Ledger'!J22-MIN('Stage Ledger'!F22,'Stage Ledger'!H22,'Stage Ledger'!I22))&lt;0.000001,1,0)</x:f>
        <x:v>1</x:v>
      </x:c>
      <x:c r="F734" s="21" t="n">
        <x:v>1</x:v>
      </x:c>
      <x:c r="G734" s="23" t="str">
        <x:f>IF(E734=F734,"PASS","FAIL")</x:f>
        <x:v>PASS</x:v>
      </x:c>
    </x:row>
    <x:row r="735">
      <x:c r="B735" s="21" t="str">
        <x:v>A00729</x:v>
      </x:c>
      <x:c r="C735" s="21" t="str">
        <x:v>stage</x:v>
      </x:c>
      <x:c r="D735" s="21" t="str">
        <x:v>stage 16 observed conservation</x:v>
      </x:c>
      <x:c r="E735" s="21" t="n">
        <x:f>IF(AND(ABS('Stage Ledger'!R22-IF(AND('Stage Ledger'!P22=1,'Stage Ledger'!Q22=1),MIN('Stage Ledger'!F22,'Stage Ledger'!M22,'Stage Ledger'!R21),0))&lt;0.000001,'Stage Ledger'!S22=IF('Stage Ledger'!R22&gt;='Stage Ledger'!F22,"ADMITTED","NOT ADMITTED")),1,0)</x:f>
        <x:v>1</x:v>
      </x:c>
      <x:c r="F735" s="21" t="n">
        <x:v>1</x:v>
      </x:c>
      <x:c r="G735" s="23" t="str">
        <x:f>IF(E735=F735,"PASS","FAIL")</x:f>
        <x:v>PASS</x:v>
      </x:c>
    </x:row>
    <x:row r="736">
      <x:c r="B736" s="21" t="str">
        <x:v>A00730</x:v>
      </x:c>
      <x:c r="C736" s="21" t="str">
        <x:v>stage</x:v>
      </x:c>
      <x:c r="D736" s="21" t="str">
        <x:v>stage 17 planned conservation</x:v>
      </x:c>
      <x:c r="E736" s="21" t="n">
        <x:f>IF(ABS('Stage Ledger'!J23-MIN('Stage Ledger'!F23,'Stage Ledger'!H23,'Stage Ledger'!I23))&lt;0.000001,1,0)</x:f>
        <x:v>1</x:v>
      </x:c>
      <x:c r="F736" s="21" t="n">
        <x:v>1</x:v>
      </x:c>
      <x:c r="G736" s="23" t="str">
        <x:f>IF(E736=F736,"PASS","FAIL")</x:f>
        <x:v>PASS</x:v>
      </x:c>
    </x:row>
    <x:row r="737">
      <x:c r="B737" s="21" t="str">
        <x:v>A00731</x:v>
      </x:c>
      <x:c r="C737" s="21" t="str">
        <x:v>stage</x:v>
      </x:c>
      <x:c r="D737" s="21" t="str">
        <x:v>stage 17 observed conservation</x:v>
      </x:c>
      <x:c r="E737" s="21" t="n">
        <x:f>IF(AND(ABS('Stage Ledger'!R23-IF(AND('Stage Ledger'!P23=1,'Stage Ledger'!Q23=1),MIN('Stage Ledger'!F23,'Stage Ledger'!M23,'Stage Ledger'!R22),0))&lt;0.000001,'Stage Ledger'!S23=IF('Stage Ledger'!R23&gt;='Stage Ledger'!F23,"ADMITTED","NOT ADMITTED")),1,0)</x:f>
        <x:v>1</x:v>
      </x:c>
      <x:c r="F737" s="21" t="n">
        <x:v>1</x:v>
      </x:c>
      <x:c r="G737" s="23" t="str">
        <x:f>IF(E737=F737,"PASS","FAIL")</x:f>
        <x:v>PASS</x:v>
      </x:c>
    </x:row>
    <x:row r="738">
      <x:c r="B738" s="21" t="str">
        <x:v>A00732</x:v>
      </x:c>
      <x:c r="C738" s="21" t="str">
        <x:v>stage</x:v>
      </x:c>
      <x:c r="D738" s="21" t="str">
        <x:v>stage 18 planned conservation</x:v>
      </x:c>
      <x:c r="E738" s="21" t="n">
        <x:f>IF(ABS('Stage Ledger'!J24-MIN('Stage Ledger'!F24,'Stage Ledger'!H24,'Stage Ledger'!I24))&lt;0.000001,1,0)</x:f>
        <x:v>1</x:v>
      </x:c>
      <x:c r="F738" s="21" t="n">
        <x:v>1</x:v>
      </x:c>
      <x:c r="G738" s="23" t="str">
        <x:f>IF(E738=F738,"PASS","FAIL")</x:f>
        <x:v>PASS</x:v>
      </x:c>
    </x:row>
    <x:row r="739">
      <x:c r="B739" s="21" t="str">
        <x:v>A00733</x:v>
      </x:c>
      <x:c r="C739" s="21" t="str">
        <x:v>stage</x:v>
      </x:c>
      <x:c r="D739" s="21" t="str">
        <x:v>stage 18 observed conservation</x:v>
      </x:c>
      <x:c r="E739" s="21" t="n">
        <x:f>IF(AND(ABS('Stage Ledger'!R24-IF(AND('Stage Ledger'!P24=1,'Stage Ledger'!Q24=1),MIN('Stage Ledger'!F24,'Stage Ledger'!M24,'Stage Ledger'!R23),0))&lt;0.000001,'Stage Ledger'!S24=IF('Stage Ledger'!R24&gt;='Stage Ledger'!F24,"ADMITTED","NOT ADMITTED")),1,0)</x:f>
        <x:v>1</x:v>
      </x:c>
      <x:c r="F739" s="21" t="n">
        <x:v>1</x:v>
      </x:c>
      <x:c r="G739" s="23" t="str">
        <x:f>IF(E739=F739,"PASS","FAIL")</x:f>
        <x:v>PASS</x:v>
      </x:c>
    </x:row>
    <x:row r="740">
      <x:c r="B740" s="21" t="str">
        <x:v>A00734</x:v>
      </x:c>
      <x:c r="C740" s="21" t="str">
        <x:v>stage</x:v>
      </x:c>
      <x:c r="D740" s="21" t="str">
        <x:v>stage 19 planned conservation</x:v>
      </x:c>
      <x:c r="E740" s="21" t="n">
        <x:f>IF(ABS('Stage Ledger'!J25-MIN('Stage Ledger'!F25,'Stage Ledger'!H25,'Stage Ledger'!I25))&lt;0.000001,1,0)</x:f>
        <x:v>1</x:v>
      </x:c>
      <x:c r="F740" s="21" t="n">
        <x:v>1</x:v>
      </x:c>
      <x:c r="G740" s="23" t="str">
        <x:f>IF(E740=F740,"PASS","FAIL")</x:f>
        <x:v>PASS</x:v>
      </x:c>
    </x:row>
    <x:row r="741">
      <x:c r="B741" s="21" t="str">
        <x:v>A00735</x:v>
      </x:c>
      <x:c r="C741" s="21" t="str">
        <x:v>stage</x:v>
      </x:c>
      <x:c r="D741" s="21" t="str">
        <x:v>stage 19 observed conservation</x:v>
      </x:c>
      <x:c r="E741" s="21" t="n">
        <x:f>IF(AND(ABS('Stage Ledger'!R25-IF(AND('Stage Ledger'!P25=1,'Stage Ledger'!Q25=1),MIN('Stage Ledger'!F25,'Stage Ledger'!M25,'Stage Ledger'!R24),0))&lt;0.000001,'Stage Ledger'!S25=IF('Stage Ledger'!R25&gt;='Stage Ledger'!F25,"ADMITTED","NOT ADMITTED")),1,0)</x:f>
        <x:v>1</x:v>
      </x:c>
      <x:c r="F741" s="21" t="n">
        <x:v>1</x:v>
      </x:c>
      <x:c r="G741" s="23" t="str">
        <x:f>IF(E741=F741,"PASS","FAIL")</x:f>
        <x:v>PASS</x:v>
      </x:c>
    </x:row>
    <x:row r="742">
      <x:c r="B742" s="21" t="str">
        <x:v>A00736</x:v>
      </x:c>
      <x:c r="C742" s="21" t="str">
        <x:v>stage</x:v>
      </x:c>
      <x:c r="D742" s="21" t="str">
        <x:v>stage 20 planned conservation</x:v>
      </x:c>
      <x:c r="E742" s="21" t="n">
        <x:f>IF(ABS('Stage Ledger'!J26-MIN('Stage Ledger'!F26,'Stage Ledger'!H26,'Stage Ledger'!I26))&lt;0.000001,1,0)</x:f>
        <x:v>1</x:v>
      </x:c>
      <x:c r="F742" s="21" t="n">
        <x:v>1</x:v>
      </x:c>
      <x:c r="G742" s="23" t="str">
        <x:f>IF(E742=F742,"PASS","FAIL")</x:f>
        <x:v>PASS</x:v>
      </x:c>
    </x:row>
    <x:row r="743">
      <x:c r="B743" s="21" t="str">
        <x:v>A00737</x:v>
      </x:c>
      <x:c r="C743" s="21" t="str">
        <x:v>stage</x:v>
      </x:c>
      <x:c r="D743" s="21" t="str">
        <x:v>stage 20 observed conservation</x:v>
      </x:c>
      <x:c r="E743" s="21" t="n">
        <x:f>IF(AND(ABS('Stage Ledger'!R26-IF(AND('Stage Ledger'!P26=1,'Stage Ledger'!Q26=1),MIN('Stage Ledger'!F26,'Stage Ledger'!M26,'Stage Ledger'!R25),0))&lt;0.000001,'Stage Ledger'!S26=IF('Stage Ledger'!R26&gt;='Stage Ledger'!F26,"ADMITTED","NOT ADMITTED")),1,0)</x:f>
        <x:v>1</x:v>
      </x:c>
      <x:c r="F743" s="21" t="n">
        <x:v>1</x:v>
      </x:c>
      <x:c r="G743" s="23" t="str">
        <x:f>IF(E743=F743,"PASS","FAIL")</x:f>
        <x:v>PASS</x:v>
      </x:c>
    </x:row>
    <x:row r="744">
      <x:c r="B744" s="21" t="str">
        <x:v>A00738</x:v>
      </x:c>
      <x:c r="C744" s="21" t="str">
        <x:v>stage</x:v>
      </x:c>
      <x:c r="D744" s="21" t="str">
        <x:v>stage 21 planned conservation</x:v>
      </x:c>
      <x:c r="E744" s="21" t="n">
        <x:f>IF(ABS('Stage Ledger'!J27-MIN('Stage Ledger'!F27,'Stage Ledger'!H27,'Stage Ledger'!I27))&lt;0.000001,1,0)</x:f>
        <x:v>1</x:v>
      </x:c>
      <x:c r="F744" s="21" t="n">
        <x:v>1</x:v>
      </x:c>
      <x:c r="G744" s="23" t="str">
        <x:f>IF(E744=F744,"PASS","FAIL")</x:f>
        <x:v>PASS</x:v>
      </x:c>
    </x:row>
    <x:row r="745">
      <x:c r="B745" s="21" t="str">
        <x:v>A00739</x:v>
      </x:c>
      <x:c r="C745" s="21" t="str">
        <x:v>stage</x:v>
      </x:c>
      <x:c r="D745" s="21" t="str">
        <x:v>stage 21 observed conservation</x:v>
      </x:c>
      <x:c r="E745" s="21" t="n">
        <x:f>IF(AND(ABS('Stage Ledger'!R27-IF(AND('Stage Ledger'!P27=1,'Stage Ledger'!Q27=1),MIN('Stage Ledger'!F27,'Stage Ledger'!M27,'Stage Ledger'!R26),0))&lt;0.000001,'Stage Ledger'!S27=IF('Stage Ledger'!R27&gt;='Stage Ledger'!F27,"ADMITTED","NOT ADMITTED")),1,0)</x:f>
        <x:v>1</x:v>
      </x:c>
      <x:c r="F745" s="21" t="n">
        <x:v>1</x:v>
      </x:c>
      <x:c r="G745" s="23" t="str">
        <x:f>IF(E745=F745,"PASS","FAIL")</x:f>
        <x:v>PASS</x:v>
      </x:c>
    </x:row>
    <x:row r="746">
      <x:c r="B746" s="21" t="str">
        <x:v>A00740</x:v>
      </x:c>
      <x:c r="C746" s="21" t="str">
        <x:v>stage</x:v>
      </x:c>
      <x:c r="D746" s="21" t="str">
        <x:v>stage 22 planned conservation</x:v>
      </x:c>
      <x:c r="E746" s="21" t="n">
        <x:f>IF(ABS('Stage Ledger'!J28-MIN('Stage Ledger'!F28,'Stage Ledger'!H28,'Stage Ledger'!I28))&lt;0.000001,1,0)</x:f>
        <x:v>1</x:v>
      </x:c>
      <x:c r="F746" s="21" t="n">
        <x:v>1</x:v>
      </x:c>
      <x:c r="G746" s="23" t="str">
        <x:f>IF(E746=F746,"PASS","FAIL")</x:f>
        <x:v>PASS</x:v>
      </x:c>
    </x:row>
    <x:row r="747">
      <x:c r="B747" s="21" t="str">
        <x:v>A00741</x:v>
      </x:c>
      <x:c r="C747" s="21" t="str">
        <x:v>stage</x:v>
      </x:c>
      <x:c r="D747" s="21" t="str">
        <x:v>stage 22 observed conservation</x:v>
      </x:c>
      <x:c r="E747" s="21" t="n">
        <x:f>IF(AND(ABS('Stage Ledger'!R28-IF(AND('Stage Ledger'!P28=1,'Stage Ledger'!Q28=1),MIN('Stage Ledger'!F28,'Stage Ledger'!M28,'Stage Ledger'!R27),0))&lt;0.000001,'Stage Ledger'!S28=IF('Stage Ledger'!R28&gt;='Stage Ledger'!F28,"ADMITTED","NOT ADMITTED")),1,0)</x:f>
        <x:v>1</x:v>
      </x:c>
      <x:c r="F747" s="21" t="n">
        <x:v>1</x:v>
      </x:c>
      <x:c r="G747" s="23" t="str">
        <x:f>IF(E747=F747,"PASS","FAIL")</x:f>
        <x:v>PASS</x:v>
      </x:c>
    </x:row>
    <x:row r="748">
      <x:c r="B748" s="21" t="str">
        <x:v>A00742</x:v>
      </x:c>
      <x:c r="C748" s="21" t="str">
        <x:v>stage</x:v>
      </x:c>
      <x:c r="D748" s="21" t="str">
        <x:v>stage 23 planned conservation</x:v>
      </x:c>
      <x:c r="E748" s="21" t="n">
        <x:f>IF(ABS('Stage Ledger'!J29-MIN('Stage Ledger'!F29,'Stage Ledger'!H29,'Stage Ledger'!I29))&lt;0.000001,1,0)</x:f>
        <x:v>1</x:v>
      </x:c>
      <x:c r="F748" s="21" t="n">
        <x:v>1</x:v>
      </x:c>
      <x:c r="G748" s="23" t="str">
        <x:f>IF(E748=F748,"PASS","FAIL")</x:f>
        <x:v>PASS</x:v>
      </x:c>
    </x:row>
    <x:row r="749">
      <x:c r="B749" s="21" t="str">
        <x:v>A00743</x:v>
      </x:c>
      <x:c r="C749" s="21" t="str">
        <x:v>stage</x:v>
      </x:c>
      <x:c r="D749" s="21" t="str">
        <x:v>stage 23 observed conservation</x:v>
      </x:c>
      <x:c r="E749" s="21" t="n">
        <x:f>IF(AND(ABS('Stage Ledger'!R29-IF(AND('Stage Ledger'!P29=1,'Stage Ledger'!Q29=1),MIN('Stage Ledger'!F29,'Stage Ledger'!M29,'Stage Ledger'!R28),0))&lt;0.000001,'Stage Ledger'!S29=IF('Stage Ledger'!R29&gt;='Stage Ledger'!F29,"ADMITTED","NOT ADMITTED")),1,0)</x:f>
        <x:v>1</x:v>
      </x:c>
      <x:c r="F749" s="21" t="n">
        <x:v>1</x:v>
      </x:c>
      <x:c r="G749" s="23" t="str">
        <x:f>IF(E749=F749,"PASS","FAIL")</x:f>
        <x:v>PASS</x:v>
      </x:c>
    </x:row>
    <x:row r="750">
      <x:c r="B750" s="21" t="str">
        <x:v>A00744</x:v>
      </x:c>
      <x:c r="C750" s="21" t="str">
        <x:v>stage</x:v>
      </x:c>
      <x:c r="D750" s="21" t="str">
        <x:v>stage 24 planned conservation</x:v>
      </x:c>
      <x:c r="E750" s="21" t="n">
        <x:f>IF(ABS('Stage Ledger'!J30-MIN('Stage Ledger'!F30,'Stage Ledger'!H30,'Stage Ledger'!I30))&lt;0.000001,1,0)</x:f>
        <x:v>1</x:v>
      </x:c>
      <x:c r="F750" s="21" t="n">
        <x:v>1</x:v>
      </x:c>
      <x:c r="G750" s="23" t="str">
        <x:f>IF(E750=F750,"PASS","FAIL")</x:f>
        <x:v>PASS</x:v>
      </x:c>
    </x:row>
    <x:row r="751">
      <x:c r="B751" s="21" t="str">
        <x:v>A00745</x:v>
      </x:c>
      <x:c r="C751" s="21" t="str">
        <x:v>stage</x:v>
      </x:c>
      <x:c r="D751" s="21" t="str">
        <x:v>stage 24 observed conservation</x:v>
      </x:c>
      <x:c r="E751" s="21" t="n">
        <x:f>IF(AND(ABS('Stage Ledger'!R30-IF(AND('Stage Ledger'!P30=1,'Stage Ledger'!Q30=1),MIN('Stage Ledger'!F30,'Stage Ledger'!M30,'Stage Ledger'!R29),0))&lt;0.000001,'Stage Ledger'!S30=IF('Stage Ledger'!R30&gt;='Stage Ledger'!F30,"ADMITTED","NOT ADMITTED")),1,0)</x:f>
        <x:v>1</x:v>
      </x:c>
      <x:c r="F751" s="21" t="n">
        <x:v>1</x:v>
      </x:c>
      <x:c r="G751" s="23" t="str">
        <x:f>IF(E751=F751,"PASS","FAIL")</x:f>
        <x:v>PASS</x:v>
      </x:c>
    </x:row>
    <x:row r="752">
      <x:c r="B752" s="21" t="str">
        <x:v>A00746</x:v>
      </x:c>
      <x:c r="C752" s="21" t="str">
        <x:v>stage</x:v>
      </x:c>
      <x:c r="D752" s="21" t="str">
        <x:v>stage 25 planned conservation</x:v>
      </x:c>
      <x:c r="E752" s="21" t="n">
        <x:f>IF(ABS('Stage Ledger'!J31-MIN('Stage Ledger'!F31,'Stage Ledger'!H31,'Stage Ledger'!I31))&lt;0.000001,1,0)</x:f>
        <x:v>1</x:v>
      </x:c>
      <x:c r="F752" s="21" t="n">
        <x:v>1</x:v>
      </x:c>
      <x:c r="G752" s="23" t="str">
        <x:f>IF(E752=F752,"PASS","FAIL")</x:f>
        <x:v>PASS</x:v>
      </x:c>
    </x:row>
    <x:row r="753">
      <x:c r="B753" s="21" t="str">
        <x:v>A00747</x:v>
      </x:c>
      <x:c r="C753" s="21" t="str">
        <x:v>stage</x:v>
      </x:c>
      <x:c r="D753" s="21" t="str">
        <x:v>stage 25 observed conservation</x:v>
      </x:c>
      <x:c r="E753" s="21" t="n">
        <x:f>IF(AND(ABS('Stage Ledger'!R31-IF(AND('Stage Ledger'!P31=1,'Stage Ledger'!Q31=1),MIN('Stage Ledger'!F31,'Stage Ledger'!M31),0))&lt;0.000001,'Stage Ledger'!S31=IF('Stage Ledger'!R31&gt;='Stage Ledger'!F31,"ADMITTED","NOT ADMITTED")),1,0)</x:f>
        <x:v>1</x:v>
      </x:c>
      <x:c r="F753" s="21" t="n">
        <x:v>1</x:v>
      </x:c>
      <x:c r="G753" s="23" t="str">
        <x:f>IF(E753=F753,"PASS","FAIL")</x:f>
        <x:v>PASS</x:v>
      </x:c>
    </x:row>
    <x:row r="754">
      <x:c r="B754" s="21" t="str">
        <x:v>A00748</x:v>
      </x:c>
      <x:c r="C754" s="21" t="str">
        <x:v>stage</x:v>
      </x:c>
      <x:c r="D754" s="21" t="str">
        <x:v>stage 26 planned conservation</x:v>
      </x:c>
      <x:c r="E754" s="21" t="n">
        <x:f>IF(ABS('Stage Ledger'!J32-MIN('Stage Ledger'!F32,'Stage Ledger'!H32,'Stage Ledger'!I32))&lt;0.000001,1,0)</x:f>
        <x:v>1</x:v>
      </x:c>
      <x:c r="F754" s="21" t="n">
        <x:v>1</x:v>
      </x:c>
      <x:c r="G754" s="23" t="str">
        <x:f>IF(E754=F754,"PASS","FAIL")</x:f>
        <x:v>PASS</x:v>
      </x:c>
    </x:row>
    <x:row r="755">
      <x:c r="B755" s="21" t="str">
        <x:v>A00749</x:v>
      </x:c>
      <x:c r="C755" s="21" t="str">
        <x:v>stage</x:v>
      </x:c>
      <x:c r="D755" s="21" t="str">
        <x:v>stage 26 observed conservation</x:v>
      </x:c>
      <x:c r="E755" s="21" t="n">
        <x:f>IF(AND(ABS('Stage Ledger'!R32-IF(AND('Stage Ledger'!P32=1,'Stage Ledger'!Q32=1),MIN('Stage Ledger'!F32,'Stage Ledger'!M32,'Stage Ledger'!R31),0))&lt;0.000001,'Stage Ledger'!S32=IF('Stage Ledger'!R32&gt;='Stage Ledger'!F32,"ADMITTED","NOT ADMITTED")),1,0)</x:f>
        <x:v>1</x:v>
      </x:c>
      <x:c r="F755" s="21" t="n">
        <x:v>1</x:v>
      </x:c>
      <x:c r="G755" s="23" t="str">
        <x:f>IF(E755=F755,"PASS","FAIL")</x:f>
        <x:v>PASS</x:v>
      </x:c>
    </x:row>
    <x:row r="756">
      <x:c r="B756" s="21" t="str">
        <x:v>A00750</x:v>
      </x:c>
      <x:c r="C756" s="21" t="str">
        <x:v>stage</x:v>
      </x:c>
      <x:c r="D756" s="21" t="str">
        <x:v>stage 27 planned conservation</x:v>
      </x:c>
      <x:c r="E756" s="21" t="n">
        <x:f>IF(ABS('Stage Ledger'!J33-MIN('Stage Ledger'!F33,'Stage Ledger'!H33,'Stage Ledger'!I33))&lt;0.000001,1,0)</x:f>
        <x:v>1</x:v>
      </x:c>
      <x:c r="F756" s="21" t="n">
        <x:v>1</x:v>
      </x:c>
      <x:c r="G756" s="23" t="str">
        <x:f>IF(E756=F756,"PASS","FAIL")</x:f>
        <x:v>PASS</x:v>
      </x:c>
    </x:row>
    <x:row r="757">
      <x:c r="B757" s="21" t="str">
        <x:v>A00751</x:v>
      </x:c>
      <x:c r="C757" s="21" t="str">
        <x:v>stage</x:v>
      </x:c>
      <x:c r="D757" s="21" t="str">
        <x:v>stage 27 observed conservation</x:v>
      </x:c>
      <x:c r="E757" s="21" t="n">
        <x:f>IF(AND(ABS('Stage Ledger'!R33-IF(AND('Stage Ledger'!P33=1,'Stage Ledger'!Q33=1),MIN('Stage Ledger'!F33,'Stage Ledger'!M33,'Stage Ledger'!R32),0))&lt;0.000001,'Stage Ledger'!S33=IF('Stage Ledger'!R33&gt;='Stage Ledger'!F33,"ADMITTED","NOT ADMITTED")),1,0)</x:f>
        <x:v>1</x:v>
      </x:c>
      <x:c r="F757" s="21" t="n">
        <x:v>1</x:v>
      </x:c>
      <x:c r="G757" s="23" t="str">
        <x:f>IF(E757=F757,"PASS","FAIL")</x:f>
        <x:v>PASS</x:v>
      </x:c>
    </x:row>
    <x:row r="758">
      <x:c r="B758" s="21" t="str">
        <x:v>A00752</x:v>
      </x:c>
      <x:c r="C758" s="21" t="str">
        <x:v>stage</x:v>
      </x:c>
      <x:c r="D758" s="21" t="str">
        <x:v>stage 28 planned conservation</x:v>
      </x:c>
      <x:c r="E758" s="21" t="n">
        <x:f>IF(ABS('Stage Ledger'!J34-MIN('Stage Ledger'!F34,'Stage Ledger'!H34,'Stage Ledger'!I34))&lt;0.000001,1,0)</x:f>
        <x:v>1</x:v>
      </x:c>
      <x:c r="F758" s="21" t="n">
        <x:v>1</x:v>
      </x:c>
      <x:c r="G758" s="23" t="str">
        <x:f>IF(E758=F758,"PASS","FAIL")</x:f>
        <x:v>PASS</x:v>
      </x:c>
    </x:row>
    <x:row r="759">
      <x:c r="B759" s="21" t="str">
        <x:v>A00753</x:v>
      </x:c>
      <x:c r="C759" s="21" t="str">
        <x:v>stage</x:v>
      </x:c>
      <x:c r="D759" s="21" t="str">
        <x:v>stage 28 observed conservation</x:v>
      </x:c>
      <x:c r="E759" s="21" t="n">
        <x:f>IF(AND(ABS('Stage Ledger'!R34-IF(AND('Stage Ledger'!P34=1,'Stage Ledger'!Q34=1),MIN('Stage Ledger'!F34,'Stage Ledger'!M34,'Stage Ledger'!R33),0))&lt;0.000001,'Stage Ledger'!S34=IF('Stage Ledger'!R34&gt;='Stage Ledger'!F34,"ADMITTED","NOT ADMITTED")),1,0)</x:f>
        <x:v>1</x:v>
      </x:c>
      <x:c r="F759" s="21" t="n">
        <x:v>1</x:v>
      </x:c>
      <x:c r="G759" s="23" t="str">
        <x:f>IF(E759=F759,"PASS","FAIL")</x:f>
        <x:v>PASS</x:v>
      </x:c>
    </x:row>
    <x:row r="760">
      <x:c r="B760" s="21" t="str">
        <x:v>A00754</x:v>
      </x:c>
      <x:c r="C760" s="21" t="str">
        <x:v>stage</x:v>
      </x:c>
      <x:c r="D760" s="21" t="str">
        <x:v>stage 29 planned conservation</x:v>
      </x:c>
      <x:c r="E760" s="21" t="n">
        <x:f>IF(ABS('Stage Ledger'!J35-MIN('Stage Ledger'!F35,'Stage Ledger'!H35,'Stage Ledger'!I35))&lt;0.000001,1,0)</x:f>
        <x:v>1</x:v>
      </x:c>
      <x:c r="F760" s="21" t="n">
        <x:v>1</x:v>
      </x:c>
      <x:c r="G760" s="23" t="str">
        <x:f>IF(E760=F760,"PASS","FAIL")</x:f>
        <x:v>PASS</x:v>
      </x:c>
    </x:row>
    <x:row r="761">
      <x:c r="B761" s="21" t="str">
        <x:v>A00755</x:v>
      </x:c>
      <x:c r="C761" s="21" t="str">
        <x:v>stage</x:v>
      </x:c>
      <x:c r="D761" s="21" t="str">
        <x:v>stage 29 observed conservation</x:v>
      </x:c>
      <x:c r="E761" s="21" t="n">
        <x:f>IF(AND(ABS('Stage Ledger'!R35-IF(AND('Stage Ledger'!P35=1,'Stage Ledger'!Q35=1),MIN('Stage Ledger'!F35,'Stage Ledger'!M35,'Stage Ledger'!R34),0))&lt;0.000001,'Stage Ledger'!S35=IF('Stage Ledger'!R35&gt;='Stage Ledger'!F35,"ADMITTED","NOT ADMITTED")),1,0)</x:f>
        <x:v>1</x:v>
      </x:c>
      <x:c r="F761" s="21" t="n">
        <x:v>1</x:v>
      </x:c>
      <x:c r="G761" s="23" t="str">
        <x:f>IF(E761=F761,"PASS","FAIL")</x:f>
        <x:v>PASS</x:v>
      </x:c>
    </x:row>
    <x:row r="762">
      <x:c r="B762" s="21" t="str">
        <x:v>A00756</x:v>
      </x:c>
      <x:c r="C762" s="21" t="str">
        <x:v>stage</x:v>
      </x:c>
      <x:c r="D762" s="21" t="str">
        <x:v>stage 30 planned conservation</x:v>
      </x:c>
      <x:c r="E762" s="21" t="n">
        <x:f>IF(ABS('Stage Ledger'!J36-MIN('Stage Ledger'!F36,'Stage Ledger'!H36,'Stage Ledger'!I36))&lt;0.000001,1,0)</x:f>
        <x:v>1</x:v>
      </x:c>
      <x:c r="F762" s="21" t="n">
        <x:v>1</x:v>
      </x:c>
      <x:c r="G762" s="23" t="str">
        <x:f>IF(E762=F762,"PASS","FAIL")</x:f>
        <x:v>PASS</x:v>
      </x:c>
    </x:row>
    <x:row r="763">
      <x:c r="B763" s="21" t="str">
        <x:v>A00757</x:v>
      </x:c>
      <x:c r="C763" s="21" t="str">
        <x:v>stage</x:v>
      </x:c>
      <x:c r="D763" s="21" t="str">
        <x:v>stage 30 observed conservation</x:v>
      </x:c>
      <x:c r="E763" s="21" t="n">
        <x:f>IF(AND(ABS('Stage Ledger'!R36-IF(AND('Stage Ledger'!P36=1,'Stage Ledger'!Q36=1),MIN('Stage Ledger'!F36,'Stage Ledger'!M36,'Stage Ledger'!R35),0))&lt;0.000001,'Stage Ledger'!S36=IF('Stage Ledger'!R36&gt;='Stage Ledger'!F36,"ADMITTED","NOT ADMITTED")),1,0)</x:f>
        <x:v>1</x:v>
      </x:c>
      <x:c r="F763" s="21" t="n">
        <x:v>1</x:v>
      </x:c>
      <x:c r="G763" s="23" t="str">
        <x:f>IF(E763=F763,"PASS","FAIL")</x:f>
        <x:v>PASS</x:v>
      </x:c>
    </x:row>
    <x:row r="764">
      <x:c r="B764" s="21" t="str">
        <x:v>A00758</x:v>
      </x:c>
      <x:c r="C764" s="21" t="str">
        <x:v>stage</x:v>
      </x:c>
      <x:c r="D764" s="21" t="str">
        <x:v>stage 31 planned conservation</x:v>
      </x:c>
      <x:c r="E764" s="21" t="n">
        <x:f>IF(ABS('Stage Ledger'!J37-MIN('Stage Ledger'!F37,'Stage Ledger'!H37,'Stage Ledger'!I37))&lt;0.000001,1,0)</x:f>
        <x:v>1</x:v>
      </x:c>
      <x:c r="F764" s="21" t="n">
        <x:v>1</x:v>
      </x:c>
      <x:c r="G764" s="23" t="str">
        <x:f>IF(E764=F764,"PASS","FAIL")</x:f>
        <x:v>PASS</x:v>
      </x:c>
    </x:row>
    <x:row r="765">
      <x:c r="B765" s="21" t="str">
        <x:v>A00759</x:v>
      </x:c>
      <x:c r="C765" s="21" t="str">
        <x:v>stage</x:v>
      </x:c>
      <x:c r="D765" s="21" t="str">
        <x:v>stage 31 observed conservation</x:v>
      </x:c>
      <x:c r="E765" s="21" t="n">
        <x:f>IF(AND(ABS('Stage Ledger'!R37-IF(AND('Stage Ledger'!P37=1,'Stage Ledger'!Q37=1),MIN('Stage Ledger'!F37,'Stage Ledger'!M37,'Stage Ledger'!R36),0))&lt;0.000001,'Stage Ledger'!S37=IF('Stage Ledger'!R37&gt;='Stage Ledger'!F37,"ADMITTED","NOT ADMITTED")),1,0)</x:f>
        <x:v>1</x:v>
      </x:c>
      <x:c r="F765" s="21" t="n">
        <x:v>1</x:v>
      </x:c>
      <x:c r="G765" s="23" t="str">
        <x:f>IF(E765=F765,"PASS","FAIL")</x:f>
        <x:v>PASS</x:v>
      </x:c>
    </x:row>
    <x:row r="766">
      <x:c r="B766" s="21" t="str">
        <x:v>A00760</x:v>
      </x:c>
      <x:c r="C766" s="21" t="str">
        <x:v>stage</x:v>
      </x:c>
      <x:c r="D766" s="21" t="str">
        <x:v>stage 32 planned conservation</x:v>
      </x:c>
      <x:c r="E766" s="21" t="n">
        <x:f>IF(ABS('Stage Ledger'!J38-MIN('Stage Ledger'!F38,'Stage Ledger'!H38,'Stage Ledger'!I38))&lt;0.000001,1,0)</x:f>
        <x:v>1</x:v>
      </x:c>
      <x:c r="F766" s="21" t="n">
        <x:v>1</x:v>
      </x:c>
      <x:c r="G766" s="23" t="str">
        <x:f>IF(E766=F766,"PASS","FAIL")</x:f>
        <x:v>PASS</x:v>
      </x:c>
    </x:row>
    <x:row r="767">
      <x:c r="B767" s="21" t="str">
        <x:v>A00761</x:v>
      </x:c>
      <x:c r="C767" s="21" t="str">
        <x:v>stage</x:v>
      </x:c>
      <x:c r="D767" s="21" t="str">
        <x:v>stage 32 observed conservation</x:v>
      </x:c>
      <x:c r="E767" s="21" t="n">
        <x:f>IF(AND(ABS('Stage Ledger'!R38-IF(AND('Stage Ledger'!P38=1,'Stage Ledger'!Q38=1),MIN('Stage Ledger'!F38,'Stage Ledger'!M38,'Stage Ledger'!R37),0))&lt;0.000001,'Stage Ledger'!S38=IF('Stage Ledger'!R38&gt;='Stage Ledger'!F38,"ADMITTED","NOT ADMITTED")),1,0)</x:f>
        <x:v>1</x:v>
      </x:c>
      <x:c r="F767" s="21" t="n">
        <x:v>1</x:v>
      </x:c>
      <x:c r="G767" s="23" t="str">
        <x:f>IF(E767=F767,"PASS","FAIL")</x:f>
        <x:v>PASS</x:v>
      </x:c>
    </x:row>
    <x:row r="768">
      <x:c r="B768" s="21" t="str">
        <x:v>A00762</x:v>
      </x:c>
      <x:c r="C768" s="21" t="str">
        <x:v>stage</x:v>
      </x:c>
      <x:c r="D768" s="21" t="str">
        <x:v>stage 33 planned conservation</x:v>
      </x:c>
      <x:c r="E768" s="21" t="n">
        <x:f>IF(ABS('Stage Ledger'!J39-MIN('Stage Ledger'!F39,'Stage Ledger'!H39,'Stage Ledger'!I39))&lt;0.000001,1,0)</x:f>
        <x:v>1</x:v>
      </x:c>
      <x:c r="F768" s="21" t="n">
        <x:v>1</x:v>
      </x:c>
      <x:c r="G768" s="23" t="str">
        <x:f>IF(E768=F768,"PASS","FAIL")</x:f>
        <x:v>PASS</x:v>
      </x:c>
    </x:row>
    <x:row r="769">
      <x:c r="B769" s="21" t="str">
        <x:v>A00763</x:v>
      </x:c>
      <x:c r="C769" s="21" t="str">
        <x:v>stage</x:v>
      </x:c>
      <x:c r="D769" s="21" t="str">
        <x:v>stage 33 observed conservation</x:v>
      </x:c>
      <x:c r="E769" s="21" t="n">
        <x:f>IF(AND(ABS('Stage Ledger'!R39-IF(AND('Stage Ledger'!P39=1,'Stage Ledger'!Q39=1),MIN('Stage Ledger'!F39,'Stage Ledger'!M39,'Stage Ledger'!R38),0))&lt;0.000001,'Stage Ledger'!S39=IF('Stage Ledger'!R39&gt;='Stage Ledger'!F39,"ADMITTED","NOT ADMITTED")),1,0)</x:f>
        <x:v>1</x:v>
      </x:c>
      <x:c r="F769" s="21" t="n">
        <x:v>1</x:v>
      </x:c>
      <x:c r="G769" s="23" t="str">
        <x:f>IF(E769=F769,"PASS","FAIL")</x:f>
        <x:v>PASS</x:v>
      </x:c>
    </x:row>
    <x:row r="770">
      <x:c r="B770" s="21" t="str">
        <x:v>A00764</x:v>
      </x:c>
      <x:c r="C770" s="21" t="str">
        <x:v>stage</x:v>
      </x:c>
      <x:c r="D770" s="21" t="str">
        <x:v>stage 34 planned conservation</x:v>
      </x:c>
      <x:c r="E770" s="21" t="n">
        <x:f>IF(ABS('Stage Ledger'!J40-MIN('Stage Ledger'!F40,'Stage Ledger'!H40,'Stage Ledger'!I40))&lt;0.000001,1,0)</x:f>
        <x:v>1</x:v>
      </x:c>
      <x:c r="F770" s="21" t="n">
        <x:v>1</x:v>
      </x:c>
      <x:c r="G770" s="23" t="str">
        <x:f>IF(E770=F770,"PASS","FAIL")</x:f>
        <x:v>PASS</x:v>
      </x:c>
    </x:row>
    <x:row r="771">
      <x:c r="B771" s="21" t="str">
        <x:v>A00765</x:v>
      </x:c>
      <x:c r="C771" s="21" t="str">
        <x:v>stage</x:v>
      </x:c>
      <x:c r="D771" s="21" t="str">
        <x:v>stage 34 observed conservation</x:v>
      </x:c>
      <x:c r="E771" s="21" t="n">
        <x:f>IF(AND(ABS('Stage Ledger'!R40-IF(AND('Stage Ledger'!P40=1,'Stage Ledger'!Q40=1),MIN('Stage Ledger'!F40,'Stage Ledger'!M40,'Stage Ledger'!R39),0))&lt;0.000001,'Stage Ledger'!S40=IF('Stage Ledger'!R40&gt;='Stage Ledger'!F40,"ADMITTED","NOT ADMITTED")),1,0)</x:f>
        <x:v>1</x:v>
      </x:c>
      <x:c r="F771" s="21" t="n">
        <x:v>1</x:v>
      </x:c>
      <x:c r="G771" s="23" t="str">
        <x:f>IF(E771=F771,"PASS","FAIL")</x:f>
        <x:v>PASS</x:v>
      </x:c>
    </x:row>
    <x:row r="772">
      <x:c r="B772" s="21" t="str">
        <x:v>A00766</x:v>
      </x:c>
      <x:c r="C772" s="21" t="str">
        <x:v>stage</x:v>
      </x:c>
      <x:c r="D772" s="21" t="str">
        <x:v>stage 35 planned conservation</x:v>
      </x:c>
      <x:c r="E772" s="21" t="n">
        <x:f>IF(ABS('Stage Ledger'!J41-MIN('Stage Ledger'!F41,'Stage Ledger'!H41,'Stage Ledger'!I41))&lt;0.000001,1,0)</x:f>
        <x:v>1</x:v>
      </x:c>
      <x:c r="F772" s="21" t="n">
        <x:v>1</x:v>
      </x:c>
      <x:c r="G772" s="23" t="str">
        <x:f>IF(E772=F772,"PASS","FAIL")</x:f>
        <x:v>PASS</x:v>
      </x:c>
    </x:row>
    <x:row r="773">
      <x:c r="B773" s="21" t="str">
        <x:v>A00767</x:v>
      </x:c>
      <x:c r="C773" s="21" t="str">
        <x:v>stage</x:v>
      </x:c>
      <x:c r="D773" s="21" t="str">
        <x:v>stage 35 observed conservation</x:v>
      </x:c>
      <x:c r="E773" s="21" t="n">
        <x:f>IF(AND(ABS('Stage Ledger'!R41-IF(AND('Stage Ledger'!P41=1,'Stage Ledger'!Q41=1),MIN('Stage Ledger'!F41,'Stage Ledger'!M41,'Stage Ledger'!R40),0))&lt;0.000001,'Stage Ledger'!S41=IF('Stage Ledger'!R41&gt;='Stage Ledger'!F41,"ADMITTED","NOT ADMITTED")),1,0)</x:f>
        <x:v>1</x:v>
      </x:c>
      <x:c r="F773" s="21" t="n">
        <x:v>1</x:v>
      </x:c>
      <x:c r="G773" s="23" t="str">
        <x:f>IF(E773=F773,"PASS","FAIL")</x:f>
        <x:v>PASS</x:v>
      </x:c>
    </x:row>
    <x:row r="774">
      <x:c r="B774" s="21" t="str">
        <x:v>A00768</x:v>
      </x:c>
      <x:c r="C774" s="21" t="str">
        <x:v>stage</x:v>
      </x:c>
      <x:c r="D774" s="21" t="str">
        <x:v>stage 36 planned conservation</x:v>
      </x:c>
      <x:c r="E774" s="21" t="n">
        <x:f>IF(ABS('Stage Ledger'!J42-MIN('Stage Ledger'!F42,'Stage Ledger'!H42,'Stage Ledger'!I42))&lt;0.000001,1,0)</x:f>
        <x:v>1</x:v>
      </x:c>
      <x:c r="F774" s="21" t="n">
        <x:v>1</x:v>
      </x:c>
      <x:c r="G774" s="23" t="str">
        <x:f>IF(E774=F774,"PASS","FAIL")</x:f>
        <x:v>PASS</x:v>
      </x:c>
    </x:row>
    <x:row r="775">
      <x:c r="B775" s="21" t="str">
        <x:v>A00769</x:v>
      </x:c>
      <x:c r="C775" s="21" t="str">
        <x:v>stage</x:v>
      </x:c>
      <x:c r="D775" s="21" t="str">
        <x:v>stage 36 observed conservation</x:v>
      </x:c>
      <x:c r="E775" s="21" t="n">
        <x:f>IF(AND(ABS('Stage Ledger'!R42-IF(AND('Stage Ledger'!P42=1,'Stage Ledger'!Q42=1),MIN('Stage Ledger'!F42,'Stage Ledger'!M42,'Stage Ledger'!R41),0))&lt;0.000001,'Stage Ledger'!S42=IF('Stage Ledger'!R42&gt;='Stage Ledger'!F42,"ADMITTED","NOT ADMITTED")),1,0)</x:f>
        <x:v>1</x:v>
      </x:c>
      <x:c r="F775" s="21" t="n">
        <x:v>1</x:v>
      </x:c>
      <x:c r="G775" s="23" t="str">
        <x:f>IF(E775=F775,"PASS","FAIL")</x:f>
        <x:v>PASS</x:v>
      </x:c>
    </x:row>
    <x:row r="776">
      <x:c r="B776" s="21" t="str">
        <x:v>A00770</x:v>
      </x:c>
      <x:c r="C776" s="21" t="str">
        <x:v>stage</x:v>
      </x:c>
      <x:c r="D776" s="21" t="str">
        <x:v>stage 37 planned conservation</x:v>
      </x:c>
      <x:c r="E776" s="21" t="n">
        <x:f>IF(ABS('Stage Ledger'!J43-MIN('Stage Ledger'!F43,'Stage Ledger'!H43,'Stage Ledger'!I43))&lt;0.000001,1,0)</x:f>
        <x:v>1</x:v>
      </x:c>
      <x:c r="F776" s="21" t="n">
        <x:v>1</x:v>
      </x:c>
      <x:c r="G776" s="23" t="str">
        <x:f>IF(E776=F776,"PASS","FAIL")</x:f>
        <x:v>PASS</x:v>
      </x:c>
    </x:row>
    <x:row r="777">
      <x:c r="B777" s="21" t="str">
        <x:v>A00771</x:v>
      </x:c>
      <x:c r="C777" s="21" t="str">
        <x:v>stage</x:v>
      </x:c>
      <x:c r="D777" s="21" t="str">
        <x:v>stage 37 observed conservation</x:v>
      </x:c>
      <x:c r="E777" s="21" t="n">
        <x:f>IF(AND(ABS('Stage Ledger'!R43-IF(AND('Stage Ledger'!P43=1,'Stage Ledger'!Q43=1),MIN('Stage Ledger'!F43,'Stage Ledger'!M43),0))&lt;0.000001,'Stage Ledger'!S43=IF('Stage Ledger'!R43&gt;='Stage Ledger'!F43,"ADMITTED","NOT ADMITTED")),1,0)</x:f>
        <x:v>1</x:v>
      </x:c>
      <x:c r="F777" s="21" t="n">
        <x:v>1</x:v>
      </x:c>
      <x:c r="G777" s="23" t="str">
        <x:f>IF(E777=F777,"PASS","FAIL")</x:f>
        <x:v>PASS</x:v>
      </x:c>
    </x:row>
    <x:row r="778">
      <x:c r="B778" s="21" t="str">
        <x:v>A00772</x:v>
      </x:c>
      <x:c r="C778" s="21" t="str">
        <x:v>stage</x:v>
      </x:c>
      <x:c r="D778" s="21" t="str">
        <x:v>stage 38 planned conservation</x:v>
      </x:c>
      <x:c r="E778" s="21" t="n">
        <x:f>IF(ABS('Stage Ledger'!J44-MIN('Stage Ledger'!F44,'Stage Ledger'!H44,'Stage Ledger'!I44))&lt;0.000001,1,0)</x:f>
        <x:v>1</x:v>
      </x:c>
      <x:c r="F778" s="21" t="n">
        <x:v>1</x:v>
      </x:c>
      <x:c r="G778" s="23" t="str">
        <x:f>IF(E778=F778,"PASS","FAIL")</x:f>
        <x:v>PASS</x:v>
      </x:c>
    </x:row>
    <x:row r="779">
      <x:c r="B779" s="21" t="str">
        <x:v>A00773</x:v>
      </x:c>
      <x:c r="C779" s="21" t="str">
        <x:v>stage</x:v>
      </x:c>
      <x:c r="D779" s="21" t="str">
        <x:v>stage 38 observed conservation</x:v>
      </x:c>
      <x:c r="E779" s="21" t="n">
        <x:f>IF(AND(ABS('Stage Ledger'!R44-IF(AND('Stage Ledger'!P44=1,'Stage Ledger'!Q44=1),MIN('Stage Ledger'!F44,'Stage Ledger'!M44,'Stage Ledger'!R43),0))&lt;0.000001,'Stage Ledger'!S44=IF('Stage Ledger'!R44&gt;='Stage Ledger'!F44,"ADMITTED","NOT ADMITTED")),1,0)</x:f>
        <x:v>1</x:v>
      </x:c>
      <x:c r="F779" s="21" t="n">
        <x:v>1</x:v>
      </x:c>
      <x:c r="G779" s="23" t="str">
        <x:f>IF(E779=F779,"PASS","FAIL")</x:f>
        <x:v>PASS</x:v>
      </x:c>
    </x:row>
    <x:row r="780">
      <x:c r="B780" s="21" t="str">
        <x:v>A00774</x:v>
      </x:c>
      <x:c r="C780" s="21" t="str">
        <x:v>stage</x:v>
      </x:c>
      <x:c r="D780" s="21" t="str">
        <x:v>stage 39 planned conservation</x:v>
      </x:c>
      <x:c r="E780" s="21" t="n">
        <x:f>IF(ABS('Stage Ledger'!J45-MIN('Stage Ledger'!F45,'Stage Ledger'!H45,'Stage Ledger'!I45))&lt;0.000001,1,0)</x:f>
        <x:v>1</x:v>
      </x:c>
      <x:c r="F780" s="21" t="n">
        <x:v>1</x:v>
      </x:c>
      <x:c r="G780" s="23" t="str">
        <x:f>IF(E780=F780,"PASS","FAIL")</x:f>
        <x:v>PASS</x:v>
      </x:c>
    </x:row>
    <x:row r="781">
      <x:c r="B781" s="21" t="str">
        <x:v>A00775</x:v>
      </x:c>
      <x:c r="C781" s="21" t="str">
        <x:v>stage</x:v>
      </x:c>
      <x:c r="D781" s="21" t="str">
        <x:v>stage 39 observed conservation</x:v>
      </x:c>
      <x:c r="E781" s="21" t="n">
        <x:f>IF(AND(ABS('Stage Ledger'!R45-IF(AND('Stage Ledger'!P45=1,'Stage Ledger'!Q45=1),MIN('Stage Ledger'!F45,'Stage Ledger'!M45,'Stage Ledger'!R44),0))&lt;0.000001,'Stage Ledger'!S45=IF('Stage Ledger'!R45&gt;='Stage Ledger'!F45,"ADMITTED","NOT ADMITTED")),1,0)</x:f>
        <x:v>1</x:v>
      </x:c>
      <x:c r="F781" s="21" t="n">
        <x:v>1</x:v>
      </x:c>
      <x:c r="G781" s="23" t="str">
        <x:f>IF(E781=F781,"PASS","FAIL")</x:f>
        <x:v>PASS</x:v>
      </x:c>
    </x:row>
    <x:row r="782">
      <x:c r="B782" s="21" t="str">
        <x:v>A00776</x:v>
      </x:c>
      <x:c r="C782" s="21" t="str">
        <x:v>stage</x:v>
      </x:c>
      <x:c r="D782" s="21" t="str">
        <x:v>stage 40 planned conservation</x:v>
      </x:c>
      <x:c r="E782" s="21" t="n">
        <x:f>IF(ABS('Stage Ledger'!J46-MIN('Stage Ledger'!F46,'Stage Ledger'!H46,'Stage Ledger'!I46))&lt;0.000001,1,0)</x:f>
        <x:v>1</x:v>
      </x:c>
      <x:c r="F782" s="21" t="n">
        <x:v>1</x:v>
      </x:c>
      <x:c r="G782" s="23" t="str">
        <x:f>IF(E782=F782,"PASS","FAIL")</x:f>
        <x:v>PASS</x:v>
      </x:c>
    </x:row>
    <x:row r="783">
      <x:c r="B783" s="21" t="str">
        <x:v>A00777</x:v>
      </x:c>
      <x:c r="C783" s="21" t="str">
        <x:v>stage</x:v>
      </x:c>
      <x:c r="D783" s="21" t="str">
        <x:v>stage 40 observed conservation</x:v>
      </x:c>
      <x:c r="E783" s="21" t="n">
        <x:f>IF(AND(ABS('Stage Ledger'!R46-IF(AND('Stage Ledger'!P46=1,'Stage Ledger'!Q46=1),MIN('Stage Ledger'!F46,'Stage Ledger'!M46,'Stage Ledger'!R45),0))&lt;0.000001,'Stage Ledger'!S46=IF('Stage Ledger'!R46&gt;='Stage Ledger'!F46,"ADMITTED","NOT ADMITTED")),1,0)</x:f>
        <x:v>1</x:v>
      </x:c>
      <x:c r="F783" s="21" t="n">
        <x:v>1</x:v>
      </x:c>
      <x:c r="G783" s="23" t="str">
        <x:f>IF(E783=F783,"PASS","FAIL")</x:f>
        <x:v>PASS</x:v>
      </x:c>
    </x:row>
    <x:row r="784">
      <x:c r="B784" s="21" t="str">
        <x:v>A00778</x:v>
      </x:c>
      <x:c r="C784" s="21" t="str">
        <x:v>stage</x:v>
      </x:c>
      <x:c r="D784" s="21" t="str">
        <x:v>stage 41 planned conservation</x:v>
      </x:c>
      <x:c r="E784" s="21" t="n">
        <x:f>IF(ABS('Stage Ledger'!J47-MIN('Stage Ledger'!F47,'Stage Ledger'!H47,'Stage Ledger'!I47))&lt;0.000001,1,0)</x:f>
        <x:v>1</x:v>
      </x:c>
      <x:c r="F784" s="21" t="n">
        <x:v>1</x:v>
      </x:c>
      <x:c r="G784" s="23" t="str">
        <x:f>IF(E784=F784,"PASS","FAIL")</x:f>
        <x:v>PASS</x:v>
      </x:c>
    </x:row>
    <x:row r="785">
      <x:c r="B785" s="21" t="str">
        <x:v>A00779</x:v>
      </x:c>
      <x:c r="C785" s="21" t="str">
        <x:v>stage</x:v>
      </x:c>
      <x:c r="D785" s="21" t="str">
        <x:v>stage 41 observed conservation</x:v>
      </x:c>
      <x:c r="E785" s="21" t="n">
        <x:f>IF(AND(ABS('Stage Ledger'!R47-IF(AND('Stage Ledger'!P47=1,'Stage Ledger'!Q47=1),MIN('Stage Ledger'!F47,'Stage Ledger'!M47,'Stage Ledger'!R46),0))&lt;0.000001,'Stage Ledger'!S47=IF('Stage Ledger'!R47&gt;='Stage Ledger'!F47,"ADMITTED","NOT ADMITTED")),1,0)</x:f>
        <x:v>1</x:v>
      </x:c>
      <x:c r="F785" s="21" t="n">
        <x:v>1</x:v>
      </x:c>
      <x:c r="G785" s="23" t="str">
        <x:f>IF(E785=F785,"PASS","FAIL")</x:f>
        <x:v>PASS</x:v>
      </x:c>
    </x:row>
    <x:row r="786">
      <x:c r="B786" s="21" t="str">
        <x:v>A00780</x:v>
      </x:c>
      <x:c r="C786" s="21" t="str">
        <x:v>stage</x:v>
      </x:c>
      <x:c r="D786" s="21" t="str">
        <x:v>stage 42 planned conservation</x:v>
      </x:c>
      <x:c r="E786" s="21" t="n">
        <x:f>IF(ABS('Stage Ledger'!J48-MIN('Stage Ledger'!F48,'Stage Ledger'!H48,'Stage Ledger'!I48))&lt;0.000001,1,0)</x:f>
        <x:v>1</x:v>
      </x:c>
      <x:c r="F786" s="21" t="n">
        <x:v>1</x:v>
      </x:c>
      <x:c r="G786" s="23" t="str">
        <x:f>IF(E786=F786,"PASS","FAIL")</x:f>
        <x:v>PASS</x:v>
      </x:c>
    </x:row>
    <x:row r="787">
      <x:c r="B787" s="21" t="str">
        <x:v>A00781</x:v>
      </x:c>
      <x:c r="C787" s="21" t="str">
        <x:v>stage</x:v>
      </x:c>
      <x:c r="D787" s="21" t="str">
        <x:v>stage 42 observed conservation</x:v>
      </x:c>
      <x:c r="E787" s="21" t="n">
        <x:f>IF(AND(ABS('Stage Ledger'!R48-IF(AND('Stage Ledger'!P48=1,'Stage Ledger'!Q48=1),MIN('Stage Ledger'!F48,'Stage Ledger'!M48,'Stage Ledger'!R47),0))&lt;0.000001,'Stage Ledger'!S48=IF('Stage Ledger'!R48&gt;='Stage Ledger'!F48,"ADMITTED","NOT ADMITTED")),1,0)</x:f>
        <x:v>1</x:v>
      </x:c>
      <x:c r="F787" s="21" t="n">
        <x:v>1</x:v>
      </x:c>
      <x:c r="G787" s="23" t="str">
        <x:f>IF(E787=F787,"PASS","FAIL")</x:f>
        <x:v>PASS</x:v>
      </x:c>
    </x:row>
    <x:row r="788">
      <x:c r="B788" s="21" t="str">
        <x:v>A00782</x:v>
      </x:c>
      <x:c r="C788" s="21" t="str">
        <x:v>stage</x:v>
      </x:c>
      <x:c r="D788" s="21" t="str">
        <x:v>stage 43 planned conservation</x:v>
      </x:c>
      <x:c r="E788" s="21" t="n">
        <x:f>IF(ABS('Stage Ledger'!J49-MIN('Stage Ledger'!F49,'Stage Ledger'!H49,'Stage Ledger'!I49))&lt;0.000001,1,0)</x:f>
        <x:v>1</x:v>
      </x:c>
      <x:c r="F788" s="21" t="n">
        <x:v>1</x:v>
      </x:c>
      <x:c r="G788" s="23" t="str">
        <x:f>IF(E788=F788,"PASS","FAIL")</x:f>
        <x:v>PASS</x:v>
      </x:c>
    </x:row>
    <x:row r="789">
      <x:c r="B789" s="21" t="str">
        <x:v>A00783</x:v>
      </x:c>
      <x:c r="C789" s="21" t="str">
        <x:v>stage</x:v>
      </x:c>
      <x:c r="D789" s="21" t="str">
        <x:v>stage 43 observed conservation</x:v>
      </x:c>
      <x:c r="E789" s="21" t="n">
        <x:f>IF(AND(ABS('Stage Ledger'!R49-IF(AND('Stage Ledger'!P49=1,'Stage Ledger'!Q49=1),MIN('Stage Ledger'!F49,'Stage Ledger'!M49,'Stage Ledger'!R48),0))&lt;0.000001,'Stage Ledger'!S49=IF('Stage Ledger'!R49&gt;='Stage Ledger'!F49,"ADMITTED","NOT ADMITTED")),1,0)</x:f>
        <x:v>1</x:v>
      </x:c>
      <x:c r="F789" s="21" t="n">
        <x:v>1</x:v>
      </x:c>
      <x:c r="G789" s="23" t="str">
        <x:f>IF(E789=F789,"PASS","FAIL")</x:f>
        <x:v>PASS</x:v>
      </x:c>
    </x:row>
    <x:row r="790">
      <x:c r="B790" s="21" t="str">
        <x:v>A00784</x:v>
      </x:c>
      <x:c r="C790" s="21" t="str">
        <x:v>stage</x:v>
      </x:c>
      <x:c r="D790" s="21" t="str">
        <x:v>stage 44 planned conservation</x:v>
      </x:c>
      <x:c r="E790" s="21" t="n">
        <x:f>IF(ABS('Stage Ledger'!J50-MIN('Stage Ledger'!F50,'Stage Ledger'!H50,'Stage Ledger'!I50))&lt;0.000001,1,0)</x:f>
        <x:v>1</x:v>
      </x:c>
      <x:c r="F790" s="21" t="n">
        <x:v>1</x:v>
      </x:c>
      <x:c r="G790" s="23" t="str">
        <x:f>IF(E790=F790,"PASS","FAIL")</x:f>
        <x:v>PASS</x:v>
      </x:c>
    </x:row>
    <x:row r="791">
      <x:c r="B791" s="21" t="str">
        <x:v>A00785</x:v>
      </x:c>
      <x:c r="C791" s="21" t="str">
        <x:v>stage</x:v>
      </x:c>
      <x:c r="D791" s="21" t="str">
        <x:v>stage 44 observed conservation</x:v>
      </x:c>
      <x:c r="E791" s="21" t="n">
        <x:f>IF(AND(ABS('Stage Ledger'!R50-IF(AND('Stage Ledger'!P50=1,'Stage Ledger'!Q50=1),MIN('Stage Ledger'!F50,'Stage Ledger'!M50,'Stage Ledger'!R49),0))&lt;0.000001,'Stage Ledger'!S50=IF('Stage Ledger'!R50&gt;='Stage Ledger'!F50,"ADMITTED","NOT ADMITTED")),1,0)</x:f>
        <x:v>1</x:v>
      </x:c>
      <x:c r="F791" s="21" t="n">
        <x:v>1</x:v>
      </x:c>
      <x:c r="G791" s="23" t="str">
        <x:f>IF(E791=F791,"PASS","FAIL")</x:f>
        <x:v>PASS</x:v>
      </x:c>
    </x:row>
    <x:row r="792">
      <x:c r="B792" s="21" t="str">
        <x:v>A00786</x:v>
      </x:c>
      <x:c r="C792" s="21" t="str">
        <x:v>stage</x:v>
      </x:c>
      <x:c r="D792" s="21" t="str">
        <x:v>stage 45 planned conservation</x:v>
      </x:c>
      <x:c r="E792" s="21" t="n">
        <x:f>IF(ABS('Stage Ledger'!J51-MIN('Stage Ledger'!F51,'Stage Ledger'!H51,'Stage Ledger'!I51))&lt;0.000001,1,0)</x:f>
        <x:v>1</x:v>
      </x:c>
      <x:c r="F792" s="21" t="n">
        <x:v>1</x:v>
      </x:c>
      <x:c r="G792" s="23" t="str">
        <x:f>IF(E792=F792,"PASS","FAIL")</x:f>
        <x:v>PASS</x:v>
      </x:c>
    </x:row>
    <x:row r="793">
      <x:c r="B793" s="21" t="str">
        <x:v>A00787</x:v>
      </x:c>
      <x:c r="C793" s="21" t="str">
        <x:v>stage</x:v>
      </x:c>
      <x:c r="D793" s="21" t="str">
        <x:v>stage 45 observed conservation</x:v>
      </x:c>
      <x:c r="E793" s="21" t="n">
        <x:f>IF(AND(ABS('Stage Ledger'!R51-IF(AND('Stage Ledger'!P51=1,'Stage Ledger'!Q51=1),MIN('Stage Ledger'!F51,'Stage Ledger'!M51,'Stage Ledger'!R50),0))&lt;0.000001,'Stage Ledger'!S51=IF('Stage Ledger'!R51&gt;='Stage Ledger'!F51,"ADMITTED","NOT ADMITTED")),1,0)</x:f>
        <x:v>1</x:v>
      </x:c>
      <x:c r="F793" s="21" t="n">
        <x:v>1</x:v>
      </x:c>
      <x:c r="G793" s="23" t="str">
        <x:f>IF(E793=F793,"PASS","FAIL")</x:f>
        <x:v>PASS</x:v>
      </x:c>
    </x:row>
    <x:row r="794">
      <x:c r="B794" s="21" t="str">
        <x:v>A00788</x:v>
      </x:c>
      <x:c r="C794" s="21" t="str">
        <x:v>stage</x:v>
      </x:c>
      <x:c r="D794" s="21" t="str">
        <x:v>stage 46 planned conservation</x:v>
      </x:c>
      <x:c r="E794" s="21" t="n">
        <x:f>IF(ABS('Stage Ledger'!J52-MIN('Stage Ledger'!F52,'Stage Ledger'!H52,'Stage Ledger'!I52))&lt;0.000001,1,0)</x:f>
        <x:v>1</x:v>
      </x:c>
      <x:c r="F794" s="21" t="n">
        <x:v>1</x:v>
      </x:c>
      <x:c r="G794" s="23" t="str">
        <x:f>IF(E794=F794,"PASS","FAIL")</x:f>
        <x:v>PASS</x:v>
      </x:c>
    </x:row>
    <x:row r="795">
      <x:c r="B795" s="21" t="str">
        <x:v>A00789</x:v>
      </x:c>
      <x:c r="C795" s="21" t="str">
        <x:v>stage</x:v>
      </x:c>
      <x:c r="D795" s="21" t="str">
        <x:v>stage 46 observed conservation</x:v>
      </x:c>
      <x:c r="E795" s="21" t="n">
        <x:f>IF(AND(ABS('Stage Ledger'!R52-IF(AND('Stage Ledger'!P52=1,'Stage Ledger'!Q52=1),MIN('Stage Ledger'!F52,'Stage Ledger'!M52,'Stage Ledger'!R51),0))&lt;0.000001,'Stage Ledger'!S52=IF('Stage Ledger'!R52&gt;='Stage Ledger'!F52,"ADMITTED","NOT ADMITTED")),1,0)</x:f>
        <x:v>1</x:v>
      </x:c>
      <x:c r="F795" s="21" t="n">
        <x:v>1</x:v>
      </x:c>
      <x:c r="G795" s="23" t="str">
        <x:f>IF(E795=F795,"PASS","FAIL")</x:f>
        <x:v>PASS</x:v>
      </x:c>
    </x:row>
    <x:row r="796">
      <x:c r="B796" s="21" t="str">
        <x:v>A00790</x:v>
      </x:c>
      <x:c r="C796" s="21" t="str">
        <x:v>stage</x:v>
      </x:c>
      <x:c r="D796" s="21" t="str">
        <x:v>stage 47 planned conservation</x:v>
      </x:c>
      <x:c r="E796" s="21" t="n">
        <x:f>IF(ABS('Stage Ledger'!J53-MIN('Stage Ledger'!F53,'Stage Ledger'!H53,'Stage Ledger'!I53))&lt;0.000001,1,0)</x:f>
        <x:v>1</x:v>
      </x:c>
      <x:c r="F796" s="21" t="n">
        <x:v>1</x:v>
      </x:c>
      <x:c r="G796" s="23" t="str">
        <x:f>IF(E796=F796,"PASS","FAIL")</x:f>
        <x:v>PASS</x:v>
      </x:c>
    </x:row>
    <x:row r="797">
      <x:c r="B797" s="21" t="str">
        <x:v>A00791</x:v>
      </x:c>
      <x:c r="C797" s="21" t="str">
        <x:v>stage</x:v>
      </x:c>
      <x:c r="D797" s="21" t="str">
        <x:v>stage 47 observed conservation</x:v>
      </x:c>
      <x:c r="E797" s="21" t="n">
        <x:f>IF(AND(ABS('Stage Ledger'!R53-IF(AND('Stage Ledger'!P53=1,'Stage Ledger'!Q53=1),MIN('Stage Ledger'!F53,'Stage Ledger'!M53,'Stage Ledger'!R52),0))&lt;0.000001,'Stage Ledger'!S53=IF('Stage Ledger'!R53&gt;='Stage Ledger'!F53,"ADMITTED","NOT ADMITTED")),1,0)</x:f>
        <x:v>1</x:v>
      </x:c>
      <x:c r="F797" s="21" t="n">
        <x:v>1</x:v>
      </x:c>
      <x:c r="G797" s="23" t="str">
        <x:f>IF(E797=F797,"PASS","FAIL")</x:f>
        <x:v>PASS</x:v>
      </x:c>
    </x:row>
    <x:row r="798">
      <x:c r="B798" s="21" t="str">
        <x:v>A00792</x:v>
      </x:c>
      <x:c r="C798" s="21" t="str">
        <x:v>stage</x:v>
      </x:c>
      <x:c r="D798" s="21" t="str">
        <x:v>stage 48 planned conservation</x:v>
      </x:c>
      <x:c r="E798" s="21" t="n">
        <x:f>IF(ABS('Stage Ledger'!J54-MIN('Stage Ledger'!F54,'Stage Ledger'!H54,'Stage Ledger'!I54))&lt;0.000001,1,0)</x:f>
        <x:v>1</x:v>
      </x:c>
      <x:c r="F798" s="21" t="n">
        <x:v>1</x:v>
      </x:c>
      <x:c r="G798" s="23" t="str">
        <x:f>IF(E798=F798,"PASS","FAIL")</x:f>
        <x:v>PASS</x:v>
      </x:c>
    </x:row>
    <x:row r="799">
      <x:c r="B799" s="21" t="str">
        <x:v>A00793</x:v>
      </x:c>
      <x:c r="C799" s="21" t="str">
        <x:v>stage</x:v>
      </x:c>
      <x:c r="D799" s="21" t="str">
        <x:v>stage 48 observed conservation</x:v>
      </x:c>
      <x:c r="E799" s="21" t="n">
        <x:f>IF(AND(ABS('Stage Ledger'!R54-IF(AND('Stage Ledger'!P54=1,'Stage Ledger'!Q54=1),MIN('Stage Ledger'!F54,'Stage Ledger'!M54,'Stage Ledger'!R53),0))&lt;0.000001,'Stage Ledger'!S54=IF('Stage Ledger'!R54&gt;='Stage Ledger'!F54,"ADMITTED","NOT ADMITTED")),1,0)</x:f>
        <x:v>1</x:v>
      </x:c>
      <x:c r="F799" s="21" t="n">
        <x:v>1</x:v>
      </x:c>
      <x:c r="G799" s="23" t="str">
        <x:f>IF(E799=F799,"PASS","FAIL")</x:f>
        <x:v>PASS</x:v>
      </x:c>
    </x:row>
    <x:row r="800">
      <x:c r="B800" s="21" t="str">
        <x:v>A00794</x:v>
      </x:c>
      <x:c r="C800" s="21" t="str">
        <x:v>stage</x:v>
      </x:c>
      <x:c r="D800" s="21" t="str">
        <x:v>stage 49 planned conservation</x:v>
      </x:c>
      <x:c r="E800" s="21" t="n">
        <x:f>IF(ABS('Stage Ledger'!J55-MIN('Stage Ledger'!F55,'Stage Ledger'!H55,'Stage Ledger'!I55))&lt;0.000001,1,0)</x:f>
        <x:v>1</x:v>
      </x:c>
      <x:c r="F800" s="21" t="n">
        <x:v>1</x:v>
      </x:c>
      <x:c r="G800" s="23" t="str">
        <x:f>IF(E800=F800,"PASS","FAIL")</x:f>
        <x:v>PASS</x:v>
      </x:c>
    </x:row>
    <x:row r="801">
      <x:c r="B801" s="21" t="str">
        <x:v>A00795</x:v>
      </x:c>
      <x:c r="C801" s="21" t="str">
        <x:v>stage</x:v>
      </x:c>
      <x:c r="D801" s="21" t="str">
        <x:v>stage 49 observed conservation</x:v>
      </x:c>
      <x:c r="E801" s="21" t="n">
        <x:f>IF(AND(ABS('Stage Ledger'!R55-IF(AND('Stage Ledger'!P55=1,'Stage Ledger'!Q55=1),MIN('Stage Ledger'!F55,'Stage Ledger'!M55),0))&lt;0.000001,'Stage Ledger'!S55=IF('Stage Ledger'!R55&gt;='Stage Ledger'!F55,"ADMITTED","NOT ADMITTED")),1,0)</x:f>
        <x:v>1</x:v>
      </x:c>
      <x:c r="F801" s="21" t="n">
        <x:v>1</x:v>
      </x:c>
      <x:c r="G801" s="23" t="str">
        <x:f>IF(E801=F801,"PASS","FAIL")</x:f>
        <x:v>PASS</x:v>
      </x:c>
    </x:row>
    <x:row r="802">
      <x:c r="B802" s="21" t="str">
        <x:v>A00796</x:v>
      </x:c>
      <x:c r="C802" s="21" t="str">
        <x:v>stage</x:v>
      </x:c>
      <x:c r="D802" s="21" t="str">
        <x:v>stage 50 planned conservation</x:v>
      </x:c>
      <x:c r="E802" s="21" t="n">
        <x:f>IF(ABS('Stage Ledger'!J56-MIN('Stage Ledger'!F56,'Stage Ledger'!H56,'Stage Ledger'!I56))&lt;0.000001,1,0)</x:f>
        <x:v>1</x:v>
      </x:c>
      <x:c r="F802" s="21" t="n">
        <x:v>1</x:v>
      </x:c>
      <x:c r="G802" s="23" t="str">
        <x:f>IF(E802=F802,"PASS","FAIL")</x:f>
        <x:v>PASS</x:v>
      </x:c>
    </x:row>
    <x:row r="803">
      <x:c r="B803" s="21" t="str">
        <x:v>A00797</x:v>
      </x:c>
      <x:c r="C803" s="21" t="str">
        <x:v>stage</x:v>
      </x:c>
      <x:c r="D803" s="21" t="str">
        <x:v>stage 50 observed conservation</x:v>
      </x:c>
      <x:c r="E803" s="21" t="n">
        <x:f>IF(AND(ABS('Stage Ledger'!R56-IF(AND('Stage Ledger'!P56=1,'Stage Ledger'!Q56=1),MIN('Stage Ledger'!F56,'Stage Ledger'!M56,'Stage Ledger'!R55),0))&lt;0.000001,'Stage Ledger'!S56=IF('Stage Ledger'!R56&gt;='Stage Ledger'!F56,"ADMITTED","NOT ADMITTED")),1,0)</x:f>
        <x:v>1</x:v>
      </x:c>
      <x:c r="F803" s="21" t="n">
        <x:v>1</x:v>
      </x:c>
      <x:c r="G803" s="23" t="str">
        <x:f>IF(E803=F803,"PASS","FAIL")</x:f>
        <x:v>PASS</x:v>
      </x:c>
    </x:row>
    <x:row r="804">
      <x:c r="B804" s="21" t="str">
        <x:v>A00798</x:v>
      </x:c>
      <x:c r="C804" s="21" t="str">
        <x:v>stage</x:v>
      </x:c>
      <x:c r="D804" s="21" t="str">
        <x:v>stage 51 planned conservation</x:v>
      </x:c>
      <x:c r="E804" s="21" t="n">
        <x:f>IF(ABS('Stage Ledger'!J57-MIN('Stage Ledger'!F57,'Stage Ledger'!H57,'Stage Ledger'!I57))&lt;0.000001,1,0)</x:f>
        <x:v>1</x:v>
      </x:c>
      <x:c r="F804" s="21" t="n">
        <x:v>1</x:v>
      </x:c>
      <x:c r="G804" s="23" t="str">
        <x:f>IF(E804=F804,"PASS","FAIL")</x:f>
        <x:v>PASS</x:v>
      </x:c>
    </x:row>
    <x:row r="805">
      <x:c r="B805" s="21" t="str">
        <x:v>A00799</x:v>
      </x:c>
      <x:c r="C805" s="21" t="str">
        <x:v>stage</x:v>
      </x:c>
      <x:c r="D805" s="21" t="str">
        <x:v>stage 51 observed conservation</x:v>
      </x:c>
      <x:c r="E805" s="21" t="n">
        <x:f>IF(AND(ABS('Stage Ledger'!R57-IF(AND('Stage Ledger'!P57=1,'Stage Ledger'!Q57=1),MIN('Stage Ledger'!F57,'Stage Ledger'!M57,'Stage Ledger'!R56),0))&lt;0.000001,'Stage Ledger'!S57=IF('Stage Ledger'!R57&gt;='Stage Ledger'!F57,"ADMITTED","NOT ADMITTED")),1,0)</x:f>
        <x:v>1</x:v>
      </x:c>
      <x:c r="F805" s="21" t="n">
        <x:v>1</x:v>
      </x:c>
      <x:c r="G805" s="23" t="str">
        <x:f>IF(E805=F805,"PASS","FAIL")</x:f>
        <x:v>PASS</x:v>
      </x:c>
    </x:row>
    <x:row r="806">
      <x:c r="B806" s="21" t="str">
        <x:v>A00800</x:v>
      </x:c>
      <x:c r="C806" s="21" t="str">
        <x:v>stage</x:v>
      </x:c>
      <x:c r="D806" s="21" t="str">
        <x:v>stage 52 planned conservation</x:v>
      </x:c>
      <x:c r="E806" s="21" t="n">
        <x:f>IF(ABS('Stage Ledger'!J58-MIN('Stage Ledger'!F58,'Stage Ledger'!H58,'Stage Ledger'!I58))&lt;0.000001,1,0)</x:f>
        <x:v>1</x:v>
      </x:c>
      <x:c r="F806" s="21" t="n">
        <x:v>1</x:v>
      </x:c>
      <x:c r="G806" s="23" t="str">
        <x:f>IF(E806=F806,"PASS","FAIL")</x:f>
        <x:v>PASS</x:v>
      </x:c>
    </x:row>
    <x:row r="807">
      <x:c r="B807" s="21" t="str">
        <x:v>A00801</x:v>
      </x:c>
      <x:c r="C807" s="21" t="str">
        <x:v>stage</x:v>
      </x:c>
      <x:c r="D807" s="21" t="str">
        <x:v>stage 52 observed conservation</x:v>
      </x:c>
      <x:c r="E807" s="21" t="n">
        <x:f>IF(AND(ABS('Stage Ledger'!R58-IF(AND('Stage Ledger'!P58=1,'Stage Ledger'!Q58=1),MIN('Stage Ledger'!F58,'Stage Ledger'!M58,'Stage Ledger'!R57),0))&lt;0.000001,'Stage Ledger'!S58=IF('Stage Ledger'!R58&gt;='Stage Ledger'!F58,"ADMITTED","NOT ADMITTED")),1,0)</x:f>
        <x:v>1</x:v>
      </x:c>
      <x:c r="F807" s="21" t="n">
        <x:v>1</x:v>
      </x:c>
      <x:c r="G807" s="23" t="str">
        <x:f>IF(E807=F807,"PASS","FAIL")</x:f>
        <x:v>PASS</x:v>
      </x:c>
    </x:row>
    <x:row r="808">
      <x:c r="B808" s="21" t="str">
        <x:v>A00802</x:v>
      </x:c>
      <x:c r="C808" s="21" t="str">
        <x:v>stage</x:v>
      </x:c>
      <x:c r="D808" s="21" t="str">
        <x:v>stage 53 planned conservation</x:v>
      </x:c>
      <x:c r="E808" s="21" t="n">
        <x:f>IF(ABS('Stage Ledger'!J59-MIN('Stage Ledger'!F59,'Stage Ledger'!H59,'Stage Ledger'!I59))&lt;0.000001,1,0)</x:f>
        <x:v>1</x:v>
      </x:c>
      <x:c r="F808" s="21" t="n">
        <x:v>1</x:v>
      </x:c>
      <x:c r="G808" s="23" t="str">
        <x:f>IF(E808=F808,"PASS","FAIL")</x:f>
        <x:v>PASS</x:v>
      </x:c>
    </x:row>
    <x:row r="809">
      <x:c r="B809" s="21" t="str">
        <x:v>A00803</x:v>
      </x:c>
      <x:c r="C809" s="21" t="str">
        <x:v>stage</x:v>
      </x:c>
      <x:c r="D809" s="21" t="str">
        <x:v>stage 53 observed conservation</x:v>
      </x:c>
      <x:c r="E809" s="21" t="n">
        <x:f>IF(AND(ABS('Stage Ledger'!R59-IF(AND('Stage Ledger'!P59=1,'Stage Ledger'!Q59=1),MIN('Stage Ledger'!F59,'Stage Ledger'!M59,'Stage Ledger'!R58),0))&lt;0.000001,'Stage Ledger'!S59=IF('Stage Ledger'!R59&gt;='Stage Ledger'!F59,"ADMITTED","NOT ADMITTED")),1,0)</x:f>
        <x:v>1</x:v>
      </x:c>
      <x:c r="F809" s="21" t="n">
        <x:v>1</x:v>
      </x:c>
      <x:c r="G809" s="23" t="str">
        <x:f>IF(E809=F809,"PASS","FAIL")</x:f>
        <x:v>PASS</x:v>
      </x:c>
    </x:row>
    <x:row r="810">
      <x:c r="B810" s="21" t="str">
        <x:v>A00804</x:v>
      </x:c>
      <x:c r="C810" s="21" t="str">
        <x:v>stage</x:v>
      </x:c>
      <x:c r="D810" s="21" t="str">
        <x:v>stage 54 planned conservation</x:v>
      </x:c>
      <x:c r="E810" s="21" t="n">
        <x:f>IF(ABS('Stage Ledger'!J60-MIN('Stage Ledger'!F60,'Stage Ledger'!H60,'Stage Ledger'!I60))&lt;0.000001,1,0)</x:f>
        <x:v>1</x:v>
      </x:c>
      <x:c r="F810" s="21" t="n">
        <x:v>1</x:v>
      </x:c>
      <x:c r="G810" s="23" t="str">
        <x:f>IF(E810=F810,"PASS","FAIL")</x:f>
        <x:v>PASS</x:v>
      </x:c>
    </x:row>
    <x:row r="811">
      <x:c r="B811" s="21" t="str">
        <x:v>A00805</x:v>
      </x:c>
      <x:c r="C811" s="21" t="str">
        <x:v>stage</x:v>
      </x:c>
      <x:c r="D811" s="21" t="str">
        <x:v>stage 54 observed conservation</x:v>
      </x:c>
      <x:c r="E811" s="21" t="n">
        <x:f>IF(AND(ABS('Stage Ledger'!R60-IF(AND('Stage Ledger'!P60=1,'Stage Ledger'!Q60=1),MIN('Stage Ledger'!F60,'Stage Ledger'!M60,'Stage Ledger'!R59),0))&lt;0.000001,'Stage Ledger'!S60=IF('Stage Ledger'!R60&gt;='Stage Ledger'!F60,"ADMITTED","NOT ADMITTED")),1,0)</x:f>
        <x:v>1</x:v>
      </x:c>
      <x:c r="F811" s="21" t="n">
        <x:v>1</x:v>
      </x:c>
      <x:c r="G811" s="23" t="str">
        <x:f>IF(E811=F811,"PASS","FAIL")</x:f>
        <x:v>PASS</x:v>
      </x:c>
    </x:row>
    <x:row r="812">
      <x:c r="B812" s="21" t="str">
        <x:v>A00806</x:v>
      </x:c>
      <x:c r="C812" s="21" t="str">
        <x:v>stage</x:v>
      </x:c>
      <x:c r="D812" s="21" t="str">
        <x:v>stage 55 planned conservation</x:v>
      </x:c>
      <x:c r="E812" s="21" t="n">
        <x:f>IF(ABS('Stage Ledger'!J61-MIN('Stage Ledger'!F61,'Stage Ledger'!H61,'Stage Ledger'!I61))&lt;0.000001,1,0)</x:f>
        <x:v>1</x:v>
      </x:c>
      <x:c r="F812" s="21" t="n">
        <x:v>1</x:v>
      </x:c>
      <x:c r="G812" s="23" t="str">
        <x:f>IF(E812=F812,"PASS","FAIL")</x:f>
        <x:v>PASS</x:v>
      </x:c>
    </x:row>
    <x:row r="813">
      <x:c r="B813" s="21" t="str">
        <x:v>A00807</x:v>
      </x:c>
      <x:c r="C813" s="21" t="str">
        <x:v>stage</x:v>
      </x:c>
      <x:c r="D813" s="21" t="str">
        <x:v>stage 55 observed conservation</x:v>
      </x:c>
      <x:c r="E813" s="21" t="n">
        <x:f>IF(AND(ABS('Stage Ledger'!R61-IF(AND('Stage Ledger'!P61=1,'Stage Ledger'!Q61=1),MIN('Stage Ledger'!F61,'Stage Ledger'!M61,'Stage Ledger'!R60),0))&lt;0.000001,'Stage Ledger'!S61=IF('Stage Ledger'!R61&gt;='Stage Ledger'!F61,"ADMITTED","NOT ADMITTED")),1,0)</x:f>
        <x:v>1</x:v>
      </x:c>
      <x:c r="F813" s="21" t="n">
        <x:v>1</x:v>
      </x:c>
      <x:c r="G813" s="23" t="str">
        <x:f>IF(E813=F813,"PASS","FAIL")</x:f>
        <x:v>PASS</x:v>
      </x:c>
    </x:row>
    <x:row r="814">
      <x:c r="B814" s="21" t="str">
        <x:v>A00808</x:v>
      </x:c>
      <x:c r="C814" s="21" t="str">
        <x:v>stage</x:v>
      </x:c>
      <x:c r="D814" s="21" t="str">
        <x:v>stage 56 planned conservation</x:v>
      </x:c>
      <x:c r="E814" s="21" t="n">
        <x:f>IF(ABS('Stage Ledger'!J62-MIN('Stage Ledger'!F62,'Stage Ledger'!H62,'Stage Ledger'!I62))&lt;0.000001,1,0)</x:f>
        <x:v>1</x:v>
      </x:c>
      <x:c r="F814" s="21" t="n">
        <x:v>1</x:v>
      </x:c>
      <x:c r="G814" s="23" t="str">
        <x:f>IF(E814=F814,"PASS","FAIL")</x:f>
        <x:v>PASS</x:v>
      </x:c>
    </x:row>
    <x:row r="815">
      <x:c r="B815" s="21" t="str">
        <x:v>A00809</x:v>
      </x:c>
      <x:c r="C815" s="21" t="str">
        <x:v>stage</x:v>
      </x:c>
      <x:c r="D815" s="21" t="str">
        <x:v>stage 56 observed conservation</x:v>
      </x:c>
      <x:c r="E815" s="21" t="n">
        <x:f>IF(AND(ABS('Stage Ledger'!R62-IF(AND('Stage Ledger'!P62=1,'Stage Ledger'!Q62=1),MIN('Stage Ledger'!F62,'Stage Ledger'!M62,'Stage Ledger'!R61),0))&lt;0.000001,'Stage Ledger'!S62=IF('Stage Ledger'!R62&gt;='Stage Ledger'!F62,"ADMITTED","NOT ADMITTED")),1,0)</x:f>
        <x:v>1</x:v>
      </x:c>
      <x:c r="F815" s="21" t="n">
        <x:v>1</x:v>
      </x:c>
      <x:c r="G815" s="23" t="str">
        <x:f>IF(E815=F815,"PASS","FAIL")</x:f>
        <x:v>PASS</x:v>
      </x:c>
    </x:row>
    <x:row r="816">
      <x:c r="B816" s="21" t="str">
        <x:v>A00810</x:v>
      </x:c>
      <x:c r="C816" s="21" t="str">
        <x:v>stage</x:v>
      </x:c>
      <x:c r="D816" s="21" t="str">
        <x:v>stage 57 planned conservation</x:v>
      </x:c>
      <x:c r="E816" s="21" t="n">
        <x:f>IF(ABS('Stage Ledger'!J63-MIN('Stage Ledger'!F63,'Stage Ledger'!H63,'Stage Ledger'!I63))&lt;0.000001,1,0)</x:f>
        <x:v>1</x:v>
      </x:c>
      <x:c r="F816" s="21" t="n">
        <x:v>1</x:v>
      </x:c>
      <x:c r="G816" s="23" t="str">
        <x:f>IF(E816=F816,"PASS","FAIL")</x:f>
        <x:v>PASS</x:v>
      </x:c>
    </x:row>
    <x:row r="817">
      <x:c r="B817" s="21" t="str">
        <x:v>A00811</x:v>
      </x:c>
      <x:c r="C817" s="21" t="str">
        <x:v>stage</x:v>
      </x:c>
      <x:c r="D817" s="21" t="str">
        <x:v>stage 57 observed conservation</x:v>
      </x:c>
      <x:c r="E817" s="21" t="n">
        <x:f>IF(AND(ABS('Stage Ledger'!R63-IF(AND('Stage Ledger'!P63=1,'Stage Ledger'!Q63=1),MIN('Stage Ledger'!F63,'Stage Ledger'!M63,'Stage Ledger'!R62),0))&lt;0.000001,'Stage Ledger'!S63=IF('Stage Ledger'!R63&gt;='Stage Ledger'!F63,"ADMITTED","NOT ADMITTED")),1,0)</x:f>
        <x:v>1</x:v>
      </x:c>
      <x:c r="F817" s="21" t="n">
        <x:v>1</x:v>
      </x:c>
      <x:c r="G817" s="23" t="str">
        <x:f>IF(E817=F817,"PASS","FAIL")</x:f>
        <x:v>PASS</x:v>
      </x:c>
    </x:row>
    <x:row r="818">
      <x:c r="B818" s="21" t="str">
        <x:v>A00812</x:v>
      </x:c>
      <x:c r="C818" s="21" t="str">
        <x:v>stage</x:v>
      </x:c>
      <x:c r="D818" s="21" t="str">
        <x:v>stage 58 planned conservation</x:v>
      </x:c>
      <x:c r="E818" s="21" t="n">
        <x:f>IF(ABS('Stage Ledger'!J64-MIN('Stage Ledger'!F64,'Stage Ledger'!H64,'Stage Ledger'!I64))&lt;0.000001,1,0)</x:f>
        <x:v>1</x:v>
      </x:c>
      <x:c r="F818" s="21" t="n">
        <x:v>1</x:v>
      </x:c>
      <x:c r="G818" s="23" t="str">
        <x:f>IF(E818=F818,"PASS","FAIL")</x:f>
        <x:v>PASS</x:v>
      </x:c>
    </x:row>
    <x:row r="819">
      <x:c r="B819" s="21" t="str">
        <x:v>A00813</x:v>
      </x:c>
      <x:c r="C819" s="21" t="str">
        <x:v>stage</x:v>
      </x:c>
      <x:c r="D819" s="21" t="str">
        <x:v>stage 58 observed conservation</x:v>
      </x:c>
      <x:c r="E819" s="21" t="n">
        <x:f>IF(AND(ABS('Stage Ledger'!R64-IF(AND('Stage Ledger'!P64=1,'Stage Ledger'!Q64=1),MIN('Stage Ledger'!F64,'Stage Ledger'!M64,'Stage Ledger'!R63),0))&lt;0.000001,'Stage Ledger'!S64=IF('Stage Ledger'!R64&gt;='Stage Ledger'!F64,"ADMITTED","NOT ADMITTED")),1,0)</x:f>
        <x:v>1</x:v>
      </x:c>
      <x:c r="F819" s="21" t="n">
        <x:v>1</x:v>
      </x:c>
      <x:c r="G819" s="23" t="str">
        <x:f>IF(E819=F819,"PASS","FAIL")</x:f>
        <x:v>PASS</x:v>
      </x:c>
    </x:row>
    <x:row r="820">
      <x:c r="B820" s="21" t="str">
        <x:v>A00814</x:v>
      </x:c>
      <x:c r="C820" s="21" t="str">
        <x:v>stage</x:v>
      </x:c>
      <x:c r="D820" s="21" t="str">
        <x:v>stage 59 planned conservation</x:v>
      </x:c>
      <x:c r="E820" s="21" t="n">
        <x:f>IF(ABS('Stage Ledger'!J65-MIN('Stage Ledger'!F65,'Stage Ledger'!H65,'Stage Ledger'!I65))&lt;0.000001,1,0)</x:f>
        <x:v>1</x:v>
      </x:c>
      <x:c r="F820" s="21" t="n">
        <x:v>1</x:v>
      </x:c>
      <x:c r="G820" s="23" t="str">
        <x:f>IF(E820=F820,"PASS","FAIL")</x:f>
        <x:v>PASS</x:v>
      </x:c>
    </x:row>
    <x:row r="821">
      <x:c r="B821" s="21" t="str">
        <x:v>A00815</x:v>
      </x:c>
      <x:c r="C821" s="21" t="str">
        <x:v>stage</x:v>
      </x:c>
      <x:c r="D821" s="21" t="str">
        <x:v>stage 59 observed conservation</x:v>
      </x:c>
      <x:c r="E821" s="21" t="n">
        <x:f>IF(AND(ABS('Stage Ledger'!R65-IF(AND('Stage Ledger'!P65=1,'Stage Ledger'!Q65=1),MIN('Stage Ledger'!F65,'Stage Ledger'!M65,'Stage Ledger'!R64),0))&lt;0.000001,'Stage Ledger'!S65=IF('Stage Ledger'!R65&gt;='Stage Ledger'!F65,"ADMITTED","NOT ADMITTED")),1,0)</x:f>
        <x:v>1</x:v>
      </x:c>
      <x:c r="F821" s="21" t="n">
        <x:v>1</x:v>
      </x:c>
      <x:c r="G821" s="23" t="str">
        <x:f>IF(E821=F821,"PASS","FAIL")</x:f>
        <x:v>PASS</x:v>
      </x:c>
    </x:row>
    <x:row r="822">
      <x:c r="B822" s="21" t="str">
        <x:v>A00816</x:v>
      </x:c>
      <x:c r="C822" s="21" t="str">
        <x:v>stage</x:v>
      </x:c>
      <x:c r="D822" s="21" t="str">
        <x:v>stage 60 planned conservation</x:v>
      </x:c>
      <x:c r="E822" s="21" t="n">
        <x:f>IF(ABS('Stage Ledger'!J66-MIN('Stage Ledger'!F66,'Stage Ledger'!H66,'Stage Ledger'!I66))&lt;0.000001,1,0)</x:f>
        <x:v>1</x:v>
      </x:c>
      <x:c r="F822" s="21" t="n">
        <x:v>1</x:v>
      </x:c>
      <x:c r="G822" s="23" t="str">
        <x:f>IF(E822=F822,"PASS","FAIL")</x:f>
        <x:v>PASS</x:v>
      </x:c>
    </x:row>
    <x:row r="823">
      <x:c r="B823" s="21" t="str">
        <x:v>A00817</x:v>
      </x:c>
      <x:c r="C823" s="21" t="str">
        <x:v>stage</x:v>
      </x:c>
      <x:c r="D823" s="21" t="str">
        <x:v>stage 60 observed conservation</x:v>
      </x:c>
      <x:c r="E823" s="21" t="n">
        <x:f>IF(AND(ABS('Stage Ledger'!R66-IF(AND('Stage Ledger'!P66=1,'Stage Ledger'!Q66=1),MIN('Stage Ledger'!F66,'Stage Ledger'!M66,'Stage Ledger'!R65),0))&lt;0.000001,'Stage Ledger'!S66=IF('Stage Ledger'!R66&gt;='Stage Ledger'!F66,"ADMITTED","NOT ADMITTED")),1,0)</x:f>
        <x:v>1</x:v>
      </x:c>
      <x:c r="F823" s="21" t="n">
        <x:v>1</x:v>
      </x:c>
      <x:c r="G823" s="23" t="str">
        <x:f>IF(E823=F823,"PASS","FAIL")</x:f>
        <x:v>PASS</x:v>
      </x:c>
    </x:row>
    <x:row r="824">
      <x:c r="B824" s="21" t="str">
        <x:v>A00818</x:v>
      </x:c>
      <x:c r="C824" s="21" t="str">
        <x:v>stage</x:v>
      </x:c>
      <x:c r="D824" s="21" t="str">
        <x:v>stage 61 planned conservation</x:v>
      </x:c>
      <x:c r="E824" s="21" t="n">
        <x:f>IF(ABS('Stage Ledger'!J67-MIN('Stage Ledger'!F67,'Stage Ledger'!H67,'Stage Ledger'!I67))&lt;0.000001,1,0)</x:f>
        <x:v>1</x:v>
      </x:c>
      <x:c r="F824" s="21" t="n">
        <x:v>1</x:v>
      </x:c>
      <x:c r="G824" s="23" t="str">
        <x:f>IF(E824=F824,"PASS","FAIL")</x:f>
        <x:v>PASS</x:v>
      </x:c>
    </x:row>
    <x:row r="825">
      <x:c r="B825" s="21" t="str">
        <x:v>A00819</x:v>
      </x:c>
      <x:c r="C825" s="21" t="str">
        <x:v>stage</x:v>
      </x:c>
      <x:c r="D825" s="21" t="str">
        <x:v>stage 61 observed conservation</x:v>
      </x:c>
      <x:c r="E825" s="21" t="n">
        <x:f>IF(AND(ABS('Stage Ledger'!R67-IF(AND('Stage Ledger'!P67=1,'Stage Ledger'!Q67=1),MIN('Stage Ledger'!F67,'Stage Ledger'!M67),0))&lt;0.000001,'Stage Ledger'!S67=IF('Stage Ledger'!R67&gt;='Stage Ledger'!F67,"ADMITTED","NOT ADMITTED")),1,0)</x:f>
        <x:v>1</x:v>
      </x:c>
      <x:c r="F825" s="21" t="n">
        <x:v>1</x:v>
      </x:c>
      <x:c r="G825" s="23" t="str">
        <x:f>IF(E825=F825,"PASS","FAIL")</x:f>
        <x:v>PASS</x:v>
      </x:c>
    </x:row>
    <x:row r="826">
      <x:c r="B826" s="21" t="str">
        <x:v>A00820</x:v>
      </x:c>
      <x:c r="C826" s="21" t="str">
        <x:v>stage</x:v>
      </x:c>
      <x:c r="D826" s="21" t="str">
        <x:v>stage 62 planned conservation</x:v>
      </x:c>
      <x:c r="E826" s="21" t="n">
        <x:f>IF(ABS('Stage Ledger'!J68-MIN('Stage Ledger'!F68,'Stage Ledger'!H68,'Stage Ledger'!I68))&lt;0.000001,1,0)</x:f>
        <x:v>1</x:v>
      </x:c>
      <x:c r="F826" s="21" t="n">
        <x:v>1</x:v>
      </x:c>
      <x:c r="G826" s="23" t="str">
        <x:f>IF(E826=F826,"PASS","FAIL")</x:f>
        <x:v>PASS</x:v>
      </x:c>
    </x:row>
    <x:row r="827">
      <x:c r="B827" s="21" t="str">
        <x:v>A00821</x:v>
      </x:c>
      <x:c r="C827" s="21" t="str">
        <x:v>stage</x:v>
      </x:c>
      <x:c r="D827" s="21" t="str">
        <x:v>stage 62 observed conservation</x:v>
      </x:c>
      <x:c r="E827" s="21" t="n">
        <x:f>IF(AND(ABS('Stage Ledger'!R68-IF(AND('Stage Ledger'!P68=1,'Stage Ledger'!Q68=1),MIN('Stage Ledger'!F68,'Stage Ledger'!M68,'Stage Ledger'!R67),0))&lt;0.000001,'Stage Ledger'!S68=IF('Stage Ledger'!R68&gt;='Stage Ledger'!F68,"ADMITTED","NOT ADMITTED")),1,0)</x:f>
        <x:v>1</x:v>
      </x:c>
      <x:c r="F827" s="21" t="n">
        <x:v>1</x:v>
      </x:c>
      <x:c r="G827" s="23" t="str">
        <x:f>IF(E827=F827,"PASS","FAIL")</x:f>
        <x:v>PASS</x:v>
      </x:c>
    </x:row>
    <x:row r="828">
      <x:c r="B828" s="21" t="str">
        <x:v>A00822</x:v>
      </x:c>
      <x:c r="C828" s="21" t="str">
        <x:v>stage</x:v>
      </x:c>
      <x:c r="D828" s="21" t="str">
        <x:v>stage 63 planned conservation</x:v>
      </x:c>
      <x:c r="E828" s="21" t="n">
        <x:f>IF(ABS('Stage Ledger'!J69-MIN('Stage Ledger'!F69,'Stage Ledger'!H69,'Stage Ledger'!I69))&lt;0.000001,1,0)</x:f>
        <x:v>1</x:v>
      </x:c>
      <x:c r="F828" s="21" t="n">
        <x:v>1</x:v>
      </x:c>
      <x:c r="G828" s="23" t="str">
        <x:f>IF(E828=F828,"PASS","FAIL")</x:f>
        <x:v>PASS</x:v>
      </x:c>
    </x:row>
    <x:row r="829">
      <x:c r="B829" s="21" t="str">
        <x:v>A00823</x:v>
      </x:c>
      <x:c r="C829" s="21" t="str">
        <x:v>stage</x:v>
      </x:c>
      <x:c r="D829" s="21" t="str">
        <x:v>stage 63 observed conservation</x:v>
      </x:c>
      <x:c r="E829" s="21" t="n">
        <x:f>IF(AND(ABS('Stage Ledger'!R69-IF(AND('Stage Ledger'!P69=1,'Stage Ledger'!Q69=1),MIN('Stage Ledger'!F69,'Stage Ledger'!M69,'Stage Ledger'!R68),0))&lt;0.000001,'Stage Ledger'!S69=IF('Stage Ledger'!R69&gt;='Stage Ledger'!F69,"ADMITTED","NOT ADMITTED")),1,0)</x:f>
        <x:v>1</x:v>
      </x:c>
      <x:c r="F829" s="21" t="n">
        <x:v>1</x:v>
      </x:c>
      <x:c r="G829" s="23" t="str">
        <x:f>IF(E829=F829,"PASS","FAIL")</x:f>
        <x:v>PASS</x:v>
      </x:c>
    </x:row>
    <x:row r="830">
      <x:c r="B830" s="21" t="str">
        <x:v>A00824</x:v>
      </x:c>
      <x:c r="C830" s="21" t="str">
        <x:v>stage</x:v>
      </x:c>
      <x:c r="D830" s="21" t="str">
        <x:v>stage 64 planned conservation</x:v>
      </x:c>
      <x:c r="E830" s="21" t="n">
        <x:f>IF(ABS('Stage Ledger'!J70-MIN('Stage Ledger'!F70,'Stage Ledger'!H70,'Stage Ledger'!I70))&lt;0.000001,1,0)</x:f>
        <x:v>1</x:v>
      </x:c>
      <x:c r="F830" s="21" t="n">
        <x:v>1</x:v>
      </x:c>
      <x:c r="G830" s="23" t="str">
        <x:f>IF(E830=F830,"PASS","FAIL")</x:f>
        <x:v>PASS</x:v>
      </x:c>
    </x:row>
    <x:row r="831">
      <x:c r="B831" s="21" t="str">
        <x:v>A00825</x:v>
      </x:c>
      <x:c r="C831" s="21" t="str">
        <x:v>stage</x:v>
      </x:c>
      <x:c r="D831" s="21" t="str">
        <x:v>stage 64 observed conservation</x:v>
      </x:c>
      <x:c r="E831" s="21" t="n">
        <x:f>IF(AND(ABS('Stage Ledger'!R70-IF(AND('Stage Ledger'!P70=1,'Stage Ledger'!Q70=1),MIN('Stage Ledger'!F70,'Stage Ledger'!M70,'Stage Ledger'!R69),0))&lt;0.000001,'Stage Ledger'!S70=IF('Stage Ledger'!R70&gt;='Stage Ledger'!F70,"ADMITTED","NOT ADMITTED")),1,0)</x:f>
        <x:v>1</x:v>
      </x:c>
      <x:c r="F831" s="21" t="n">
        <x:v>1</x:v>
      </x:c>
      <x:c r="G831" s="23" t="str">
        <x:f>IF(E831=F831,"PASS","FAIL")</x:f>
        <x:v>PASS</x:v>
      </x:c>
    </x:row>
    <x:row r="832">
      <x:c r="B832" s="21" t="str">
        <x:v>A00826</x:v>
      </x:c>
      <x:c r="C832" s="21" t="str">
        <x:v>stage</x:v>
      </x:c>
      <x:c r="D832" s="21" t="str">
        <x:v>stage 65 planned conservation</x:v>
      </x:c>
      <x:c r="E832" s="21" t="n">
        <x:f>IF(ABS('Stage Ledger'!J71-MIN('Stage Ledger'!F71,'Stage Ledger'!H71,'Stage Ledger'!I71))&lt;0.000001,1,0)</x:f>
        <x:v>1</x:v>
      </x:c>
      <x:c r="F832" s="21" t="n">
        <x:v>1</x:v>
      </x:c>
      <x:c r="G832" s="23" t="str">
        <x:f>IF(E832=F832,"PASS","FAIL")</x:f>
        <x:v>PASS</x:v>
      </x:c>
    </x:row>
    <x:row r="833">
      <x:c r="B833" s="21" t="str">
        <x:v>A00827</x:v>
      </x:c>
      <x:c r="C833" s="21" t="str">
        <x:v>stage</x:v>
      </x:c>
      <x:c r="D833" s="21" t="str">
        <x:v>stage 65 observed conservation</x:v>
      </x:c>
      <x:c r="E833" s="21" t="n">
        <x:f>IF(AND(ABS('Stage Ledger'!R71-IF(AND('Stage Ledger'!P71=1,'Stage Ledger'!Q71=1),MIN('Stage Ledger'!F71,'Stage Ledger'!M71,'Stage Ledger'!R70),0))&lt;0.000001,'Stage Ledger'!S71=IF('Stage Ledger'!R71&gt;='Stage Ledger'!F71,"ADMITTED","NOT ADMITTED")),1,0)</x:f>
        <x:v>1</x:v>
      </x:c>
      <x:c r="F833" s="21" t="n">
        <x:v>1</x:v>
      </x:c>
      <x:c r="G833" s="23" t="str">
        <x:f>IF(E833=F833,"PASS","FAIL")</x:f>
        <x:v>PASS</x:v>
      </x:c>
    </x:row>
    <x:row r="834">
      <x:c r="B834" s="21" t="str">
        <x:v>A00828</x:v>
      </x:c>
      <x:c r="C834" s="21" t="str">
        <x:v>stage</x:v>
      </x:c>
      <x:c r="D834" s="21" t="str">
        <x:v>stage 66 planned conservation</x:v>
      </x:c>
      <x:c r="E834" s="21" t="n">
        <x:f>IF(ABS('Stage Ledger'!J72-MIN('Stage Ledger'!F72,'Stage Ledger'!H72,'Stage Ledger'!I72))&lt;0.000001,1,0)</x:f>
        <x:v>1</x:v>
      </x:c>
      <x:c r="F834" s="21" t="n">
        <x:v>1</x:v>
      </x:c>
      <x:c r="G834" s="23" t="str">
        <x:f>IF(E834=F834,"PASS","FAIL")</x:f>
        <x:v>PASS</x:v>
      </x:c>
    </x:row>
    <x:row r="835">
      <x:c r="B835" s="21" t="str">
        <x:v>A00829</x:v>
      </x:c>
      <x:c r="C835" s="21" t="str">
        <x:v>stage</x:v>
      </x:c>
      <x:c r="D835" s="21" t="str">
        <x:v>stage 66 observed conservation</x:v>
      </x:c>
      <x:c r="E835" s="21" t="n">
        <x:f>IF(AND(ABS('Stage Ledger'!R72-IF(AND('Stage Ledger'!P72=1,'Stage Ledger'!Q72=1),MIN('Stage Ledger'!F72,'Stage Ledger'!M72,'Stage Ledger'!R71),0))&lt;0.000001,'Stage Ledger'!S72=IF('Stage Ledger'!R72&gt;='Stage Ledger'!F72,"ADMITTED","NOT ADMITTED")),1,0)</x:f>
        <x:v>1</x:v>
      </x:c>
      <x:c r="F835" s="21" t="n">
        <x:v>1</x:v>
      </x:c>
      <x:c r="G835" s="23" t="str">
        <x:f>IF(E835=F835,"PASS","FAIL")</x:f>
        <x:v>PASS</x:v>
      </x:c>
    </x:row>
    <x:row r="836">
      <x:c r="B836" s="21" t="str">
        <x:v>A00830</x:v>
      </x:c>
      <x:c r="C836" s="21" t="str">
        <x:v>stage</x:v>
      </x:c>
      <x:c r="D836" s="21" t="str">
        <x:v>stage 67 planned conservation</x:v>
      </x:c>
      <x:c r="E836" s="21" t="n">
        <x:f>IF(ABS('Stage Ledger'!J73-MIN('Stage Ledger'!F73,'Stage Ledger'!H73,'Stage Ledger'!I73))&lt;0.000001,1,0)</x:f>
        <x:v>1</x:v>
      </x:c>
      <x:c r="F836" s="21" t="n">
        <x:v>1</x:v>
      </x:c>
      <x:c r="G836" s="23" t="str">
        <x:f>IF(E836=F836,"PASS","FAIL")</x:f>
        <x:v>PASS</x:v>
      </x:c>
    </x:row>
    <x:row r="837">
      <x:c r="B837" s="21" t="str">
        <x:v>A00831</x:v>
      </x:c>
      <x:c r="C837" s="21" t="str">
        <x:v>stage</x:v>
      </x:c>
      <x:c r="D837" s="21" t="str">
        <x:v>stage 67 observed conservation</x:v>
      </x:c>
      <x:c r="E837" s="21" t="n">
        <x:f>IF(AND(ABS('Stage Ledger'!R73-IF(AND('Stage Ledger'!P73=1,'Stage Ledger'!Q73=1),MIN('Stage Ledger'!F73,'Stage Ledger'!M73,'Stage Ledger'!R72),0))&lt;0.000001,'Stage Ledger'!S73=IF('Stage Ledger'!R73&gt;='Stage Ledger'!F73,"ADMITTED","NOT ADMITTED")),1,0)</x:f>
        <x:v>1</x:v>
      </x:c>
      <x:c r="F837" s="21" t="n">
        <x:v>1</x:v>
      </x:c>
      <x:c r="G837" s="23" t="str">
        <x:f>IF(E837=F837,"PASS","FAIL")</x:f>
        <x:v>PASS</x:v>
      </x:c>
    </x:row>
    <x:row r="838">
      <x:c r="B838" s="21" t="str">
        <x:v>A00832</x:v>
      </x:c>
      <x:c r="C838" s="21" t="str">
        <x:v>stage</x:v>
      </x:c>
      <x:c r="D838" s="21" t="str">
        <x:v>stage 68 planned conservation</x:v>
      </x:c>
      <x:c r="E838" s="21" t="n">
        <x:f>IF(ABS('Stage Ledger'!J74-MIN('Stage Ledger'!F74,'Stage Ledger'!H74,'Stage Ledger'!I74))&lt;0.000001,1,0)</x:f>
        <x:v>1</x:v>
      </x:c>
      <x:c r="F838" s="21" t="n">
        <x:v>1</x:v>
      </x:c>
      <x:c r="G838" s="23" t="str">
        <x:f>IF(E838=F838,"PASS","FAIL")</x:f>
        <x:v>PASS</x:v>
      </x:c>
    </x:row>
    <x:row r="839">
      <x:c r="B839" s="21" t="str">
        <x:v>A00833</x:v>
      </x:c>
      <x:c r="C839" s="21" t="str">
        <x:v>stage</x:v>
      </x:c>
      <x:c r="D839" s="21" t="str">
        <x:v>stage 68 observed conservation</x:v>
      </x:c>
      <x:c r="E839" s="21" t="n">
        <x:f>IF(AND(ABS('Stage Ledger'!R74-IF(AND('Stage Ledger'!P74=1,'Stage Ledger'!Q74=1),MIN('Stage Ledger'!F74,'Stage Ledger'!M74,'Stage Ledger'!R73),0))&lt;0.000001,'Stage Ledger'!S74=IF('Stage Ledger'!R74&gt;='Stage Ledger'!F74,"ADMITTED","NOT ADMITTED")),1,0)</x:f>
        <x:v>1</x:v>
      </x:c>
      <x:c r="F839" s="21" t="n">
        <x:v>1</x:v>
      </x:c>
      <x:c r="G839" s="23" t="str">
        <x:f>IF(E839=F839,"PASS","FAIL")</x:f>
        <x:v>PASS</x:v>
      </x:c>
    </x:row>
    <x:row r="840">
      <x:c r="B840" s="21" t="str">
        <x:v>A00834</x:v>
      </x:c>
      <x:c r="C840" s="21" t="str">
        <x:v>stage</x:v>
      </x:c>
      <x:c r="D840" s="21" t="str">
        <x:v>stage 69 planned conservation</x:v>
      </x:c>
      <x:c r="E840" s="21" t="n">
        <x:f>IF(ABS('Stage Ledger'!J75-MIN('Stage Ledger'!F75,'Stage Ledger'!H75,'Stage Ledger'!I75))&lt;0.000001,1,0)</x:f>
        <x:v>1</x:v>
      </x:c>
      <x:c r="F840" s="21" t="n">
        <x:v>1</x:v>
      </x:c>
      <x:c r="G840" s="23" t="str">
        <x:f>IF(E840=F840,"PASS","FAIL")</x:f>
        <x:v>PASS</x:v>
      </x:c>
    </x:row>
    <x:row r="841">
      <x:c r="B841" s="21" t="str">
        <x:v>A00835</x:v>
      </x:c>
      <x:c r="C841" s="21" t="str">
        <x:v>stage</x:v>
      </x:c>
      <x:c r="D841" s="21" t="str">
        <x:v>stage 69 observed conservation</x:v>
      </x:c>
      <x:c r="E841" s="21" t="n">
        <x:f>IF(AND(ABS('Stage Ledger'!R75-IF(AND('Stage Ledger'!P75=1,'Stage Ledger'!Q75=1),MIN('Stage Ledger'!F75,'Stage Ledger'!M75,'Stage Ledger'!R74),0))&lt;0.000001,'Stage Ledger'!S75=IF('Stage Ledger'!R75&gt;='Stage Ledger'!F75,"ADMITTED","NOT ADMITTED")),1,0)</x:f>
        <x:v>1</x:v>
      </x:c>
      <x:c r="F841" s="21" t="n">
        <x:v>1</x:v>
      </x:c>
      <x:c r="G841" s="23" t="str">
        <x:f>IF(E841=F841,"PASS","FAIL")</x:f>
        <x:v>PASS</x:v>
      </x:c>
    </x:row>
    <x:row r="842">
      <x:c r="B842" s="21" t="str">
        <x:v>A00836</x:v>
      </x:c>
      <x:c r="C842" s="21" t="str">
        <x:v>stage</x:v>
      </x:c>
      <x:c r="D842" s="21" t="str">
        <x:v>stage 70 planned conservation</x:v>
      </x:c>
      <x:c r="E842" s="21" t="n">
        <x:f>IF(ABS('Stage Ledger'!J76-MIN('Stage Ledger'!F76,'Stage Ledger'!H76,'Stage Ledger'!I76))&lt;0.000001,1,0)</x:f>
        <x:v>1</x:v>
      </x:c>
      <x:c r="F842" s="21" t="n">
        <x:v>1</x:v>
      </x:c>
      <x:c r="G842" s="23" t="str">
        <x:f>IF(E842=F842,"PASS","FAIL")</x:f>
        <x:v>PASS</x:v>
      </x:c>
    </x:row>
    <x:row r="843">
      <x:c r="B843" s="21" t="str">
        <x:v>A00837</x:v>
      </x:c>
      <x:c r="C843" s="21" t="str">
        <x:v>stage</x:v>
      </x:c>
      <x:c r="D843" s="21" t="str">
        <x:v>stage 70 observed conservation</x:v>
      </x:c>
      <x:c r="E843" s="21" t="n">
        <x:f>IF(AND(ABS('Stage Ledger'!R76-IF(AND('Stage Ledger'!P76=1,'Stage Ledger'!Q76=1),MIN('Stage Ledger'!F76,'Stage Ledger'!M76,'Stage Ledger'!R75),0))&lt;0.000001,'Stage Ledger'!S76=IF('Stage Ledger'!R76&gt;='Stage Ledger'!F76,"ADMITTED","NOT ADMITTED")),1,0)</x:f>
        <x:v>1</x:v>
      </x:c>
      <x:c r="F843" s="21" t="n">
        <x:v>1</x:v>
      </x:c>
      <x:c r="G843" s="23" t="str">
        <x:f>IF(E843=F843,"PASS","FAIL")</x:f>
        <x:v>PASS</x:v>
      </x:c>
    </x:row>
    <x:row r="844">
      <x:c r="B844" s="21" t="str">
        <x:v>A00838</x:v>
      </x:c>
      <x:c r="C844" s="21" t="str">
        <x:v>stage</x:v>
      </x:c>
      <x:c r="D844" s="21" t="str">
        <x:v>stage 71 planned conservation</x:v>
      </x:c>
      <x:c r="E844" s="21" t="n">
        <x:f>IF(ABS('Stage Ledger'!J77-MIN('Stage Ledger'!F77,'Stage Ledger'!H77,'Stage Ledger'!I77))&lt;0.000001,1,0)</x:f>
        <x:v>1</x:v>
      </x:c>
      <x:c r="F844" s="21" t="n">
        <x:v>1</x:v>
      </x:c>
      <x:c r="G844" s="23" t="str">
        <x:f>IF(E844=F844,"PASS","FAIL")</x:f>
        <x:v>PASS</x:v>
      </x:c>
    </x:row>
    <x:row r="845">
      <x:c r="B845" s="21" t="str">
        <x:v>A00839</x:v>
      </x:c>
      <x:c r="C845" s="21" t="str">
        <x:v>stage</x:v>
      </x:c>
      <x:c r="D845" s="21" t="str">
        <x:v>stage 71 observed conservation</x:v>
      </x:c>
      <x:c r="E845" s="21" t="n">
        <x:f>IF(AND(ABS('Stage Ledger'!R77-IF(AND('Stage Ledger'!P77=1,'Stage Ledger'!Q77=1),MIN('Stage Ledger'!F77,'Stage Ledger'!M77,'Stage Ledger'!R76),0))&lt;0.000001,'Stage Ledger'!S77=IF('Stage Ledger'!R77&gt;='Stage Ledger'!F77,"ADMITTED","NOT ADMITTED")),1,0)</x:f>
        <x:v>1</x:v>
      </x:c>
      <x:c r="F845" s="21" t="n">
        <x:v>1</x:v>
      </x:c>
      <x:c r="G845" s="23" t="str">
        <x:f>IF(E845=F845,"PASS","FAIL")</x:f>
        <x:v>PASS</x:v>
      </x:c>
    </x:row>
    <x:row r="846">
      <x:c r="B846" s="21" t="str">
        <x:v>A00840</x:v>
      </x:c>
      <x:c r="C846" s="21" t="str">
        <x:v>stage</x:v>
      </x:c>
      <x:c r="D846" s="21" t="str">
        <x:v>stage 72 planned conservation</x:v>
      </x:c>
      <x:c r="E846" s="21" t="n">
        <x:f>IF(ABS('Stage Ledger'!J78-MIN('Stage Ledger'!F78,'Stage Ledger'!H78,'Stage Ledger'!I78))&lt;0.000001,1,0)</x:f>
        <x:v>1</x:v>
      </x:c>
      <x:c r="F846" s="21" t="n">
        <x:v>1</x:v>
      </x:c>
      <x:c r="G846" s="23" t="str">
        <x:f>IF(E846=F846,"PASS","FAIL")</x:f>
        <x:v>PASS</x:v>
      </x:c>
    </x:row>
    <x:row r="847">
      <x:c r="B847" s="21" t="str">
        <x:v>A00841</x:v>
      </x:c>
      <x:c r="C847" s="21" t="str">
        <x:v>stage</x:v>
      </x:c>
      <x:c r="D847" s="21" t="str">
        <x:v>stage 72 observed conservation</x:v>
      </x:c>
      <x:c r="E847" s="21" t="n">
        <x:f>IF(AND(ABS('Stage Ledger'!R78-IF(AND('Stage Ledger'!P78=1,'Stage Ledger'!Q78=1),MIN('Stage Ledger'!F78,'Stage Ledger'!M78,'Stage Ledger'!R77),0))&lt;0.000001,'Stage Ledger'!S78=IF('Stage Ledger'!R78&gt;='Stage Ledger'!F78,"ADMITTED","NOT ADMITTED")),1,0)</x:f>
        <x:v>1</x:v>
      </x:c>
      <x:c r="F847" s="21" t="n">
        <x:v>1</x:v>
      </x:c>
      <x:c r="G847" s="23" t="str">
        <x:f>IF(E847=F847,"PASS","FAIL")</x:f>
        <x:v>PASS</x:v>
      </x:c>
    </x:row>
    <x:row r="848">
      <x:c r="B848" s="21" t="str">
        <x:v>A00842</x:v>
      </x:c>
      <x:c r="C848" s="21" t="str">
        <x:v>stage</x:v>
      </x:c>
      <x:c r="D848" s="21" t="str">
        <x:v>stage 73 planned conservation</x:v>
      </x:c>
      <x:c r="E848" s="21" t="n">
        <x:f>IF(ABS('Stage Ledger'!J79-MIN('Stage Ledger'!F79,'Stage Ledger'!H79,'Stage Ledger'!I79))&lt;0.000001,1,0)</x:f>
        <x:v>1</x:v>
      </x:c>
      <x:c r="F848" s="21" t="n">
        <x:v>1</x:v>
      </x:c>
      <x:c r="G848" s="23" t="str">
        <x:f>IF(E848=F848,"PASS","FAIL")</x:f>
        <x:v>PASS</x:v>
      </x:c>
    </x:row>
    <x:row r="849">
      <x:c r="B849" s="21" t="str">
        <x:v>A00843</x:v>
      </x:c>
      <x:c r="C849" s="21" t="str">
        <x:v>stage</x:v>
      </x:c>
      <x:c r="D849" s="21" t="str">
        <x:v>stage 73 observed conservation</x:v>
      </x:c>
      <x:c r="E849" s="21" t="n">
        <x:f>IF(AND(ABS('Stage Ledger'!R79-IF(AND('Stage Ledger'!P79=1,'Stage Ledger'!Q79=1),MIN('Stage Ledger'!F79,'Stage Ledger'!M79),0))&lt;0.000001,'Stage Ledger'!S79=IF('Stage Ledger'!R79&gt;='Stage Ledger'!F79,"ADMITTED","NOT ADMITTED")),1,0)</x:f>
        <x:v>1</x:v>
      </x:c>
      <x:c r="F849" s="21" t="n">
        <x:v>1</x:v>
      </x:c>
      <x:c r="G849" s="23" t="str">
        <x:f>IF(E849=F849,"PASS","FAIL")</x:f>
        <x:v>PASS</x:v>
      </x:c>
    </x:row>
    <x:row r="850">
      <x:c r="B850" s="21" t="str">
        <x:v>A00844</x:v>
      </x:c>
      <x:c r="C850" s="21" t="str">
        <x:v>stage</x:v>
      </x:c>
      <x:c r="D850" s="21" t="str">
        <x:v>stage 74 planned conservation</x:v>
      </x:c>
      <x:c r="E850" s="21" t="n">
        <x:f>IF(ABS('Stage Ledger'!J80-MIN('Stage Ledger'!F80,'Stage Ledger'!H80,'Stage Ledger'!I80))&lt;0.000001,1,0)</x:f>
        <x:v>1</x:v>
      </x:c>
      <x:c r="F850" s="21" t="n">
        <x:v>1</x:v>
      </x:c>
      <x:c r="G850" s="23" t="str">
        <x:f>IF(E850=F850,"PASS","FAIL")</x:f>
        <x:v>PASS</x:v>
      </x:c>
    </x:row>
    <x:row r="851">
      <x:c r="B851" s="21" t="str">
        <x:v>A00845</x:v>
      </x:c>
      <x:c r="C851" s="21" t="str">
        <x:v>stage</x:v>
      </x:c>
      <x:c r="D851" s="21" t="str">
        <x:v>stage 74 observed conservation</x:v>
      </x:c>
      <x:c r="E851" s="21" t="n">
        <x:f>IF(AND(ABS('Stage Ledger'!R80-IF(AND('Stage Ledger'!P80=1,'Stage Ledger'!Q80=1),MIN('Stage Ledger'!F80,'Stage Ledger'!M80,'Stage Ledger'!R79),0))&lt;0.000001,'Stage Ledger'!S80=IF('Stage Ledger'!R80&gt;='Stage Ledger'!F80,"ADMITTED","NOT ADMITTED")),1,0)</x:f>
        <x:v>1</x:v>
      </x:c>
      <x:c r="F851" s="21" t="n">
        <x:v>1</x:v>
      </x:c>
      <x:c r="G851" s="23" t="str">
        <x:f>IF(E851=F851,"PASS","FAIL")</x:f>
        <x:v>PASS</x:v>
      </x:c>
    </x:row>
    <x:row r="852">
      <x:c r="B852" s="21" t="str">
        <x:v>A00846</x:v>
      </x:c>
      <x:c r="C852" s="21" t="str">
        <x:v>stage</x:v>
      </x:c>
      <x:c r="D852" s="21" t="str">
        <x:v>stage 75 planned conservation</x:v>
      </x:c>
      <x:c r="E852" s="21" t="n">
        <x:f>IF(ABS('Stage Ledger'!J81-MIN('Stage Ledger'!F81,'Stage Ledger'!H81,'Stage Ledger'!I81))&lt;0.000001,1,0)</x:f>
        <x:v>1</x:v>
      </x:c>
      <x:c r="F852" s="21" t="n">
        <x:v>1</x:v>
      </x:c>
      <x:c r="G852" s="23" t="str">
        <x:f>IF(E852=F852,"PASS","FAIL")</x:f>
        <x:v>PASS</x:v>
      </x:c>
    </x:row>
    <x:row r="853">
      <x:c r="B853" s="21" t="str">
        <x:v>A00847</x:v>
      </x:c>
      <x:c r="C853" s="21" t="str">
        <x:v>stage</x:v>
      </x:c>
      <x:c r="D853" s="21" t="str">
        <x:v>stage 75 observed conservation</x:v>
      </x:c>
      <x:c r="E853" s="21" t="n">
        <x:f>IF(AND(ABS('Stage Ledger'!R81-IF(AND('Stage Ledger'!P81=1,'Stage Ledger'!Q81=1),MIN('Stage Ledger'!F81,'Stage Ledger'!M81,'Stage Ledger'!R80),0))&lt;0.000001,'Stage Ledger'!S81=IF('Stage Ledger'!R81&gt;='Stage Ledger'!F81,"ADMITTED","NOT ADMITTED")),1,0)</x:f>
        <x:v>1</x:v>
      </x:c>
      <x:c r="F853" s="21" t="n">
        <x:v>1</x:v>
      </x:c>
      <x:c r="G853" s="23" t="str">
        <x:f>IF(E853=F853,"PASS","FAIL")</x:f>
        <x:v>PASS</x:v>
      </x:c>
    </x:row>
    <x:row r="854">
      <x:c r="B854" s="21" t="str">
        <x:v>A00848</x:v>
      </x:c>
      <x:c r="C854" s="21" t="str">
        <x:v>stage</x:v>
      </x:c>
      <x:c r="D854" s="21" t="str">
        <x:v>stage 76 planned conservation</x:v>
      </x:c>
      <x:c r="E854" s="21" t="n">
        <x:f>IF(ABS('Stage Ledger'!J82-MIN('Stage Ledger'!F82,'Stage Ledger'!H82,'Stage Ledger'!I82))&lt;0.000001,1,0)</x:f>
        <x:v>1</x:v>
      </x:c>
      <x:c r="F854" s="21" t="n">
        <x:v>1</x:v>
      </x:c>
      <x:c r="G854" s="23" t="str">
        <x:f>IF(E854=F854,"PASS","FAIL")</x:f>
        <x:v>PASS</x:v>
      </x:c>
    </x:row>
    <x:row r="855">
      <x:c r="B855" s="21" t="str">
        <x:v>A00849</x:v>
      </x:c>
      <x:c r="C855" s="21" t="str">
        <x:v>stage</x:v>
      </x:c>
      <x:c r="D855" s="21" t="str">
        <x:v>stage 76 observed conservation</x:v>
      </x:c>
      <x:c r="E855" s="21" t="n">
        <x:f>IF(AND(ABS('Stage Ledger'!R82-IF(AND('Stage Ledger'!P82=1,'Stage Ledger'!Q82=1),MIN('Stage Ledger'!F82,'Stage Ledger'!M82,'Stage Ledger'!R81),0))&lt;0.000001,'Stage Ledger'!S82=IF('Stage Ledger'!R82&gt;='Stage Ledger'!F82,"ADMITTED","NOT ADMITTED")),1,0)</x:f>
        <x:v>1</x:v>
      </x:c>
      <x:c r="F855" s="21" t="n">
        <x:v>1</x:v>
      </x:c>
      <x:c r="G855" s="23" t="str">
        <x:f>IF(E855=F855,"PASS","FAIL")</x:f>
        <x:v>PASS</x:v>
      </x:c>
    </x:row>
    <x:row r="856">
      <x:c r="B856" s="21" t="str">
        <x:v>A00850</x:v>
      </x:c>
      <x:c r="C856" s="21" t="str">
        <x:v>stage</x:v>
      </x:c>
      <x:c r="D856" s="21" t="str">
        <x:v>stage 77 planned conservation</x:v>
      </x:c>
      <x:c r="E856" s="21" t="n">
        <x:f>IF(ABS('Stage Ledger'!J83-MIN('Stage Ledger'!F83,'Stage Ledger'!H83,'Stage Ledger'!I83))&lt;0.000001,1,0)</x:f>
        <x:v>1</x:v>
      </x:c>
      <x:c r="F856" s="21" t="n">
        <x:v>1</x:v>
      </x:c>
      <x:c r="G856" s="23" t="str">
        <x:f>IF(E856=F856,"PASS","FAIL")</x:f>
        <x:v>PASS</x:v>
      </x:c>
    </x:row>
    <x:row r="857">
      <x:c r="B857" s="21" t="str">
        <x:v>A00851</x:v>
      </x:c>
      <x:c r="C857" s="21" t="str">
        <x:v>stage</x:v>
      </x:c>
      <x:c r="D857" s="21" t="str">
        <x:v>stage 77 observed conservation</x:v>
      </x:c>
      <x:c r="E857" s="21" t="n">
        <x:f>IF(AND(ABS('Stage Ledger'!R83-IF(AND('Stage Ledger'!P83=1,'Stage Ledger'!Q83=1),MIN('Stage Ledger'!F83,'Stage Ledger'!M83,'Stage Ledger'!R82),0))&lt;0.000001,'Stage Ledger'!S83=IF('Stage Ledger'!R83&gt;='Stage Ledger'!F83,"ADMITTED","NOT ADMITTED")),1,0)</x:f>
        <x:v>1</x:v>
      </x:c>
      <x:c r="F857" s="21" t="n">
        <x:v>1</x:v>
      </x:c>
      <x:c r="G857" s="23" t="str">
        <x:f>IF(E857=F857,"PASS","FAIL")</x:f>
        <x:v>PASS</x:v>
      </x:c>
    </x:row>
    <x:row r="858">
      <x:c r="B858" s="21" t="str">
        <x:v>A00852</x:v>
      </x:c>
      <x:c r="C858" s="21" t="str">
        <x:v>stage</x:v>
      </x:c>
      <x:c r="D858" s="21" t="str">
        <x:v>stage 78 planned conservation</x:v>
      </x:c>
      <x:c r="E858" s="21" t="n">
        <x:f>IF(ABS('Stage Ledger'!J84-MIN('Stage Ledger'!F84,'Stage Ledger'!H84,'Stage Ledger'!I84))&lt;0.000001,1,0)</x:f>
        <x:v>1</x:v>
      </x:c>
      <x:c r="F858" s="21" t="n">
        <x:v>1</x:v>
      </x:c>
      <x:c r="G858" s="23" t="str">
        <x:f>IF(E858=F858,"PASS","FAIL")</x:f>
        <x:v>PASS</x:v>
      </x:c>
    </x:row>
    <x:row r="859">
      <x:c r="B859" s="21" t="str">
        <x:v>A00853</x:v>
      </x:c>
      <x:c r="C859" s="21" t="str">
        <x:v>stage</x:v>
      </x:c>
      <x:c r="D859" s="21" t="str">
        <x:v>stage 78 observed conservation</x:v>
      </x:c>
      <x:c r="E859" s="21" t="n">
        <x:f>IF(AND(ABS('Stage Ledger'!R84-IF(AND('Stage Ledger'!P84=1,'Stage Ledger'!Q84=1),MIN('Stage Ledger'!F84,'Stage Ledger'!M84,'Stage Ledger'!R83),0))&lt;0.000001,'Stage Ledger'!S84=IF('Stage Ledger'!R84&gt;='Stage Ledger'!F84,"ADMITTED","NOT ADMITTED")),1,0)</x:f>
        <x:v>1</x:v>
      </x:c>
      <x:c r="F859" s="21" t="n">
        <x:v>1</x:v>
      </x:c>
      <x:c r="G859" s="23" t="str">
        <x:f>IF(E859=F859,"PASS","FAIL")</x:f>
        <x:v>PASS</x:v>
      </x:c>
    </x:row>
    <x:row r="860">
      <x:c r="B860" s="21" t="str">
        <x:v>A00854</x:v>
      </x:c>
      <x:c r="C860" s="21" t="str">
        <x:v>stage</x:v>
      </x:c>
      <x:c r="D860" s="21" t="str">
        <x:v>stage 79 planned conservation</x:v>
      </x:c>
      <x:c r="E860" s="21" t="n">
        <x:f>IF(ABS('Stage Ledger'!J85-MIN('Stage Ledger'!F85,'Stage Ledger'!H85,'Stage Ledger'!I85))&lt;0.000001,1,0)</x:f>
        <x:v>1</x:v>
      </x:c>
      <x:c r="F860" s="21" t="n">
        <x:v>1</x:v>
      </x:c>
      <x:c r="G860" s="23" t="str">
        <x:f>IF(E860=F860,"PASS","FAIL")</x:f>
        <x:v>PASS</x:v>
      </x:c>
    </x:row>
    <x:row r="861">
      <x:c r="B861" s="21" t="str">
        <x:v>A00855</x:v>
      </x:c>
      <x:c r="C861" s="21" t="str">
        <x:v>stage</x:v>
      </x:c>
      <x:c r="D861" s="21" t="str">
        <x:v>stage 79 observed conservation</x:v>
      </x:c>
      <x:c r="E861" s="21" t="n">
        <x:f>IF(AND(ABS('Stage Ledger'!R85-IF(AND('Stage Ledger'!P85=1,'Stage Ledger'!Q85=1),MIN('Stage Ledger'!F85,'Stage Ledger'!M85,'Stage Ledger'!R84),0))&lt;0.000001,'Stage Ledger'!S85=IF('Stage Ledger'!R85&gt;='Stage Ledger'!F85,"ADMITTED","NOT ADMITTED")),1,0)</x:f>
        <x:v>1</x:v>
      </x:c>
      <x:c r="F861" s="21" t="n">
        <x:v>1</x:v>
      </x:c>
      <x:c r="G861" s="23" t="str">
        <x:f>IF(E861=F861,"PASS","FAIL")</x:f>
        <x:v>PASS</x:v>
      </x:c>
    </x:row>
    <x:row r="862">
      <x:c r="B862" s="21" t="str">
        <x:v>A00856</x:v>
      </x:c>
      <x:c r="C862" s="21" t="str">
        <x:v>stage</x:v>
      </x:c>
      <x:c r="D862" s="21" t="str">
        <x:v>stage 80 planned conservation</x:v>
      </x:c>
      <x:c r="E862" s="21" t="n">
        <x:f>IF(ABS('Stage Ledger'!J86-MIN('Stage Ledger'!F86,'Stage Ledger'!H86,'Stage Ledger'!I86))&lt;0.000001,1,0)</x:f>
        <x:v>1</x:v>
      </x:c>
      <x:c r="F862" s="21" t="n">
        <x:v>1</x:v>
      </x:c>
      <x:c r="G862" s="23" t="str">
        <x:f>IF(E862=F862,"PASS","FAIL")</x:f>
        <x:v>PASS</x:v>
      </x:c>
    </x:row>
    <x:row r="863">
      <x:c r="B863" s="21" t="str">
        <x:v>A00857</x:v>
      </x:c>
      <x:c r="C863" s="21" t="str">
        <x:v>stage</x:v>
      </x:c>
      <x:c r="D863" s="21" t="str">
        <x:v>stage 80 observed conservation</x:v>
      </x:c>
      <x:c r="E863" s="21" t="n">
        <x:f>IF(AND(ABS('Stage Ledger'!R86-IF(AND('Stage Ledger'!P86=1,'Stage Ledger'!Q86=1),MIN('Stage Ledger'!F86,'Stage Ledger'!M86,'Stage Ledger'!R85),0))&lt;0.000001,'Stage Ledger'!S86=IF('Stage Ledger'!R86&gt;='Stage Ledger'!F86,"ADMITTED","NOT ADMITTED")),1,0)</x:f>
        <x:v>1</x:v>
      </x:c>
      <x:c r="F863" s="21" t="n">
        <x:v>1</x:v>
      </x:c>
      <x:c r="G863" s="23" t="str">
        <x:f>IF(E863=F863,"PASS","FAIL")</x:f>
        <x:v>PASS</x:v>
      </x:c>
    </x:row>
    <x:row r="864">
      <x:c r="B864" s="21" t="str">
        <x:v>A00858</x:v>
      </x:c>
      <x:c r="C864" s="21" t="str">
        <x:v>stage</x:v>
      </x:c>
      <x:c r="D864" s="21" t="str">
        <x:v>stage 81 planned conservation</x:v>
      </x:c>
      <x:c r="E864" s="21" t="n">
        <x:f>IF(ABS('Stage Ledger'!J87-MIN('Stage Ledger'!F87,'Stage Ledger'!H87,'Stage Ledger'!I87))&lt;0.000001,1,0)</x:f>
        <x:v>1</x:v>
      </x:c>
      <x:c r="F864" s="21" t="n">
        <x:v>1</x:v>
      </x:c>
      <x:c r="G864" s="23" t="str">
        <x:f>IF(E864=F864,"PASS","FAIL")</x:f>
        <x:v>PASS</x:v>
      </x:c>
    </x:row>
    <x:row r="865">
      <x:c r="B865" s="21" t="str">
        <x:v>A00859</x:v>
      </x:c>
      <x:c r="C865" s="21" t="str">
        <x:v>stage</x:v>
      </x:c>
      <x:c r="D865" s="21" t="str">
        <x:v>stage 81 observed conservation</x:v>
      </x:c>
      <x:c r="E865" s="21" t="n">
        <x:f>IF(AND(ABS('Stage Ledger'!R87-IF(AND('Stage Ledger'!P87=1,'Stage Ledger'!Q87=1),MIN('Stage Ledger'!F87,'Stage Ledger'!M87,'Stage Ledger'!R86),0))&lt;0.000001,'Stage Ledger'!S87=IF('Stage Ledger'!R87&gt;='Stage Ledger'!F87,"ADMITTED","NOT ADMITTED")),1,0)</x:f>
        <x:v>1</x:v>
      </x:c>
      <x:c r="F865" s="21" t="n">
        <x:v>1</x:v>
      </x:c>
      <x:c r="G865" s="23" t="str">
        <x:f>IF(E865=F865,"PASS","FAIL")</x:f>
        <x:v>PASS</x:v>
      </x:c>
    </x:row>
    <x:row r="866">
      <x:c r="B866" s="21" t="str">
        <x:v>A00860</x:v>
      </x:c>
      <x:c r="C866" s="21" t="str">
        <x:v>stage</x:v>
      </x:c>
      <x:c r="D866" s="21" t="str">
        <x:v>stage 82 planned conservation</x:v>
      </x:c>
      <x:c r="E866" s="21" t="n">
        <x:f>IF(ABS('Stage Ledger'!J88-MIN('Stage Ledger'!F88,'Stage Ledger'!H88,'Stage Ledger'!I88))&lt;0.000001,1,0)</x:f>
        <x:v>1</x:v>
      </x:c>
      <x:c r="F866" s="21" t="n">
        <x:v>1</x:v>
      </x:c>
      <x:c r="G866" s="23" t="str">
        <x:f>IF(E866=F866,"PASS","FAIL")</x:f>
        <x:v>PASS</x:v>
      </x:c>
    </x:row>
    <x:row r="867">
      <x:c r="B867" s="21" t="str">
        <x:v>A00861</x:v>
      </x:c>
      <x:c r="C867" s="21" t="str">
        <x:v>stage</x:v>
      </x:c>
      <x:c r="D867" s="21" t="str">
        <x:v>stage 82 observed conservation</x:v>
      </x:c>
      <x:c r="E867" s="21" t="n">
        <x:f>IF(AND(ABS('Stage Ledger'!R88-IF(AND('Stage Ledger'!P88=1,'Stage Ledger'!Q88=1),MIN('Stage Ledger'!F88,'Stage Ledger'!M88,'Stage Ledger'!R87),0))&lt;0.000001,'Stage Ledger'!S88=IF('Stage Ledger'!R88&gt;='Stage Ledger'!F88,"ADMITTED","NOT ADMITTED")),1,0)</x:f>
        <x:v>1</x:v>
      </x:c>
      <x:c r="F867" s="21" t="n">
        <x:v>1</x:v>
      </x:c>
      <x:c r="G867" s="23" t="str">
        <x:f>IF(E867=F867,"PASS","FAIL")</x:f>
        <x:v>PASS</x:v>
      </x:c>
    </x:row>
    <x:row r="868">
      <x:c r="B868" s="21" t="str">
        <x:v>A00862</x:v>
      </x:c>
      <x:c r="C868" s="21" t="str">
        <x:v>stage</x:v>
      </x:c>
      <x:c r="D868" s="21" t="str">
        <x:v>stage 83 planned conservation</x:v>
      </x:c>
      <x:c r="E868" s="21" t="n">
        <x:f>IF(ABS('Stage Ledger'!J89-MIN('Stage Ledger'!F89,'Stage Ledger'!H89,'Stage Ledger'!I89))&lt;0.000001,1,0)</x:f>
        <x:v>1</x:v>
      </x:c>
      <x:c r="F868" s="21" t="n">
        <x:v>1</x:v>
      </x:c>
      <x:c r="G868" s="23" t="str">
        <x:f>IF(E868=F868,"PASS","FAIL")</x:f>
        <x:v>PASS</x:v>
      </x:c>
    </x:row>
    <x:row r="869">
      <x:c r="B869" s="21" t="str">
        <x:v>A00863</x:v>
      </x:c>
      <x:c r="C869" s="21" t="str">
        <x:v>stage</x:v>
      </x:c>
      <x:c r="D869" s="21" t="str">
        <x:v>stage 83 observed conservation</x:v>
      </x:c>
      <x:c r="E869" s="21" t="n">
        <x:f>IF(AND(ABS('Stage Ledger'!R89-IF(AND('Stage Ledger'!P89=1,'Stage Ledger'!Q89=1),MIN('Stage Ledger'!F89,'Stage Ledger'!M89,'Stage Ledger'!R88),0))&lt;0.000001,'Stage Ledger'!S89=IF('Stage Ledger'!R89&gt;='Stage Ledger'!F89,"ADMITTED","NOT ADMITTED")),1,0)</x:f>
        <x:v>1</x:v>
      </x:c>
      <x:c r="F869" s="21" t="n">
        <x:v>1</x:v>
      </x:c>
      <x:c r="G869" s="23" t="str">
        <x:f>IF(E869=F869,"PASS","FAIL")</x:f>
        <x:v>PASS</x:v>
      </x:c>
    </x:row>
    <x:row r="870">
      <x:c r="B870" s="21" t="str">
        <x:v>A00864</x:v>
      </x:c>
      <x:c r="C870" s="21" t="str">
        <x:v>stage</x:v>
      </x:c>
      <x:c r="D870" s="21" t="str">
        <x:v>stage 84 planned conservation</x:v>
      </x:c>
      <x:c r="E870" s="21" t="n">
        <x:f>IF(ABS('Stage Ledger'!J90-MIN('Stage Ledger'!F90,'Stage Ledger'!H90,'Stage Ledger'!I90))&lt;0.000001,1,0)</x:f>
        <x:v>1</x:v>
      </x:c>
      <x:c r="F870" s="21" t="n">
        <x:v>1</x:v>
      </x:c>
      <x:c r="G870" s="23" t="str">
        <x:f>IF(E870=F870,"PASS","FAIL")</x:f>
        <x:v>PASS</x:v>
      </x:c>
    </x:row>
    <x:row r="871">
      <x:c r="B871" s="21" t="str">
        <x:v>A00865</x:v>
      </x:c>
      <x:c r="C871" s="21" t="str">
        <x:v>stage</x:v>
      </x:c>
      <x:c r="D871" s="21" t="str">
        <x:v>stage 84 observed conservation</x:v>
      </x:c>
      <x:c r="E871" s="21" t="n">
        <x:f>IF(AND(ABS('Stage Ledger'!R90-IF(AND('Stage Ledger'!P90=1,'Stage Ledger'!Q90=1),MIN('Stage Ledger'!F90,'Stage Ledger'!M90,'Stage Ledger'!R89),0))&lt;0.000001,'Stage Ledger'!S90=IF('Stage Ledger'!R90&gt;='Stage Ledger'!F90,"ADMITTED","NOT ADMITTED")),1,0)</x:f>
        <x:v>1</x:v>
      </x:c>
      <x:c r="F871" s="21" t="n">
        <x:v>1</x:v>
      </x:c>
      <x:c r="G871" s="23" t="str">
        <x:f>IF(E871=F871,"PASS","FAIL")</x:f>
        <x:v>PASS</x:v>
      </x:c>
    </x:row>
    <x:row r="872">
      <x:c r="B872" s="21" t="str">
        <x:v>A00866</x:v>
      </x:c>
      <x:c r="C872" s="21" t="str">
        <x:v>stage</x:v>
      </x:c>
      <x:c r="D872" s="21" t="str">
        <x:v>stage 85 planned conservation</x:v>
      </x:c>
      <x:c r="E872" s="21" t="n">
        <x:f>IF(ABS('Stage Ledger'!J91-MIN('Stage Ledger'!F91,'Stage Ledger'!H91,'Stage Ledger'!I91))&lt;0.000001,1,0)</x:f>
        <x:v>1</x:v>
      </x:c>
      <x:c r="F872" s="21" t="n">
        <x:v>1</x:v>
      </x:c>
      <x:c r="G872" s="23" t="str">
        <x:f>IF(E872=F872,"PASS","FAIL")</x:f>
        <x:v>PASS</x:v>
      </x:c>
    </x:row>
    <x:row r="873">
      <x:c r="B873" s="21" t="str">
        <x:v>A00867</x:v>
      </x:c>
      <x:c r="C873" s="21" t="str">
        <x:v>stage</x:v>
      </x:c>
      <x:c r="D873" s="21" t="str">
        <x:v>stage 85 observed conservation</x:v>
      </x:c>
      <x:c r="E873" s="21" t="n">
        <x:f>IF(AND(ABS('Stage Ledger'!R91-IF(AND('Stage Ledger'!P91=1,'Stage Ledger'!Q91=1),MIN('Stage Ledger'!F91,'Stage Ledger'!M91),0))&lt;0.000001,'Stage Ledger'!S91=IF('Stage Ledger'!R91&gt;='Stage Ledger'!F91,"ADMITTED","NOT ADMITTED")),1,0)</x:f>
        <x:v>1</x:v>
      </x:c>
      <x:c r="F873" s="21" t="n">
        <x:v>1</x:v>
      </x:c>
      <x:c r="G873" s="23" t="str">
        <x:f>IF(E873=F873,"PASS","FAIL")</x:f>
        <x:v>PASS</x:v>
      </x:c>
    </x:row>
    <x:row r="874">
      <x:c r="B874" s="21" t="str">
        <x:v>A00868</x:v>
      </x:c>
      <x:c r="C874" s="21" t="str">
        <x:v>stage</x:v>
      </x:c>
      <x:c r="D874" s="21" t="str">
        <x:v>stage 86 planned conservation</x:v>
      </x:c>
      <x:c r="E874" s="21" t="n">
        <x:f>IF(ABS('Stage Ledger'!J92-MIN('Stage Ledger'!F92,'Stage Ledger'!H92,'Stage Ledger'!I92))&lt;0.000001,1,0)</x:f>
        <x:v>1</x:v>
      </x:c>
      <x:c r="F874" s="21" t="n">
        <x:v>1</x:v>
      </x:c>
      <x:c r="G874" s="23" t="str">
        <x:f>IF(E874=F874,"PASS","FAIL")</x:f>
        <x:v>PASS</x:v>
      </x:c>
    </x:row>
    <x:row r="875">
      <x:c r="B875" s="21" t="str">
        <x:v>A00869</x:v>
      </x:c>
      <x:c r="C875" s="21" t="str">
        <x:v>stage</x:v>
      </x:c>
      <x:c r="D875" s="21" t="str">
        <x:v>stage 86 observed conservation</x:v>
      </x:c>
      <x:c r="E875" s="21" t="n">
        <x:f>IF(AND(ABS('Stage Ledger'!R92-IF(AND('Stage Ledger'!P92=1,'Stage Ledger'!Q92=1),MIN('Stage Ledger'!F92,'Stage Ledger'!M92,'Stage Ledger'!R91),0))&lt;0.000001,'Stage Ledger'!S92=IF('Stage Ledger'!R92&gt;='Stage Ledger'!F92,"ADMITTED","NOT ADMITTED")),1,0)</x:f>
        <x:v>1</x:v>
      </x:c>
      <x:c r="F875" s="21" t="n">
        <x:v>1</x:v>
      </x:c>
      <x:c r="G875" s="23" t="str">
        <x:f>IF(E875=F875,"PASS","FAIL")</x:f>
        <x:v>PASS</x:v>
      </x:c>
    </x:row>
    <x:row r="876">
      <x:c r="B876" s="21" t="str">
        <x:v>A00870</x:v>
      </x:c>
      <x:c r="C876" s="21" t="str">
        <x:v>stage</x:v>
      </x:c>
      <x:c r="D876" s="21" t="str">
        <x:v>stage 87 planned conservation</x:v>
      </x:c>
      <x:c r="E876" s="21" t="n">
        <x:f>IF(ABS('Stage Ledger'!J93-MIN('Stage Ledger'!F93,'Stage Ledger'!H93,'Stage Ledger'!I93))&lt;0.000001,1,0)</x:f>
        <x:v>1</x:v>
      </x:c>
      <x:c r="F876" s="21" t="n">
        <x:v>1</x:v>
      </x:c>
      <x:c r="G876" s="23" t="str">
        <x:f>IF(E876=F876,"PASS","FAIL")</x:f>
        <x:v>PASS</x:v>
      </x:c>
    </x:row>
    <x:row r="877">
      <x:c r="B877" s="21" t="str">
        <x:v>A00871</x:v>
      </x:c>
      <x:c r="C877" s="21" t="str">
        <x:v>stage</x:v>
      </x:c>
      <x:c r="D877" s="21" t="str">
        <x:v>stage 87 observed conservation</x:v>
      </x:c>
      <x:c r="E877" s="21" t="n">
        <x:f>IF(AND(ABS('Stage Ledger'!R93-IF(AND('Stage Ledger'!P93=1,'Stage Ledger'!Q93=1),MIN('Stage Ledger'!F93,'Stage Ledger'!M93,'Stage Ledger'!R92),0))&lt;0.000001,'Stage Ledger'!S93=IF('Stage Ledger'!R93&gt;='Stage Ledger'!F93,"ADMITTED","NOT ADMITTED")),1,0)</x:f>
        <x:v>1</x:v>
      </x:c>
      <x:c r="F877" s="21" t="n">
        <x:v>1</x:v>
      </x:c>
      <x:c r="G877" s="23" t="str">
        <x:f>IF(E877=F877,"PASS","FAIL")</x:f>
        <x:v>PASS</x:v>
      </x:c>
    </x:row>
    <x:row r="878">
      <x:c r="B878" s="21" t="str">
        <x:v>A00872</x:v>
      </x:c>
      <x:c r="C878" s="21" t="str">
        <x:v>stage</x:v>
      </x:c>
      <x:c r="D878" s="21" t="str">
        <x:v>stage 88 planned conservation</x:v>
      </x:c>
      <x:c r="E878" s="21" t="n">
        <x:f>IF(ABS('Stage Ledger'!J94-MIN('Stage Ledger'!F94,'Stage Ledger'!H94,'Stage Ledger'!I94))&lt;0.000001,1,0)</x:f>
        <x:v>1</x:v>
      </x:c>
      <x:c r="F878" s="21" t="n">
        <x:v>1</x:v>
      </x:c>
      <x:c r="G878" s="23" t="str">
        <x:f>IF(E878=F878,"PASS","FAIL")</x:f>
        <x:v>PASS</x:v>
      </x:c>
    </x:row>
    <x:row r="879">
      <x:c r="B879" s="21" t="str">
        <x:v>A00873</x:v>
      </x:c>
      <x:c r="C879" s="21" t="str">
        <x:v>stage</x:v>
      </x:c>
      <x:c r="D879" s="21" t="str">
        <x:v>stage 88 observed conservation</x:v>
      </x:c>
      <x:c r="E879" s="21" t="n">
        <x:f>IF(AND(ABS('Stage Ledger'!R94-IF(AND('Stage Ledger'!P94=1,'Stage Ledger'!Q94=1),MIN('Stage Ledger'!F94,'Stage Ledger'!M94,'Stage Ledger'!R93),0))&lt;0.000001,'Stage Ledger'!S94=IF('Stage Ledger'!R94&gt;='Stage Ledger'!F94,"ADMITTED","NOT ADMITTED")),1,0)</x:f>
        <x:v>1</x:v>
      </x:c>
      <x:c r="F879" s="21" t="n">
        <x:v>1</x:v>
      </x:c>
      <x:c r="G879" s="23" t="str">
        <x:f>IF(E879=F879,"PASS","FAIL")</x:f>
        <x:v>PASS</x:v>
      </x:c>
    </x:row>
    <x:row r="880">
      <x:c r="B880" s="21" t="str">
        <x:v>A00874</x:v>
      </x:c>
      <x:c r="C880" s="21" t="str">
        <x:v>stage</x:v>
      </x:c>
      <x:c r="D880" s="21" t="str">
        <x:v>stage 89 planned conservation</x:v>
      </x:c>
      <x:c r="E880" s="21" t="n">
        <x:f>IF(ABS('Stage Ledger'!J95-MIN('Stage Ledger'!F95,'Stage Ledger'!H95,'Stage Ledger'!I95))&lt;0.000001,1,0)</x:f>
        <x:v>1</x:v>
      </x:c>
      <x:c r="F880" s="21" t="n">
        <x:v>1</x:v>
      </x:c>
      <x:c r="G880" s="23" t="str">
        <x:f>IF(E880=F880,"PASS","FAIL")</x:f>
        <x:v>PASS</x:v>
      </x:c>
    </x:row>
    <x:row r="881">
      <x:c r="B881" s="21" t="str">
        <x:v>A00875</x:v>
      </x:c>
      <x:c r="C881" s="21" t="str">
        <x:v>stage</x:v>
      </x:c>
      <x:c r="D881" s="21" t="str">
        <x:v>stage 89 observed conservation</x:v>
      </x:c>
      <x:c r="E881" s="21" t="n">
        <x:f>IF(AND(ABS('Stage Ledger'!R95-IF(AND('Stage Ledger'!P95=1,'Stage Ledger'!Q95=1),MIN('Stage Ledger'!F95,'Stage Ledger'!M95,'Stage Ledger'!R94),0))&lt;0.000001,'Stage Ledger'!S95=IF('Stage Ledger'!R95&gt;='Stage Ledger'!F95,"ADMITTED","NOT ADMITTED")),1,0)</x:f>
        <x:v>1</x:v>
      </x:c>
      <x:c r="F881" s="21" t="n">
        <x:v>1</x:v>
      </x:c>
      <x:c r="G881" s="23" t="str">
        <x:f>IF(E881=F881,"PASS","FAIL")</x:f>
        <x:v>PASS</x:v>
      </x:c>
    </x:row>
    <x:row r="882">
      <x:c r="B882" s="21" t="str">
        <x:v>A00876</x:v>
      </x:c>
      <x:c r="C882" s="21" t="str">
        <x:v>stage</x:v>
      </x:c>
      <x:c r="D882" s="21" t="str">
        <x:v>stage 90 planned conservation</x:v>
      </x:c>
      <x:c r="E882" s="21" t="n">
        <x:f>IF(ABS('Stage Ledger'!J96-MIN('Stage Ledger'!F96,'Stage Ledger'!H96,'Stage Ledger'!I96))&lt;0.000001,1,0)</x:f>
        <x:v>1</x:v>
      </x:c>
      <x:c r="F882" s="21" t="n">
        <x:v>1</x:v>
      </x:c>
      <x:c r="G882" s="23" t="str">
        <x:f>IF(E882=F882,"PASS","FAIL")</x:f>
        <x:v>PASS</x:v>
      </x:c>
    </x:row>
    <x:row r="883">
      <x:c r="B883" s="21" t="str">
        <x:v>A00877</x:v>
      </x:c>
      <x:c r="C883" s="21" t="str">
        <x:v>stage</x:v>
      </x:c>
      <x:c r="D883" s="21" t="str">
        <x:v>stage 90 observed conservation</x:v>
      </x:c>
      <x:c r="E883" s="21" t="n">
        <x:f>IF(AND(ABS('Stage Ledger'!R96-IF(AND('Stage Ledger'!P96=1,'Stage Ledger'!Q96=1),MIN('Stage Ledger'!F96,'Stage Ledger'!M96,'Stage Ledger'!R95),0))&lt;0.000001,'Stage Ledger'!S96=IF('Stage Ledger'!R96&gt;='Stage Ledger'!F96,"ADMITTED","NOT ADMITTED")),1,0)</x:f>
        <x:v>1</x:v>
      </x:c>
      <x:c r="F883" s="21" t="n">
        <x:v>1</x:v>
      </x:c>
      <x:c r="G883" s="23" t="str">
        <x:f>IF(E883=F883,"PASS","FAIL")</x:f>
        <x:v>PASS</x:v>
      </x:c>
    </x:row>
    <x:row r="884">
      <x:c r="B884" s="21" t="str">
        <x:v>A00878</x:v>
      </x:c>
      <x:c r="C884" s="21" t="str">
        <x:v>stage</x:v>
      </x:c>
      <x:c r="D884" s="21" t="str">
        <x:v>stage 91 planned conservation</x:v>
      </x:c>
      <x:c r="E884" s="21" t="n">
        <x:f>IF(ABS('Stage Ledger'!J97-MIN('Stage Ledger'!F97,'Stage Ledger'!H97,'Stage Ledger'!I97))&lt;0.000001,1,0)</x:f>
        <x:v>1</x:v>
      </x:c>
      <x:c r="F884" s="21" t="n">
        <x:v>1</x:v>
      </x:c>
      <x:c r="G884" s="23" t="str">
        <x:f>IF(E884=F884,"PASS","FAIL")</x:f>
        <x:v>PASS</x:v>
      </x:c>
    </x:row>
    <x:row r="885">
      <x:c r="B885" s="21" t="str">
        <x:v>A00879</x:v>
      </x:c>
      <x:c r="C885" s="21" t="str">
        <x:v>stage</x:v>
      </x:c>
      <x:c r="D885" s="21" t="str">
        <x:v>stage 91 observed conservation</x:v>
      </x:c>
      <x:c r="E885" s="21" t="n">
        <x:f>IF(AND(ABS('Stage Ledger'!R97-IF(AND('Stage Ledger'!P97=1,'Stage Ledger'!Q97=1),MIN('Stage Ledger'!F97,'Stage Ledger'!M97,'Stage Ledger'!R96),0))&lt;0.000001,'Stage Ledger'!S97=IF('Stage Ledger'!R97&gt;='Stage Ledger'!F97,"ADMITTED","NOT ADMITTED")),1,0)</x:f>
        <x:v>1</x:v>
      </x:c>
      <x:c r="F885" s="21" t="n">
        <x:v>1</x:v>
      </x:c>
      <x:c r="G885" s="23" t="str">
        <x:f>IF(E885=F885,"PASS","FAIL")</x:f>
        <x:v>PASS</x:v>
      </x:c>
    </x:row>
    <x:row r="886">
      <x:c r="B886" s="21" t="str">
        <x:v>A00880</x:v>
      </x:c>
      <x:c r="C886" s="21" t="str">
        <x:v>stage</x:v>
      </x:c>
      <x:c r="D886" s="21" t="str">
        <x:v>stage 92 planned conservation</x:v>
      </x:c>
      <x:c r="E886" s="21" t="n">
        <x:f>IF(ABS('Stage Ledger'!J98-MIN('Stage Ledger'!F98,'Stage Ledger'!H98,'Stage Ledger'!I98))&lt;0.000001,1,0)</x:f>
        <x:v>1</x:v>
      </x:c>
      <x:c r="F886" s="21" t="n">
        <x:v>1</x:v>
      </x:c>
      <x:c r="G886" s="23" t="str">
        <x:f>IF(E886=F886,"PASS","FAIL")</x:f>
        <x:v>PASS</x:v>
      </x:c>
    </x:row>
    <x:row r="887">
      <x:c r="B887" s="21" t="str">
        <x:v>A00881</x:v>
      </x:c>
      <x:c r="C887" s="21" t="str">
        <x:v>stage</x:v>
      </x:c>
      <x:c r="D887" s="21" t="str">
        <x:v>stage 92 observed conservation</x:v>
      </x:c>
      <x:c r="E887" s="21" t="n">
        <x:f>IF(AND(ABS('Stage Ledger'!R98-IF(AND('Stage Ledger'!P98=1,'Stage Ledger'!Q98=1),MIN('Stage Ledger'!F98,'Stage Ledger'!M98,'Stage Ledger'!R97),0))&lt;0.000001,'Stage Ledger'!S98=IF('Stage Ledger'!R98&gt;='Stage Ledger'!F98,"ADMITTED","NOT ADMITTED")),1,0)</x:f>
        <x:v>1</x:v>
      </x:c>
      <x:c r="F887" s="21" t="n">
        <x:v>1</x:v>
      </x:c>
      <x:c r="G887" s="23" t="str">
        <x:f>IF(E887=F887,"PASS","FAIL")</x:f>
        <x:v>PASS</x:v>
      </x:c>
    </x:row>
    <x:row r="888">
      <x:c r="B888" s="21" t="str">
        <x:v>A00882</x:v>
      </x:c>
      <x:c r="C888" s="21" t="str">
        <x:v>stage</x:v>
      </x:c>
      <x:c r="D888" s="21" t="str">
        <x:v>stage 93 planned conservation</x:v>
      </x:c>
      <x:c r="E888" s="21" t="n">
        <x:f>IF(ABS('Stage Ledger'!J99-MIN('Stage Ledger'!F99,'Stage Ledger'!H99,'Stage Ledger'!I99))&lt;0.000001,1,0)</x:f>
        <x:v>1</x:v>
      </x:c>
      <x:c r="F888" s="21" t="n">
        <x:v>1</x:v>
      </x:c>
      <x:c r="G888" s="23" t="str">
        <x:f>IF(E888=F888,"PASS","FAIL")</x:f>
        <x:v>PASS</x:v>
      </x:c>
    </x:row>
    <x:row r="889">
      <x:c r="B889" s="21" t="str">
        <x:v>A00883</x:v>
      </x:c>
      <x:c r="C889" s="21" t="str">
        <x:v>stage</x:v>
      </x:c>
      <x:c r="D889" s="21" t="str">
        <x:v>stage 93 observed conservation</x:v>
      </x:c>
      <x:c r="E889" s="21" t="n">
        <x:f>IF(AND(ABS('Stage Ledger'!R99-IF(AND('Stage Ledger'!P99=1,'Stage Ledger'!Q99=1),MIN('Stage Ledger'!F99,'Stage Ledger'!M99,'Stage Ledger'!R98),0))&lt;0.000001,'Stage Ledger'!S99=IF('Stage Ledger'!R99&gt;='Stage Ledger'!F99,"ADMITTED","NOT ADMITTED")),1,0)</x:f>
        <x:v>1</x:v>
      </x:c>
      <x:c r="F889" s="21" t="n">
        <x:v>1</x:v>
      </x:c>
      <x:c r="G889" s="23" t="str">
        <x:f>IF(E889=F889,"PASS","FAIL")</x:f>
        <x:v>PASS</x:v>
      </x:c>
    </x:row>
    <x:row r="890">
      <x:c r="B890" s="21" t="str">
        <x:v>A00884</x:v>
      </x:c>
      <x:c r="C890" s="21" t="str">
        <x:v>stage</x:v>
      </x:c>
      <x:c r="D890" s="21" t="str">
        <x:v>stage 94 planned conservation</x:v>
      </x:c>
      <x:c r="E890" s="21" t="n">
        <x:f>IF(ABS('Stage Ledger'!J100-MIN('Stage Ledger'!F100,'Stage Ledger'!H100,'Stage Ledger'!I100))&lt;0.000001,1,0)</x:f>
        <x:v>1</x:v>
      </x:c>
      <x:c r="F890" s="21" t="n">
        <x:v>1</x:v>
      </x:c>
      <x:c r="G890" s="23" t="str">
        <x:f>IF(E890=F890,"PASS","FAIL")</x:f>
        <x:v>PASS</x:v>
      </x:c>
    </x:row>
    <x:row r="891">
      <x:c r="B891" s="21" t="str">
        <x:v>A00885</x:v>
      </x:c>
      <x:c r="C891" s="21" t="str">
        <x:v>stage</x:v>
      </x:c>
      <x:c r="D891" s="21" t="str">
        <x:v>stage 94 observed conservation</x:v>
      </x:c>
      <x:c r="E891" s="21" t="n">
        <x:f>IF(AND(ABS('Stage Ledger'!R100-IF(AND('Stage Ledger'!P100=1,'Stage Ledger'!Q100=1),MIN('Stage Ledger'!F100,'Stage Ledger'!M100,'Stage Ledger'!R99),0))&lt;0.000001,'Stage Ledger'!S100=IF('Stage Ledger'!R100&gt;='Stage Ledger'!F100,"ADMITTED","NOT ADMITTED")),1,0)</x:f>
        <x:v>1</x:v>
      </x:c>
      <x:c r="F891" s="21" t="n">
        <x:v>1</x:v>
      </x:c>
      <x:c r="G891" s="23" t="str">
        <x:f>IF(E891=F891,"PASS","FAIL")</x:f>
        <x:v>PASS</x:v>
      </x:c>
    </x:row>
    <x:row r="892">
      <x:c r="B892" s="21" t="str">
        <x:v>A00886</x:v>
      </x:c>
      <x:c r="C892" s="21" t="str">
        <x:v>stage</x:v>
      </x:c>
      <x:c r="D892" s="21" t="str">
        <x:v>stage 95 planned conservation</x:v>
      </x:c>
      <x:c r="E892" s="21" t="n">
        <x:f>IF(ABS('Stage Ledger'!J101-MIN('Stage Ledger'!F101,'Stage Ledger'!H101,'Stage Ledger'!I101))&lt;0.000001,1,0)</x:f>
        <x:v>1</x:v>
      </x:c>
      <x:c r="F892" s="21" t="n">
        <x:v>1</x:v>
      </x:c>
      <x:c r="G892" s="23" t="str">
        <x:f>IF(E892=F892,"PASS","FAIL")</x:f>
        <x:v>PASS</x:v>
      </x:c>
    </x:row>
    <x:row r="893">
      <x:c r="B893" s="21" t="str">
        <x:v>A00887</x:v>
      </x:c>
      <x:c r="C893" s="21" t="str">
        <x:v>stage</x:v>
      </x:c>
      <x:c r="D893" s="21" t="str">
        <x:v>stage 95 observed conservation</x:v>
      </x:c>
      <x:c r="E893" s="21" t="n">
        <x:f>IF(AND(ABS('Stage Ledger'!R101-IF(AND('Stage Ledger'!P101=1,'Stage Ledger'!Q101=1),MIN('Stage Ledger'!F101,'Stage Ledger'!M101,'Stage Ledger'!R100),0))&lt;0.000001,'Stage Ledger'!S101=IF('Stage Ledger'!R101&gt;='Stage Ledger'!F101,"ADMITTED","NOT ADMITTED")),1,0)</x:f>
        <x:v>1</x:v>
      </x:c>
      <x:c r="F893" s="21" t="n">
        <x:v>1</x:v>
      </x:c>
      <x:c r="G893" s="23" t="str">
        <x:f>IF(E893=F893,"PASS","FAIL")</x:f>
        <x:v>PASS</x:v>
      </x:c>
    </x:row>
    <x:row r="894">
      <x:c r="B894" s="21" t="str">
        <x:v>A00888</x:v>
      </x:c>
      <x:c r="C894" s="21" t="str">
        <x:v>stage</x:v>
      </x:c>
      <x:c r="D894" s="21" t="str">
        <x:v>stage 96 planned conservation</x:v>
      </x:c>
      <x:c r="E894" s="21" t="n">
        <x:f>IF(ABS('Stage Ledger'!J102-MIN('Stage Ledger'!F102,'Stage Ledger'!H102,'Stage Ledger'!I102))&lt;0.000001,1,0)</x:f>
        <x:v>1</x:v>
      </x:c>
      <x:c r="F894" s="21" t="n">
        <x:v>1</x:v>
      </x:c>
      <x:c r="G894" s="23" t="str">
        <x:f>IF(E894=F894,"PASS","FAIL")</x:f>
        <x:v>PASS</x:v>
      </x:c>
    </x:row>
    <x:row r="895">
      <x:c r="B895" s="21" t="str">
        <x:v>A00889</x:v>
      </x:c>
      <x:c r="C895" s="21" t="str">
        <x:v>stage</x:v>
      </x:c>
      <x:c r="D895" s="21" t="str">
        <x:v>stage 96 observed conservation</x:v>
      </x:c>
      <x:c r="E895" s="21" t="n">
        <x:f>IF(AND(ABS('Stage Ledger'!R102-IF(AND('Stage Ledger'!P102=1,'Stage Ledger'!Q102=1),MIN('Stage Ledger'!F102,'Stage Ledger'!M102,'Stage Ledger'!R101),0))&lt;0.000001,'Stage Ledger'!S102=IF('Stage Ledger'!R102&gt;='Stage Ledger'!F102,"ADMITTED","NOT ADMITTED")),1,0)</x:f>
        <x:v>1</x:v>
      </x:c>
      <x:c r="F895" s="21" t="n">
        <x:v>1</x:v>
      </x:c>
      <x:c r="G895" s="23" t="str">
        <x:f>IF(E895=F895,"PASS","FAIL")</x:f>
        <x:v>PASS</x:v>
      </x:c>
    </x:row>
    <x:row r="896">
      <x:c r="B896" s="21" t="str">
        <x:v>A00890</x:v>
      </x:c>
      <x:c r="C896" s="21" t="str">
        <x:v>stage</x:v>
      </x:c>
      <x:c r="D896" s="21" t="str">
        <x:v>stage 97 planned conservation</x:v>
      </x:c>
      <x:c r="E896" s="21" t="n">
        <x:f>IF(ABS('Stage Ledger'!J103-MIN('Stage Ledger'!F103,'Stage Ledger'!H103,'Stage Ledger'!I103))&lt;0.000001,1,0)</x:f>
        <x:v>1</x:v>
      </x:c>
      <x:c r="F896" s="21" t="n">
        <x:v>1</x:v>
      </x:c>
      <x:c r="G896" s="23" t="str">
        <x:f>IF(E896=F896,"PASS","FAIL")</x:f>
        <x:v>PASS</x:v>
      </x:c>
    </x:row>
    <x:row r="897">
      <x:c r="B897" s="21" t="str">
        <x:v>A00891</x:v>
      </x:c>
      <x:c r="C897" s="21" t="str">
        <x:v>stage</x:v>
      </x:c>
      <x:c r="D897" s="21" t="str">
        <x:v>stage 97 observed conservation</x:v>
      </x:c>
      <x:c r="E897" s="21" t="n">
        <x:f>IF(AND(ABS('Stage Ledger'!R103-IF(AND('Stage Ledger'!P103=1,'Stage Ledger'!Q103=1),MIN('Stage Ledger'!F103,'Stage Ledger'!M103),0))&lt;0.000001,'Stage Ledger'!S103=IF('Stage Ledger'!R103&gt;='Stage Ledger'!F103,"ADMITTED","NOT ADMITTED")),1,0)</x:f>
        <x:v>1</x:v>
      </x:c>
      <x:c r="F897" s="21" t="n">
        <x:v>1</x:v>
      </x:c>
      <x:c r="G897" s="23" t="str">
        <x:f>IF(E897=F897,"PASS","FAIL")</x:f>
        <x:v>PASS</x:v>
      </x:c>
    </x:row>
    <x:row r="898">
      <x:c r="B898" s="21" t="str">
        <x:v>A00892</x:v>
      </x:c>
      <x:c r="C898" s="21" t="str">
        <x:v>stage</x:v>
      </x:c>
      <x:c r="D898" s="21" t="str">
        <x:v>stage 98 planned conservation</x:v>
      </x:c>
      <x:c r="E898" s="21" t="n">
        <x:f>IF(ABS('Stage Ledger'!J104-MIN('Stage Ledger'!F104,'Stage Ledger'!H104,'Stage Ledger'!I104))&lt;0.000001,1,0)</x:f>
        <x:v>1</x:v>
      </x:c>
      <x:c r="F898" s="21" t="n">
        <x:v>1</x:v>
      </x:c>
      <x:c r="G898" s="23" t="str">
        <x:f>IF(E898=F898,"PASS","FAIL")</x:f>
        <x:v>PASS</x:v>
      </x:c>
    </x:row>
    <x:row r="899">
      <x:c r="B899" s="21" t="str">
        <x:v>A00893</x:v>
      </x:c>
      <x:c r="C899" s="21" t="str">
        <x:v>stage</x:v>
      </x:c>
      <x:c r="D899" s="21" t="str">
        <x:v>stage 98 observed conservation</x:v>
      </x:c>
      <x:c r="E899" s="21" t="n">
        <x:f>IF(AND(ABS('Stage Ledger'!R104-IF(AND('Stage Ledger'!P104=1,'Stage Ledger'!Q104=1),MIN('Stage Ledger'!F104,'Stage Ledger'!M104,'Stage Ledger'!R103),0))&lt;0.000001,'Stage Ledger'!S104=IF('Stage Ledger'!R104&gt;='Stage Ledger'!F104,"ADMITTED","NOT ADMITTED")),1,0)</x:f>
        <x:v>1</x:v>
      </x:c>
      <x:c r="F899" s="21" t="n">
        <x:v>1</x:v>
      </x:c>
      <x:c r="G899" s="23" t="str">
        <x:f>IF(E899=F899,"PASS","FAIL")</x:f>
        <x:v>PASS</x:v>
      </x:c>
    </x:row>
    <x:row r="900">
      <x:c r="B900" s="21" t="str">
        <x:v>A00894</x:v>
      </x:c>
      <x:c r="C900" s="21" t="str">
        <x:v>stage</x:v>
      </x:c>
      <x:c r="D900" s="21" t="str">
        <x:v>stage 99 planned conservation</x:v>
      </x:c>
      <x:c r="E900" s="21" t="n">
        <x:f>IF(ABS('Stage Ledger'!J105-MIN('Stage Ledger'!F105,'Stage Ledger'!H105,'Stage Ledger'!I105))&lt;0.000001,1,0)</x:f>
        <x:v>1</x:v>
      </x:c>
      <x:c r="F900" s="21" t="n">
        <x:v>1</x:v>
      </x:c>
      <x:c r="G900" s="23" t="str">
        <x:f>IF(E900=F900,"PASS","FAIL")</x:f>
        <x:v>PASS</x:v>
      </x:c>
    </x:row>
    <x:row r="901">
      <x:c r="B901" s="21" t="str">
        <x:v>A00895</x:v>
      </x:c>
      <x:c r="C901" s="21" t="str">
        <x:v>stage</x:v>
      </x:c>
      <x:c r="D901" s="21" t="str">
        <x:v>stage 99 observed conservation</x:v>
      </x:c>
      <x:c r="E901" s="21" t="n">
        <x:f>IF(AND(ABS('Stage Ledger'!R105-IF(AND('Stage Ledger'!P105=1,'Stage Ledger'!Q105=1),MIN('Stage Ledger'!F105,'Stage Ledger'!M105,'Stage Ledger'!R104),0))&lt;0.000001,'Stage Ledger'!S105=IF('Stage Ledger'!R105&gt;='Stage Ledger'!F105,"ADMITTED","NOT ADMITTED")),1,0)</x:f>
        <x:v>1</x:v>
      </x:c>
      <x:c r="F901" s="21" t="n">
        <x:v>1</x:v>
      </x:c>
      <x:c r="G901" s="23" t="str">
        <x:f>IF(E901=F901,"PASS","FAIL")</x:f>
        <x:v>PASS</x:v>
      </x:c>
    </x:row>
    <x:row r="902">
      <x:c r="B902" s="21" t="str">
        <x:v>A00896</x:v>
      </x:c>
      <x:c r="C902" s="21" t="str">
        <x:v>stage</x:v>
      </x:c>
      <x:c r="D902" s="21" t="str">
        <x:v>stage 100 planned conservation</x:v>
      </x:c>
      <x:c r="E902" s="21" t="n">
        <x:f>IF(ABS('Stage Ledger'!J106-MIN('Stage Ledger'!F106,'Stage Ledger'!H106,'Stage Ledger'!I106))&lt;0.000001,1,0)</x:f>
        <x:v>1</x:v>
      </x:c>
      <x:c r="F902" s="21" t="n">
        <x:v>1</x:v>
      </x:c>
      <x:c r="G902" s="23" t="str">
        <x:f>IF(E902=F902,"PASS","FAIL")</x:f>
        <x:v>PASS</x:v>
      </x:c>
    </x:row>
    <x:row r="903">
      <x:c r="B903" s="21" t="str">
        <x:v>A00897</x:v>
      </x:c>
      <x:c r="C903" s="21" t="str">
        <x:v>stage</x:v>
      </x:c>
      <x:c r="D903" s="21" t="str">
        <x:v>stage 100 observed conservation</x:v>
      </x:c>
      <x:c r="E903" s="21" t="n">
        <x:f>IF(AND(ABS('Stage Ledger'!R106-IF(AND('Stage Ledger'!P106=1,'Stage Ledger'!Q106=1),MIN('Stage Ledger'!F106,'Stage Ledger'!M106,'Stage Ledger'!R105),0))&lt;0.000001,'Stage Ledger'!S106=IF('Stage Ledger'!R106&gt;='Stage Ledger'!F106,"ADMITTED","NOT ADMITTED")),1,0)</x:f>
        <x:v>1</x:v>
      </x:c>
      <x:c r="F903" s="21" t="n">
        <x:v>1</x:v>
      </x:c>
      <x:c r="G903" s="23" t="str">
        <x:f>IF(E903=F903,"PASS","FAIL")</x:f>
        <x:v>PASS</x:v>
      </x:c>
    </x:row>
    <x:row r="904">
      <x:c r="B904" s="21" t="str">
        <x:v>A00898</x:v>
      </x:c>
      <x:c r="C904" s="21" t="str">
        <x:v>stage</x:v>
      </x:c>
      <x:c r="D904" s="21" t="str">
        <x:v>stage 101 planned conservation</x:v>
      </x:c>
      <x:c r="E904" s="21" t="n">
        <x:f>IF(ABS('Stage Ledger'!J107-MIN('Stage Ledger'!F107,'Stage Ledger'!H107,'Stage Ledger'!I107))&lt;0.000001,1,0)</x:f>
        <x:v>1</x:v>
      </x:c>
      <x:c r="F904" s="21" t="n">
        <x:v>1</x:v>
      </x:c>
      <x:c r="G904" s="23" t="str">
        <x:f>IF(E904=F904,"PASS","FAIL")</x:f>
        <x:v>PASS</x:v>
      </x:c>
    </x:row>
    <x:row r="905">
      <x:c r="B905" s="21" t="str">
        <x:v>A00899</x:v>
      </x:c>
      <x:c r="C905" s="21" t="str">
        <x:v>stage</x:v>
      </x:c>
      <x:c r="D905" s="21" t="str">
        <x:v>stage 101 observed conservation</x:v>
      </x:c>
      <x:c r="E905" s="21" t="n">
        <x:f>IF(AND(ABS('Stage Ledger'!R107-IF(AND('Stage Ledger'!P107=1,'Stage Ledger'!Q107=1),MIN('Stage Ledger'!F107,'Stage Ledger'!M107,'Stage Ledger'!R106),0))&lt;0.000001,'Stage Ledger'!S107=IF('Stage Ledger'!R107&gt;='Stage Ledger'!F107,"ADMITTED","NOT ADMITTED")),1,0)</x:f>
        <x:v>1</x:v>
      </x:c>
      <x:c r="F905" s="21" t="n">
        <x:v>1</x:v>
      </x:c>
      <x:c r="G905" s="23" t="str">
        <x:f>IF(E905=F905,"PASS","FAIL")</x:f>
        <x:v>PASS</x:v>
      </x:c>
    </x:row>
    <x:row r="906">
      <x:c r="B906" s="21" t="str">
        <x:v>A00900</x:v>
      </x:c>
      <x:c r="C906" s="21" t="str">
        <x:v>stage</x:v>
      </x:c>
      <x:c r="D906" s="21" t="str">
        <x:v>stage 102 planned conservation</x:v>
      </x:c>
      <x:c r="E906" s="21" t="n">
        <x:f>IF(ABS('Stage Ledger'!J108-MIN('Stage Ledger'!F108,'Stage Ledger'!H108,'Stage Ledger'!I108))&lt;0.000001,1,0)</x:f>
        <x:v>1</x:v>
      </x:c>
      <x:c r="F906" s="21" t="n">
        <x:v>1</x:v>
      </x:c>
      <x:c r="G906" s="23" t="str">
        <x:f>IF(E906=F906,"PASS","FAIL")</x:f>
        <x:v>PASS</x:v>
      </x:c>
    </x:row>
    <x:row r="907">
      <x:c r="B907" s="21" t="str">
        <x:v>A00901</x:v>
      </x:c>
      <x:c r="C907" s="21" t="str">
        <x:v>stage</x:v>
      </x:c>
      <x:c r="D907" s="21" t="str">
        <x:v>stage 102 observed conservation</x:v>
      </x:c>
      <x:c r="E907" s="21" t="n">
        <x:f>IF(AND(ABS('Stage Ledger'!R108-IF(AND('Stage Ledger'!P108=1,'Stage Ledger'!Q108=1),MIN('Stage Ledger'!F108,'Stage Ledger'!M108,'Stage Ledger'!R107),0))&lt;0.000001,'Stage Ledger'!S108=IF('Stage Ledger'!R108&gt;='Stage Ledger'!F108,"ADMITTED","NOT ADMITTED")),1,0)</x:f>
        <x:v>1</x:v>
      </x:c>
      <x:c r="F907" s="21" t="n">
        <x:v>1</x:v>
      </x:c>
      <x:c r="G907" s="23" t="str">
        <x:f>IF(E907=F907,"PASS","FAIL")</x:f>
        <x:v>PASS</x:v>
      </x:c>
    </x:row>
    <x:row r="908">
      <x:c r="B908" s="21" t="str">
        <x:v>A00902</x:v>
      </x:c>
      <x:c r="C908" s="21" t="str">
        <x:v>stage</x:v>
      </x:c>
      <x:c r="D908" s="21" t="str">
        <x:v>stage 103 planned conservation</x:v>
      </x:c>
      <x:c r="E908" s="21" t="n">
        <x:f>IF(ABS('Stage Ledger'!J109-MIN('Stage Ledger'!F109,'Stage Ledger'!H109,'Stage Ledger'!I109))&lt;0.000001,1,0)</x:f>
        <x:v>1</x:v>
      </x:c>
      <x:c r="F908" s="21" t="n">
        <x:v>1</x:v>
      </x:c>
      <x:c r="G908" s="23" t="str">
        <x:f>IF(E908=F908,"PASS","FAIL")</x:f>
        <x:v>PASS</x:v>
      </x:c>
    </x:row>
    <x:row r="909">
      <x:c r="B909" s="21" t="str">
        <x:v>A00903</x:v>
      </x:c>
      <x:c r="C909" s="21" t="str">
        <x:v>stage</x:v>
      </x:c>
      <x:c r="D909" s="21" t="str">
        <x:v>stage 103 observed conservation</x:v>
      </x:c>
      <x:c r="E909" s="21" t="n">
        <x:f>IF(AND(ABS('Stage Ledger'!R109-IF(AND('Stage Ledger'!P109=1,'Stage Ledger'!Q109=1),MIN('Stage Ledger'!F109,'Stage Ledger'!M109,'Stage Ledger'!R108),0))&lt;0.000001,'Stage Ledger'!S109=IF('Stage Ledger'!R109&gt;='Stage Ledger'!F109,"ADMITTED","NOT ADMITTED")),1,0)</x:f>
        <x:v>1</x:v>
      </x:c>
      <x:c r="F909" s="21" t="n">
        <x:v>1</x:v>
      </x:c>
      <x:c r="G909" s="23" t="str">
        <x:f>IF(E909=F909,"PASS","FAIL")</x:f>
        <x:v>PASS</x:v>
      </x:c>
    </x:row>
    <x:row r="910">
      <x:c r="B910" s="21" t="str">
        <x:v>A00904</x:v>
      </x:c>
      <x:c r="C910" s="21" t="str">
        <x:v>stage</x:v>
      </x:c>
      <x:c r="D910" s="21" t="str">
        <x:v>stage 104 planned conservation</x:v>
      </x:c>
      <x:c r="E910" s="21" t="n">
        <x:f>IF(ABS('Stage Ledger'!J110-MIN('Stage Ledger'!F110,'Stage Ledger'!H110,'Stage Ledger'!I110))&lt;0.000001,1,0)</x:f>
        <x:v>1</x:v>
      </x:c>
      <x:c r="F910" s="21" t="n">
        <x:v>1</x:v>
      </x:c>
      <x:c r="G910" s="23" t="str">
        <x:f>IF(E910=F910,"PASS","FAIL")</x:f>
        <x:v>PASS</x:v>
      </x:c>
    </x:row>
    <x:row r="911">
      <x:c r="B911" s="21" t="str">
        <x:v>A00905</x:v>
      </x:c>
      <x:c r="C911" s="21" t="str">
        <x:v>stage</x:v>
      </x:c>
      <x:c r="D911" s="21" t="str">
        <x:v>stage 104 observed conservation</x:v>
      </x:c>
      <x:c r="E911" s="21" t="n">
        <x:f>IF(AND(ABS('Stage Ledger'!R110-IF(AND('Stage Ledger'!P110=1,'Stage Ledger'!Q110=1),MIN('Stage Ledger'!F110,'Stage Ledger'!M110,'Stage Ledger'!R109),0))&lt;0.000001,'Stage Ledger'!S110=IF('Stage Ledger'!R110&gt;='Stage Ledger'!F110,"ADMITTED","NOT ADMITTED")),1,0)</x:f>
        <x:v>1</x:v>
      </x:c>
      <x:c r="F911" s="21" t="n">
        <x:v>1</x:v>
      </x:c>
      <x:c r="G911" s="23" t="str">
        <x:f>IF(E911=F911,"PASS","FAIL")</x:f>
        <x:v>PASS</x:v>
      </x:c>
    </x:row>
    <x:row r="912">
      <x:c r="B912" s="21" t="str">
        <x:v>A00906</x:v>
      </x:c>
      <x:c r="C912" s="21" t="str">
        <x:v>stage</x:v>
      </x:c>
      <x:c r="D912" s="21" t="str">
        <x:v>stage 105 planned conservation</x:v>
      </x:c>
      <x:c r="E912" s="21" t="n">
        <x:f>IF(ABS('Stage Ledger'!J111-MIN('Stage Ledger'!F111,'Stage Ledger'!H111,'Stage Ledger'!I111))&lt;0.000001,1,0)</x:f>
        <x:v>1</x:v>
      </x:c>
      <x:c r="F912" s="21" t="n">
        <x:v>1</x:v>
      </x:c>
      <x:c r="G912" s="23" t="str">
        <x:f>IF(E912=F912,"PASS","FAIL")</x:f>
        <x:v>PASS</x:v>
      </x:c>
    </x:row>
    <x:row r="913">
      <x:c r="B913" s="21" t="str">
        <x:v>A00907</x:v>
      </x:c>
      <x:c r="C913" s="21" t="str">
        <x:v>stage</x:v>
      </x:c>
      <x:c r="D913" s="21" t="str">
        <x:v>stage 105 observed conservation</x:v>
      </x:c>
      <x:c r="E913" s="21" t="n">
        <x:f>IF(AND(ABS('Stage Ledger'!R111-IF(AND('Stage Ledger'!P111=1,'Stage Ledger'!Q111=1),MIN('Stage Ledger'!F111,'Stage Ledger'!M111,'Stage Ledger'!R110),0))&lt;0.000001,'Stage Ledger'!S111=IF('Stage Ledger'!R111&gt;='Stage Ledger'!F111,"ADMITTED","NOT ADMITTED")),1,0)</x:f>
        <x:v>1</x:v>
      </x:c>
      <x:c r="F913" s="21" t="n">
        <x:v>1</x:v>
      </x:c>
      <x:c r="G913" s="23" t="str">
        <x:f>IF(E913=F913,"PASS","FAIL")</x:f>
        <x:v>PASS</x:v>
      </x:c>
    </x:row>
    <x:row r="914">
      <x:c r="B914" s="21" t="str">
        <x:v>A00908</x:v>
      </x:c>
      <x:c r="C914" s="21" t="str">
        <x:v>stage</x:v>
      </x:c>
      <x:c r="D914" s="21" t="str">
        <x:v>stage 106 planned conservation</x:v>
      </x:c>
      <x:c r="E914" s="21" t="n">
        <x:f>IF(ABS('Stage Ledger'!J112-MIN('Stage Ledger'!F112,'Stage Ledger'!H112,'Stage Ledger'!I112))&lt;0.000001,1,0)</x:f>
        <x:v>1</x:v>
      </x:c>
      <x:c r="F914" s="21" t="n">
        <x:v>1</x:v>
      </x:c>
      <x:c r="G914" s="23" t="str">
        <x:f>IF(E914=F914,"PASS","FAIL")</x:f>
        <x:v>PASS</x:v>
      </x:c>
    </x:row>
    <x:row r="915">
      <x:c r="B915" s="21" t="str">
        <x:v>A00909</x:v>
      </x:c>
      <x:c r="C915" s="21" t="str">
        <x:v>stage</x:v>
      </x:c>
      <x:c r="D915" s="21" t="str">
        <x:v>stage 106 observed conservation</x:v>
      </x:c>
      <x:c r="E915" s="21" t="n">
        <x:f>IF(AND(ABS('Stage Ledger'!R112-IF(AND('Stage Ledger'!P112=1,'Stage Ledger'!Q112=1),MIN('Stage Ledger'!F112,'Stage Ledger'!M112,'Stage Ledger'!R111),0))&lt;0.000001,'Stage Ledger'!S112=IF('Stage Ledger'!R112&gt;='Stage Ledger'!F112,"ADMITTED","NOT ADMITTED")),1,0)</x:f>
        <x:v>1</x:v>
      </x:c>
      <x:c r="F915" s="21" t="n">
        <x:v>1</x:v>
      </x:c>
      <x:c r="G915" s="23" t="str">
        <x:f>IF(E915=F915,"PASS","FAIL")</x:f>
        <x:v>PASS</x:v>
      </x:c>
    </x:row>
    <x:row r="916">
      <x:c r="B916" s="21" t="str">
        <x:v>A00910</x:v>
      </x:c>
      <x:c r="C916" s="21" t="str">
        <x:v>stage</x:v>
      </x:c>
      <x:c r="D916" s="21" t="str">
        <x:v>stage 107 planned conservation</x:v>
      </x:c>
      <x:c r="E916" s="21" t="n">
        <x:f>IF(ABS('Stage Ledger'!J113-MIN('Stage Ledger'!F113,'Stage Ledger'!H113,'Stage Ledger'!I113))&lt;0.000001,1,0)</x:f>
        <x:v>1</x:v>
      </x:c>
      <x:c r="F916" s="21" t="n">
        <x:v>1</x:v>
      </x:c>
      <x:c r="G916" s="23" t="str">
        <x:f>IF(E916=F916,"PASS","FAIL")</x:f>
        <x:v>PASS</x:v>
      </x:c>
    </x:row>
    <x:row r="917">
      <x:c r="B917" s="21" t="str">
        <x:v>A00911</x:v>
      </x:c>
      <x:c r="C917" s="21" t="str">
        <x:v>stage</x:v>
      </x:c>
      <x:c r="D917" s="21" t="str">
        <x:v>stage 107 observed conservation</x:v>
      </x:c>
      <x:c r="E917" s="21" t="n">
        <x:f>IF(AND(ABS('Stage Ledger'!R113-IF(AND('Stage Ledger'!P113=1,'Stage Ledger'!Q113=1),MIN('Stage Ledger'!F113,'Stage Ledger'!M113,'Stage Ledger'!R112),0))&lt;0.000001,'Stage Ledger'!S113=IF('Stage Ledger'!R113&gt;='Stage Ledger'!F113,"ADMITTED","NOT ADMITTED")),1,0)</x:f>
        <x:v>1</x:v>
      </x:c>
      <x:c r="F917" s="21" t="n">
        <x:v>1</x:v>
      </x:c>
      <x:c r="G917" s="23" t="str">
        <x:f>IF(E917=F917,"PASS","FAIL")</x:f>
        <x:v>PASS</x:v>
      </x:c>
    </x:row>
    <x:row r="918">
      <x:c r="B918" s="21" t="str">
        <x:v>A00912</x:v>
      </x:c>
      <x:c r="C918" s="21" t="str">
        <x:v>stage</x:v>
      </x:c>
      <x:c r="D918" s="21" t="str">
        <x:v>stage 108 planned conservation</x:v>
      </x:c>
      <x:c r="E918" s="21" t="n">
        <x:f>IF(ABS('Stage Ledger'!J114-MIN('Stage Ledger'!F114,'Stage Ledger'!H114,'Stage Ledger'!I114))&lt;0.000001,1,0)</x:f>
        <x:v>1</x:v>
      </x:c>
      <x:c r="F918" s="21" t="n">
        <x:v>1</x:v>
      </x:c>
      <x:c r="G918" s="23" t="str">
        <x:f>IF(E918=F918,"PASS","FAIL")</x:f>
        <x:v>PASS</x:v>
      </x:c>
    </x:row>
    <x:row r="919">
      <x:c r="B919" s="21" t="str">
        <x:v>A00913</x:v>
      </x:c>
      <x:c r="C919" s="21" t="str">
        <x:v>stage</x:v>
      </x:c>
      <x:c r="D919" s="21" t="str">
        <x:v>stage 108 observed conservation</x:v>
      </x:c>
      <x:c r="E919" s="21" t="n">
        <x:f>IF(AND(ABS('Stage Ledger'!R114-IF(AND('Stage Ledger'!P114=1,'Stage Ledger'!Q114=1),MIN('Stage Ledger'!F114,'Stage Ledger'!M114,'Stage Ledger'!R113),0))&lt;0.000001,'Stage Ledger'!S114=IF('Stage Ledger'!R114&gt;='Stage Ledger'!F114,"ADMITTED","NOT ADMITTED")),1,0)</x:f>
        <x:v>1</x:v>
      </x:c>
      <x:c r="F919" s="21" t="n">
        <x:v>1</x:v>
      </x:c>
      <x:c r="G919" s="23" t="str">
        <x:f>IF(E919=F919,"PASS","FAIL")</x:f>
        <x:v>PASS</x:v>
      </x:c>
    </x:row>
    <x:row r="920">
      <x:c r="B920" s="21" t="str">
        <x:v>A00914</x:v>
      </x:c>
      <x:c r="C920" s="21" t="str">
        <x:v>stage</x:v>
      </x:c>
      <x:c r="D920" s="21" t="str">
        <x:v>stage 109 planned conservation</x:v>
      </x:c>
      <x:c r="E920" s="21" t="n">
        <x:f>IF(ABS('Stage Ledger'!J115-MIN('Stage Ledger'!F115,'Stage Ledger'!H115,'Stage Ledger'!I115))&lt;0.000001,1,0)</x:f>
        <x:v>1</x:v>
      </x:c>
      <x:c r="F920" s="21" t="n">
        <x:v>1</x:v>
      </x:c>
      <x:c r="G920" s="23" t="str">
        <x:f>IF(E920=F920,"PASS","FAIL")</x:f>
        <x:v>PASS</x:v>
      </x:c>
    </x:row>
    <x:row r="921">
      <x:c r="B921" s="21" t="str">
        <x:v>A00915</x:v>
      </x:c>
      <x:c r="C921" s="21" t="str">
        <x:v>stage</x:v>
      </x:c>
      <x:c r="D921" s="21" t="str">
        <x:v>stage 109 observed conservation</x:v>
      </x:c>
      <x:c r="E921" s="21" t="n">
        <x:f>IF(AND(ABS('Stage Ledger'!R115-IF(AND('Stage Ledger'!P115=1,'Stage Ledger'!Q115=1),MIN('Stage Ledger'!F115,'Stage Ledger'!M115),0))&lt;0.000001,'Stage Ledger'!S115=IF('Stage Ledger'!R115&gt;='Stage Ledger'!F115,"ADMITTED","NOT ADMITTED")),1,0)</x:f>
        <x:v>1</x:v>
      </x:c>
      <x:c r="F921" s="21" t="n">
        <x:v>1</x:v>
      </x:c>
      <x:c r="G921" s="23" t="str">
        <x:f>IF(E921=F921,"PASS","FAIL")</x:f>
        <x:v>PASS</x:v>
      </x:c>
    </x:row>
    <x:row r="922">
      <x:c r="B922" s="21" t="str">
        <x:v>A00916</x:v>
      </x:c>
      <x:c r="C922" s="21" t="str">
        <x:v>stage</x:v>
      </x:c>
      <x:c r="D922" s="21" t="str">
        <x:v>stage 110 planned conservation</x:v>
      </x:c>
      <x:c r="E922" s="21" t="n">
        <x:f>IF(ABS('Stage Ledger'!J116-MIN('Stage Ledger'!F116,'Stage Ledger'!H116,'Stage Ledger'!I116))&lt;0.000001,1,0)</x:f>
        <x:v>1</x:v>
      </x:c>
      <x:c r="F922" s="21" t="n">
        <x:v>1</x:v>
      </x:c>
      <x:c r="G922" s="23" t="str">
        <x:f>IF(E922=F922,"PASS","FAIL")</x:f>
        <x:v>PASS</x:v>
      </x:c>
    </x:row>
    <x:row r="923">
      <x:c r="B923" s="21" t="str">
        <x:v>A00917</x:v>
      </x:c>
      <x:c r="C923" s="21" t="str">
        <x:v>stage</x:v>
      </x:c>
      <x:c r="D923" s="21" t="str">
        <x:v>stage 110 observed conservation</x:v>
      </x:c>
      <x:c r="E923" s="21" t="n">
        <x:f>IF(AND(ABS('Stage Ledger'!R116-IF(AND('Stage Ledger'!P116=1,'Stage Ledger'!Q116=1),MIN('Stage Ledger'!F116,'Stage Ledger'!M116,'Stage Ledger'!R115),0))&lt;0.000001,'Stage Ledger'!S116=IF('Stage Ledger'!R116&gt;='Stage Ledger'!F116,"ADMITTED","NOT ADMITTED")),1,0)</x:f>
        <x:v>1</x:v>
      </x:c>
      <x:c r="F923" s="21" t="n">
        <x:v>1</x:v>
      </x:c>
      <x:c r="G923" s="23" t="str">
        <x:f>IF(E923=F923,"PASS","FAIL")</x:f>
        <x:v>PASS</x:v>
      </x:c>
    </x:row>
    <x:row r="924">
      <x:c r="B924" s="21" t="str">
        <x:v>A00918</x:v>
      </x:c>
      <x:c r="C924" s="21" t="str">
        <x:v>stage</x:v>
      </x:c>
      <x:c r="D924" s="21" t="str">
        <x:v>stage 111 planned conservation</x:v>
      </x:c>
      <x:c r="E924" s="21" t="n">
        <x:f>IF(ABS('Stage Ledger'!J117-MIN('Stage Ledger'!F117,'Stage Ledger'!H117,'Stage Ledger'!I117))&lt;0.000001,1,0)</x:f>
        <x:v>1</x:v>
      </x:c>
      <x:c r="F924" s="21" t="n">
        <x:v>1</x:v>
      </x:c>
      <x:c r="G924" s="23" t="str">
        <x:f>IF(E924=F924,"PASS","FAIL")</x:f>
        <x:v>PASS</x:v>
      </x:c>
    </x:row>
    <x:row r="925">
      <x:c r="B925" s="21" t="str">
        <x:v>A00919</x:v>
      </x:c>
      <x:c r="C925" s="21" t="str">
        <x:v>stage</x:v>
      </x:c>
      <x:c r="D925" s="21" t="str">
        <x:v>stage 111 observed conservation</x:v>
      </x:c>
      <x:c r="E925" s="21" t="n">
        <x:f>IF(AND(ABS('Stage Ledger'!R117-IF(AND('Stage Ledger'!P117=1,'Stage Ledger'!Q117=1),MIN('Stage Ledger'!F117,'Stage Ledger'!M117,'Stage Ledger'!R116),0))&lt;0.000001,'Stage Ledger'!S117=IF('Stage Ledger'!R117&gt;='Stage Ledger'!F117,"ADMITTED","NOT ADMITTED")),1,0)</x:f>
        <x:v>1</x:v>
      </x:c>
      <x:c r="F925" s="21" t="n">
        <x:v>1</x:v>
      </x:c>
      <x:c r="G925" s="23" t="str">
        <x:f>IF(E925=F925,"PASS","FAIL")</x:f>
        <x:v>PASS</x:v>
      </x:c>
    </x:row>
    <x:row r="926">
      <x:c r="B926" s="21" t="str">
        <x:v>A00920</x:v>
      </x:c>
      <x:c r="C926" s="21" t="str">
        <x:v>stage</x:v>
      </x:c>
      <x:c r="D926" s="21" t="str">
        <x:v>stage 112 planned conservation</x:v>
      </x:c>
      <x:c r="E926" s="21" t="n">
        <x:f>IF(ABS('Stage Ledger'!J118-MIN('Stage Ledger'!F118,'Stage Ledger'!H118,'Stage Ledger'!I118))&lt;0.000001,1,0)</x:f>
        <x:v>1</x:v>
      </x:c>
      <x:c r="F926" s="21" t="n">
        <x:v>1</x:v>
      </x:c>
      <x:c r="G926" s="23" t="str">
        <x:f>IF(E926=F926,"PASS","FAIL")</x:f>
        <x:v>PASS</x:v>
      </x:c>
    </x:row>
    <x:row r="927">
      <x:c r="B927" s="21" t="str">
        <x:v>A00921</x:v>
      </x:c>
      <x:c r="C927" s="21" t="str">
        <x:v>stage</x:v>
      </x:c>
      <x:c r="D927" s="21" t="str">
        <x:v>stage 112 observed conservation</x:v>
      </x:c>
      <x:c r="E927" s="21" t="n">
        <x:f>IF(AND(ABS('Stage Ledger'!R118-IF(AND('Stage Ledger'!P118=1,'Stage Ledger'!Q118=1),MIN('Stage Ledger'!F118,'Stage Ledger'!M118,'Stage Ledger'!R117),0))&lt;0.000001,'Stage Ledger'!S118=IF('Stage Ledger'!R118&gt;='Stage Ledger'!F118,"ADMITTED","NOT ADMITTED")),1,0)</x:f>
        <x:v>1</x:v>
      </x:c>
      <x:c r="F927" s="21" t="n">
        <x:v>1</x:v>
      </x:c>
      <x:c r="G927" s="23" t="str">
        <x:f>IF(E927=F927,"PASS","FAIL")</x:f>
        <x:v>PASS</x:v>
      </x:c>
    </x:row>
    <x:row r="928">
      <x:c r="B928" s="21" t="str">
        <x:v>A00922</x:v>
      </x:c>
      <x:c r="C928" s="21" t="str">
        <x:v>stage</x:v>
      </x:c>
      <x:c r="D928" s="21" t="str">
        <x:v>stage 113 planned conservation</x:v>
      </x:c>
      <x:c r="E928" s="21" t="n">
        <x:f>IF(ABS('Stage Ledger'!J119-MIN('Stage Ledger'!F119,'Stage Ledger'!H119,'Stage Ledger'!I119))&lt;0.000001,1,0)</x:f>
        <x:v>1</x:v>
      </x:c>
      <x:c r="F928" s="21" t="n">
        <x:v>1</x:v>
      </x:c>
      <x:c r="G928" s="23" t="str">
        <x:f>IF(E928=F928,"PASS","FAIL")</x:f>
        <x:v>PASS</x:v>
      </x:c>
    </x:row>
    <x:row r="929">
      <x:c r="B929" s="21" t="str">
        <x:v>A00923</x:v>
      </x:c>
      <x:c r="C929" s="21" t="str">
        <x:v>stage</x:v>
      </x:c>
      <x:c r="D929" s="21" t="str">
        <x:v>stage 113 observed conservation</x:v>
      </x:c>
      <x:c r="E929" s="21" t="n">
        <x:f>IF(AND(ABS('Stage Ledger'!R119-IF(AND('Stage Ledger'!P119=1,'Stage Ledger'!Q119=1),MIN('Stage Ledger'!F119,'Stage Ledger'!M119,'Stage Ledger'!R118),0))&lt;0.000001,'Stage Ledger'!S119=IF('Stage Ledger'!R119&gt;='Stage Ledger'!F119,"ADMITTED","NOT ADMITTED")),1,0)</x:f>
        <x:v>1</x:v>
      </x:c>
      <x:c r="F929" s="21" t="n">
        <x:v>1</x:v>
      </x:c>
      <x:c r="G929" s="23" t="str">
        <x:f>IF(E929=F929,"PASS","FAIL")</x:f>
        <x:v>PASS</x:v>
      </x:c>
    </x:row>
    <x:row r="930">
      <x:c r="B930" s="21" t="str">
        <x:v>A00924</x:v>
      </x:c>
      <x:c r="C930" s="21" t="str">
        <x:v>stage</x:v>
      </x:c>
      <x:c r="D930" s="21" t="str">
        <x:v>stage 114 planned conservation</x:v>
      </x:c>
      <x:c r="E930" s="21" t="n">
        <x:f>IF(ABS('Stage Ledger'!J120-MIN('Stage Ledger'!F120,'Stage Ledger'!H120,'Stage Ledger'!I120))&lt;0.000001,1,0)</x:f>
        <x:v>1</x:v>
      </x:c>
      <x:c r="F930" s="21" t="n">
        <x:v>1</x:v>
      </x:c>
      <x:c r="G930" s="23" t="str">
        <x:f>IF(E930=F930,"PASS","FAIL")</x:f>
        <x:v>PASS</x:v>
      </x:c>
    </x:row>
    <x:row r="931">
      <x:c r="B931" s="21" t="str">
        <x:v>A00925</x:v>
      </x:c>
      <x:c r="C931" s="21" t="str">
        <x:v>stage</x:v>
      </x:c>
      <x:c r="D931" s="21" t="str">
        <x:v>stage 114 observed conservation</x:v>
      </x:c>
      <x:c r="E931" s="21" t="n">
        <x:f>IF(AND(ABS('Stage Ledger'!R120-IF(AND('Stage Ledger'!P120=1,'Stage Ledger'!Q120=1),MIN('Stage Ledger'!F120,'Stage Ledger'!M120,'Stage Ledger'!R119),0))&lt;0.000001,'Stage Ledger'!S120=IF('Stage Ledger'!R120&gt;='Stage Ledger'!F120,"ADMITTED","NOT ADMITTED")),1,0)</x:f>
        <x:v>1</x:v>
      </x:c>
      <x:c r="F931" s="21" t="n">
        <x:v>1</x:v>
      </x:c>
      <x:c r="G931" s="23" t="str">
        <x:f>IF(E931=F931,"PASS","FAIL")</x:f>
        <x:v>PASS</x:v>
      </x:c>
    </x:row>
    <x:row r="932">
      <x:c r="B932" s="21" t="str">
        <x:v>A00926</x:v>
      </x:c>
      <x:c r="C932" s="21" t="str">
        <x:v>stage</x:v>
      </x:c>
      <x:c r="D932" s="21" t="str">
        <x:v>stage 115 planned conservation</x:v>
      </x:c>
      <x:c r="E932" s="21" t="n">
        <x:f>IF(ABS('Stage Ledger'!J121-MIN('Stage Ledger'!F121,'Stage Ledger'!H121,'Stage Ledger'!I121))&lt;0.000001,1,0)</x:f>
        <x:v>1</x:v>
      </x:c>
      <x:c r="F932" s="21" t="n">
        <x:v>1</x:v>
      </x:c>
      <x:c r="G932" s="23" t="str">
        <x:f>IF(E932=F932,"PASS","FAIL")</x:f>
        <x:v>PASS</x:v>
      </x:c>
    </x:row>
    <x:row r="933">
      <x:c r="B933" s="21" t="str">
        <x:v>A00927</x:v>
      </x:c>
      <x:c r="C933" s="21" t="str">
        <x:v>stage</x:v>
      </x:c>
      <x:c r="D933" s="21" t="str">
        <x:v>stage 115 observed conservation</x:v>
      </x:c>
      <x:c r="E933" s="21" t="n">
        <x:f>IF(AND(ABS('Stage Ledger'!R121-IF(AND('Stage Ledger'!P121=1,'Stage Ledger'!Q121=1),MIN('Stage Ledger'!F121,'Stage Ledger'!M121,'Stage Ledger'!R120),0))&lt;0.000001,'Stage Ledger'!S121=IF('Stage Ledger'!R121&gt;='Stage Ledger'!F121,"ADMITTED","NOT ADMITTED")),1,0)</x:f>
        <x:v>1</x:v>
      </x:c>
      <x:c r="F933" s="21" t="n">
        <x:v>1</x:v>
      </x:c>
      <x:c r="G933" s="23" t="str">
        <x:f>IF(E933=F933,"PASS","FAIL")</x:f>
        <x:v>PASS</x:v>
      </x:c>
    </x:row>
    <x:row r="934">
      <x:c r="B934" s="21" t="str">
        <x:v>A00928</x:v>
      </x:c>
      <x:c r="C934" s="21" t="str">
        <x:v>stage</x:v>
      </x:c>
      <x:c r="D934" s="21" t="str">
        <x:v>stage 116 planned conservation</x:v>
      </x:c>
      <x:c r="E934" s="21" t="n">
        <x:f>IF(ABS('Stage Ledger'!J122-MIN('Stage Ledger'!F122,'Stage Ledger'!H122,'Stage Ledger'!I122))&lt;0.000001,1,0)</x:f>
        <x:v>1</x:v>
      </x:c>
      <x:c r="F934" s="21" t="n">
        <x:v>1</x:v>
      </x:c>
      <x:c r="G934" s="23" t="str">
        <x:f>IF(E934=F934,"PASS","FAIL")</x:f>
        <x:v>PASS</x:v>
      </x:c>
    </x:row>
    <x:row r="935">
      <x:c r="B935" s="21" t="str">
        <x:v>A00929</x:v>
      </x:c>
      <x:c r="C935" s="21" t="str">
        <x:v>stage</x:v>
      </x:c>
      <x:c r="D935" s="21" t="str">
        <x:v>stage 116 observed conservation</x:v>
      </x:c>
      <x:c r="E935" s="21" t="n">
        <x:f>IF(AND(ABS('Stage Ledger'!R122-IF(AND('Stage Ledger'!P122=1,'Stage Ledger'!Q122=1),MIN('Stage Ledger'!F122,'Stage Ledger'!M122,'Stage Ledger'!R121),0))&lt;0.000001,'Stage Ledger'!S122=IF('Stage Ledger'!R122&gt;='Stage Ledger'!F122,"ADMITTED","NOT ADMITTED")),1,0)</x:f>
        <x:v>1</x:v>
      </x:c>
      <x:c r="F935" s="21" t="n">
        <x:v>1</x:v>
      </x:c>
      <x:c r="G935" s="23" t="str">
        <x:f>IF(E935=F935,"PASS","FAIL")</x:f>
        <x:v>PASS</x:v>
      </x:c>
    </x:row>
    <x:row r="936">
      <x:c r="B936" s="21" t="str">
        <x:v>A00930</x:v>
      </x:c>
      <x:c r="C936" s="21" t="str">
        <x:v>stage</x:v>
      </x:c>
      <x:c r="D936" s="21" t="str">
        <x:v>stage 117 planned conservation</x:v>
      </x:c>
      <x:c r="E936" s="21" t="n">
        <x:f>IF(ABS('Stage Ledger'!J123-MIN('Stage Ledger'!F123,'Stage Ledger'!H123,'Stage Ledger'!I123))&lt;0.000001,1,0)</x:f>
        <x:v>1</x:v>
      </x:c>
      <x:c r="F936" s="21" t="n">
        <x:v>1</x:v>
      </x:c>
      <x:c r="G936" s="23" t="str">
        <x:f>IF(E936=F936,"PASS","FAIL")</x:f>
        <x:v>PASS</x:v>
      </x:c>
    </x:row>
    <x:row r="937">
      <x:c r="B937" s="21" t="str">
        <x:v>A00931</x:v>
      </x:c>
      <x:c r="C937" s="21" t="str">
        <x:v>stage</x:v>
      </x:c>
      <x:c r="D937" s="21" t="str">
        <x:v>stage 117 observed conservation</x:v>
      </x:c>
      <x:c r="E937" s="21" t="n">
        <x:f>IF(AND(ABS('Stage Ledger'!R123-IF(AND('Stage Ledger'!P123=1,'Stage Ledger'!Q123=1),MIN('Stage Ledger'!F123,'Stage Ledger'!M123,'Stage Ledger'!R122),0))&lt;0.000001,'Stage Ledger'!S123=IF('Stage Ledger'!R123&gt;='Stage Ledger'!F123,"ADMITTED","NOT ADMITTED")),1,0)</x:f>
        <x:v>1</x:v>
      </x:c>
      <x:c r="F937" s="21" t="n">
        <x:v>1</x:v>
      </x:c>
      <x:c r="G937" s="23" t="str">
        <x:f>IF(E937=F937,"PASS","FAIL")</x:f>
        <x:v>PASS</x:v>
      </x:c>
    </x:row>
    <x:row r="938">
      <x:c r="B938" s="21" t="str">
        <x:v>A00932</x:v>
      </x:c>
      <x:c r="C938" s="21" t="str">
        <x:v>stage</x:v>
      </x:c>
      <x:c r="D938" s="21" t="str">
        <x:v>stage 118 planned conservation</x:v>
      </x:c>
      <x:c r="E938" s="21" t="n">
        <x:f>IF(ABS('Stage Ledger'!J124-MIN('Stage Ledger'!F124,'Stage Ledger'!H124,'Stage Ledger'!I124))&lt;0.000001,1,0)</x:f>
        <x:v>1</x:v>
      </x:c>
      <x:c r="F938" s="21" t="n">
        <x:v>1</x:v>
      </x:c>
      <x:c r="G938" s="23" t="str">
        <x:f>IF(E938=F938,"PASS","FAIL")</x:f>
        <x:v>PASS</x:v>
      </x:c>
    </x:row>
    <x:row r="939">
      <x:c r="B939" s="21" t="str">
        <x:v>A00933</x:v>
      </x:c>
      <x:c r="C939" s="21" t="str">
        <x:v>stage</x:v>
      </x:c>
      <x:c r="D939" s="21" t="str">
        <x:v>stage 118 observed conservation</x:v>
      </x:c>
      <x:c r="E939" s="21" t="n">
        <x:f>IF(AND(ABS('Stage Ledger'!R124-IF(AND('Stage Ledger'!P124=1,'Stage Ledger'!Q124=1),MIN('Stage Ledger'!F124,'Stage Ledger'!M124,'Stage Ledger'!R123),0))&lt;0.000001,'Stage Ledger'!S124=IF('Stage Ledger'!R124&gt;='Stage Ledger'!F124,"ADMITTED","NOT ADMITTED")),1,0)</x:f>
        <x:v>1</x:v>
      </x:c>
      <x:c r="F939" s="21" t="n">
        <x:v>1</x:v>
      </x:c>
      <x:c r="G939" s="23" t="str">
        <x:f>IF(E939=F939,"PASS","FAIL")</x:f>
        <x:v>PASS</x:v>
      </x:c>
    </x:row>
    <x:row r="940">
      <x:c r="B940" s="21" t="str">
        <x:v>A00934</x:v>
      </x:c>
      <x:c r="C940" s="21" t="str">
        <x:v>stage</x:v>
      </x:c>
      <x:c r="D940" s="21" t="str">
        <x:v>stage 119 planned conservation</x:v>
      </x:c>
      <x:c r="E940" s="21" t="n">
        <x:f>IF(ABS('Stage Ledger'!J125-MIN('Stage Ledger'!F125,'Stage Ledger'!H125,'Stage Ledger'!I125))&lt;0.000001,1,0)</x:f>
        <x:v>1</x:v>
      </x:c>
      <x:c r="F940" s="21" t="n">
        <x:v>1</x:v>
      </x:c>
      <x:c r="G940" s="23" t="str">
        <x:f>IF(E940=F940,"PASS","FAIL")</x:f>
        <x:v>PASS</x:v>
      </x:c>
    </x:row>
    <x:row r="941">
      <x:c r="B941" s="21" t="str">
        <x:v>A00935</x:v>
      </x:c>
      <x:c r="C941" s="21" t="str">
        <x:v>stage</x:v>
      </x:c>
      <x:c r="D941" s="21" t="str">
        <x:v>stage 119 observed conservation</x:v>
      </x:c>
      <x:c r="E941" s="21" t="n">
        <x:f>IF(AND(ABS('Stage Ledger'!R125-IF(AND('Stage Ledger'!P125=1,'Stage Ledger'!Q125=1),MIN('Stage Ledger'!F125,'Stage Ledger'!M125,'Stage Ledger'!R124),0))&lt;0.000001,'Stage Ledger'!S125=IF('Stage Ledger'!R125&gt;='Stage Ledger'!F125,"ADMITTED","NOT ADMITTED")),1,0)</x:f>
        <x:v>1</x:v>
      </x:c>
      <x:c r="F941" s="21" t="n">
        <x:v>1</x:v>
      </x:c>
      <x:c r="G941" s="23" t="str">
        <x:f>IF(E941=F941,"PASS","FAIL")</x:f>
        <x:v>PASS</x:v>
      </x:c>
    </x:row>
    <x:row r="942">
      <x:c r="B942" s="21" t="str">
        <x:v>A00936</x:v>
      </x:c>
      <x:c r="C942" s="21" t="str">
        <x:v>stage</x:v>
      </x:c>
      <x:c r="D942" s="21" t="str">
        <x:v>stage 120 planned conservation</x:v>
      </x:c>
      <x:c r="E942" s="21" t="n">
        <x:f>IF(ABS('Stage Ledger'!J126-MIN('Stage Ledger'!F126,'Stage Ledger'!H126,'Stage Ledger'!I126))&lt;0.000001,1,0)</x:f>
        <x:v>1</x:v>
      </x:c>
      <x:c r="F942" s="21" t="n">
        <x:v>1</x:v>
      </x:c>
      <x:c r="G942" s="23" t="str">
        <x:f>IF(E942=F942,"PASS","FAIL")</x:f>
        <x:v>PASS</x:v>
      </x:c>
    </x:row>
    <x:row r="943">
      <x:c r="B943" s="21" t="str">
        <x:v>A00937</x:v>
      </x:c>
      <x:c r="C943" s="21" t="str">
        <x:v>stage</x:v>
      </x:c>
      <x:c r="D943" s="21" t="str">
        <x:v>stage 120 observed conservation</x:v>
      </x:c>
      <x:c r="E943" s="21" t="n">
        <x:f>IF(AND(ABS('Stage Ledger'!R126-IF(AND('Stage Ledger'!P126=1,'Stage Ledger'!Q126=1),MIN('Stage Ledger'!F126,'Stage Ledger'!M126,'Stage Ledger'!R125),0))&lt;0.000001,'Stage Ledger'!S126=IF('Stage Ledger'!R126&gt;='Stage Ledger'!F126,"ADMITTED","NOT ADMITTED")),1,0)</x:f>
        <x:v>1</x:v>
      </x:c>
      <x:c r="F943" s="21" t="n">
        <x:v>1</x:v>
      </x:c>
      <x:c r="G943" s="23" t="str">
        <x:f>IF(E943=F943,"PASS","FAIL")</x:f>
        <x:v>PASS</x:v>
      </x:c>
    </x:row>
    <x:row r="944">
      <x:c r="B944" s="21" t="str">
        <x:v>A00938</x:v>
      </x:c>
      <x:c r="C944" s="21" t="str">
        <x:v>stage</x:v>
      </x:c>
      <x:c r="D944" s="21" t="str">
        <x:v>stage 121 planned conservation</x:v>
      </x:c>
      <x:c r="E944" s="21" t="n">
        <x:f>IF(ABS('Stage Ledger'!J127-MIN('Stage Ledger'!F127,'Stage Ledger'!H127,'Stage Ledger'!I127))&lt;0.000001,1,0)</x:f>
        <x:v>1</x:v>
      </x:c>
      <x:c r="F944" s="21" t="n">
        <x:v>1</x:v>
      </x:c>
      <x:c r="G944" s="23" t="str">
        <x:f>IF(E944=F944,"PASS","FAIL")</x:f>
        <x:v>PASS</x:v>
      </x:c>
    </x:row>
    <x:row r="945">
      <x:c r="B945" s="21" t="str">
        <x:v>A00939</x:v>
      </x:c>
      <x:c r="C945" s="21" t="str">
        <x:v>stage</x:v>
      </x:c>
      <x:c r="D945" s="21" t="str">
        <x:v>stage 121 observed conservation</x:v>
      </x:c>
      <x:c r="E945" s="21" t="n">
        <x:f>IF(AND(ABS('Stage Ledger'!R127-IF(AND('Stage Ledger'!P127=1,'Stage Ledger'!Q127=1),MIN('Stage Ledger'!F127,'Stage Ledger'!M127),0))&lt;0.000001,'Stage Ledger'!S127=IF('Stage Ledger'!R127&gt;='Stage Ledger'!F127,"ADMITTED","NOT ADMITTED")),1,0)</x:f>
        <x:v>1</x:v>
      </x:c>
      <x:c r="F945" s="21" t="n">
        <x:v>1</x:v>
      </x:c>
      <x:c r="G945" s="23" t="str">
        <x:f>IF(E945=F945,"PASS","FAIL")</x:f>
        <x:v>PASS</x:v>
      </x:c>
    </x:row>
    <x:row r="946">
      <x:c r="B946" s="21" t="str">
        <x:v>A00940</x:v>
      </x:c>
      <x:c r="C946" s="21" t="str">
        <x:v>stage</x:v>
      </x:c>
      <x:c r="D946" s="21" t="str">
        <x:v>stage 122 planned conservation</x:v>
      </x:c>
      <x:c r="E946" s="21" t="n">
        <x:f>IF(ABS('Stage Ledger'!J128-MIN('Stage Ledger'!F128,'Stage Ledger'!H128,'Stage Ledger'!I128))&lt;0.000001,1,0)</x:f>
        <x:v>1</x:v>
      </x:c>
      <x:c r="F946" s="21" t="n">
        <x:v>1</x:v>
      </x:c>
      <x:c r="G946" s="23" t="str">
        <x:f>IF(E946=F946,"PASS","FAIL")</x:f>
        <x:v>PASS</x:v>
      </x:c>
    </x:row>
    <x:row r="947">
      <x:c r="B947" s="21" t="str">
        <x:v>A00941</x:v>
      </x:c>
      <x:c r="C947" s="21" t="str">
        <x:v>stage</x:v>
      </x:c>
      <x:c r="D947" s="21" t="str">
        <x:v>stage 122 observed conservation</x:v>
      </x:c>
      <x:c r="E947" s="21" t="n">
        <x:f>IF(AND(ABS('Stage Ledger'!R128-IF(AND('Stage Ledger'!P128=1,'Stage Ledger'!Q128=1),MIN('Stage Ledger'!F128,'Stage Ledger'!M128,'Stage Ledger'!R127),0))&lt;0.000001,'Stage Ledger'!S128=IF('Stage Ledger'!R128&gt;='Stage Ledger'!F128,"ADMITTED","NOT ADMITTED")),1,0)</x:f>
        <x:v>1</x:v>
      </x:c>
      <x:c r="F947" s="21" t="n">
        <x:v>1</x:v>
      </x:c>
      <x:c r="G947" s="23" t="str">
        <x:f>IF(E947=F947,"PASS","FAIL")</x:f>
        <x:v>PASS</x:v>
      </x:c>
    </x:row>
    <x:row r="948">
      <x:c r="B948" s="21" t="str">
        <x:v>A00942</x:v>
      </x:c>
      <x:c r="C948" s="21" t="str">
        <x:v>stage</x:v>
      </x:c>
      <x:c r="D948" s="21" t="str">
        <x:v>stage 123 planned conservation</x:v>
      </x:c>
      <x:c r="E948" s="21" t="n">
        <x:f>IF(ABS('Stage Ledger'!J129-MIN('Stage Ledger'!F129,'Stage Ledger'!H129,'Stage Ledger'!I129))&lt;0.000001,1,0)</x:f>
        <x:v>1</x:v>
      </x:c>
      <x:c r="F948" s="21" t="n">
        <x:v>1</x:v>
      </x:c>
      <x:c r="G948" s="23" t="str">
        <x:f>IF(E948=F948,"PASS","FAIL")</x:f>
        <x:v>PASS</x:v>
      </x:c>
    </x:row>
    <x:row r="949">
      <x:c r="B949" s="21" t="str">
        <x:v>A00943</x:v>
      </x:c>
      <x:c r="C949" s="21" t="str">
        <x:v>stage</x:v>
      </x:c>
      <x:c r="D949" s="21" t="str">
        <x:v>stage 123 observed conservation</x:v>
      </x:c>
      <x:c r="E949" s="21" t="n">
        <x:f>IF(AND(ABS('Stage Ledger'!R129-IF(AND('Stage Ledger'!P129=1,'Stage Ledger'!Q129=1),MIN('Stage Ledger'!F129,'Stage Ledger'!M129,'Stage Ledger'!R128),0))&lt;0.000001,'Stage Ledger'!S129=IF('Stage Ledger'!R129&gt;='Stage Ledger'!F129,"ADMITTED","NOT ADMITTED")),1,0)</x:f>
        <x:v>1</x:v>
      </x:c>
      <x:c r="F949" s="21" t="n">
        <x:v>1</x:v>
      </x:c>
      <x:c r="G949" s="23" t="str">
        <x:f>IF(E949=F949,"PASS","FAIL")</x:f>
        <x:v>PASS</x:v>
      </x:c>
    </x:row>
    <x:row r="950">
      <x:c r="B950" s="21" t="str">
        <x:v>A00944</x:v>
      </x:c>
      <x:c r="C950" s="21" t="str">
        <x:v>stage</x:v>
      </x:c>
      <x:c r="D950" s="21" t="str">
        <x:v>stage 124 planned conservation</x:v>
      </x:c>
      <x:c r="E950" s="21" t="n">
        <x:f>IF(ABS('Stage Ledger'!J130-MIN('Stage Ledger'!F130,'Stage Ledger'!H130,'Stage Ledger'!I130))&lt;0.000001,1,0)</x:f>
        <x:v>1</x:v>
      </x:c>
      <x:c r="F950" s="21" t="n">
        <x:v>1</x:v>
      </x:c>
      <x:c r="G950" s="23" t="str">
        <x:f>IF(E950=F950,"PASS","FAIL")</x:f>
        <x:v>PASS</x:v>
      </x:c>
    </x:row>
    <x:row r="951">
      <x:c r="B951" s="21" t="str">
        <x:v>A00945</x:v>
      </x:c>
      <x:c r="C951" s="21" t="str">
        <x:v>stage</x:v>
      </x:c>
      <x:c r="D951" s="21" t="str">
        <x:v>stage 124 observed conservation</x:v>
      </x:c>
      <x:c r="E951" s="21" t="n">
        <x:f>IF(AND(ABS('Stage Ledger'!R130-IF(AND('Stage Ledger'!P130=1,'Stage Ledger'!Q130=1),MIN('Stage Ledger'!F130,'Stage Ledger'!M130,'Stage Ledger'!R129),0))&lt;0.000001,'Stage Ledger'!S130=IF('Stage Ledger'!R130&gt;='Stage Ledger'!F130,"ADMITTED","NOT ADMITTED")),1,0)</x:f>
        <x:v>1</x:v>
      </x:c>
      <x:c r="F951" s="21" t="n">
        <x:v>1</x:v>
      </x:c>
      <x:c r="G951" s="23" t="str">
        <x:f>IF(E951=F951,"PASS","FAIL")</x:f>
        <x:v>PASS</x:v>
      </x:c>
    </x:row>
    <x:row r="952">
      <x:c r="B952" s="21" t="str">
        <x:v>A00946</x:v>
      </x:c>
      <x:c r="C952" s="21" t="str">
        <x:v>stage</x:v>
      </x:c>
      <x:c r="D952" s="21" t="str">
        <x:v>stage 125 planned conservation</x:v>
      </x:c>
      <x:c r="E952" s="21" t="n">
        <x:f>IF(ABS('Stage Ledger'!J131-MIN('Stage Ledger'!F131,'Stage Ledger'!H131,'Stage Ledger'!I131))&lt;0.000001,1,0)</x:f>
        <x:v>1</x:v>
      </x:c>
      <x:c r="F952" s="21" t="n">
        <x:v>1</x:v>
      </x:c>
      <x:c r="G952" s="23" t="str">
        <x:f>IF(E952=F952,"PASS","FAIL")</x:f>
        <x:v>PASS</x:v>
      </x:c>
    </x:row>
    <x:row r="953">
      <x:c r="B953" s="21" t="str">
        <x:v>A00947</x:v>
      </x:c>
      <x:c r="C953" s="21" t="str">
        <x:v>stage</x:v>
      </x:c>
      <x:c r="D953" s="21" t="str">
        <x:v>stage 125 observed conservation</x:v>
      </x:c>
      <x:c r="E953" s="21" t="n">
        <x:f>IF(AND(ABS('Stage Ledger'!R131-IF(AND('Stage Ledger'!P131=1,'Stage Ledger'!Q131=1),MIN('Stage Ledger'!F131,'Stage Ledger'!M131,'Stage Ledger'!R130),0))&lt;0.000001,'Stage Ledger'!S131=IF('Stage Ledger'!R131&gt;='Stage Ledger'!F131,"ADMITTED","NOT ADMITTED")),1,0)</x:f>
        <x:v>1</x:v>
      </x:c>
      <x:c r="F953" s="21" t="n">
        <x:v>1</x:v>
      </x:c>
      <x:c r="G953" s="23" t="str">
        <x:f>IF(E953=F953,"PASS","FAIL")</x:f>
        <x:v>PASS</x:v>
      </x:c>
    </x:row>
    <x:row r="954">
      <x:c r="B954" s="21" t="str">
        <x:v>A00948</x:v>
      </x:c>
      <x:c r="C954" s="21" t="str">
        <x:v>stage</x:v>
      </x:c>
      <x:c r="D954" s="21" t="str">
        <x:v>stage 126 planned conservation</x:v>
      </x:c>
      <x:c r="E954" s="21" t="n">
        <x:f>IF(ABS('Stage Ledger'!J132-MIN('Stage Ledger'!F132,'Stage Ledger'!H132,'Stage Ledger'!I132))&lt;0.000001,1,0)</x:f>
        <x:v>1</x:v>
      </x:c>
      <x:c r="F954" s="21" t="n">
        <x:v>1</x:v>
      </x:c>
      <x:c r="G954" s="23" t="str">
        <x:f>IF(E954=F954,"PASS","FAIL")</x:f>
        <x:v>PASS</x:v>
      </x:c>
    </x:row>
    <x:row r="955">
      <x:c r="B955" s="21" t="str">
        <x:v>A00949</x:v>
      </x:c>
      <x:c r="C955" s="21" t="str">
        <x:v>stage</x:v>
      </x:c>
      <x:c r="D955" s="21" t="str">
        <x:v>stage 126 observed conservation</x:v>
      </x:c>
      <x:c r="E955" s="21" t="n">
        <x:f>IF(AND(ABS('Stage Ledger'!R132-IF(AND('Stage Ledger'!P132=1,'Stage Ledger'!Q132=1),MIN('Stage Ledger'!F132,'Stage Ledger'!M132,'Stage Ledger'!R131),0))&lt;0.000001,'Stage Ledger'!S132=IF('Stage Ledger'!R132&gt;='Stage Ledger'!F132,"ADMITTED","NOT ADMITTED")),1,0)</x:f>
        <x:v>1</x:v>
      </x:c>
      <x:c r="F955" s="21" t="n">
        <x:v>1</x:v>
      </x:c>
      <x:c r="G955" s="23" t="str">
        <x:f>IF(E955=F955,"PASS","FAIL")</x:f>
        <x:v>PASS</x:v>
      </x:c>
    </x:row>
    <x:row r="956">
      <x:c r="B956" s="21" t="str">
        <x:v>A00950</x:v>
      </x:c>
      <x:c r="C956" s="21" t="str">
        <x:v>stage</x:v>
      </x:c>
      <x:c r="D956" s="21" t="str">
        <x:v>stage 127 planned conservation</x:v>
      </x:c>
      <x:c r="E956" s="21" t="n">
        <x:f>IF(ABS('Stage Ledger'!J133-MIN('Stage Ledger'!F133,'Stage Ledger'!H133,'Stage Ledger'!I133))&lt;0.000001,1,0)</x:f>
        <x:v>1</x:v>
      </x:c>
      <x:c r="F956" s="21" t="n">
        <x:v>1</x:v>
      </x:c>
      <x:c r="G956" s="23" t="str">
        <x:f>IF(E956=F956,"PASS","FAIL")</x:f>
        <x:v>PASS</x:v>
      </x:c>
    </x:row>
    <x:row r="957">
      <x:c r="B957" s="21" t="str">
        <x:v>A00951</x:v>
      </x:c>
      <x:c r="C957" s="21" t="str">
        <x:v>stage</x:v>
      </x:c>
      <x:c r="D957" s="21" t="str">
        <x:v>stage 127 observed conservation</x:v>
      </x:c>
      <x:c r="E957" s="21" t="n">
        <x:f>IF(AND(ABS('Stage Ledger'!R133-IF(AND('Stage Ledger'!P133=1,'Stage Ledger'!Q133=1),MIN('Stage Ledger'!F133,'Stage Ledger'!M133,'Stage Ledger'!R132),0))&lt;0.000001,'Stage Ledger'!S133=IF('Stage Ledger'!R133&gt;='Stage Ledger'!F133,"ADMITTED","NOT ADMITTED")),1,0)</x:f>
        <x:v>1</x:v>
      </x:c>
      <x:c r="F957" s="21" t="n">
        <x:v>1</x:v>
      </x:c>
      <x:c r="G957" s="23" t="str">
        <x:f>IF(E957=F957,"PASS","FAIL")</x:f>
        <x:v>PASS</x:v>
      </x:c>
    </x:row>
    <x:row r="958">
      <x:c r="B958" s="21" t="str">
        <x:v>A00952</x:v>
      </x:c>
      <x:c r="C958" s="21" t="str">
        <x:v>stage</x:v>
      </x:c>
      <x:c r="D958" s="21" t="str">
        <x:v>stage 128 planned conservation</x:v>
      </x:c>
      <x:c r="E958" s="21" t="n">
        <x:f>IF(ABS('Stage Ledger'!J134-MIN('Stage Ledger'!F134,'Stage Ledger'!H134,'Stage Ledger'!I134))&lt;0.000001,1,0)</x:f>
        <x:v>1</x:v>
      </x:c>
      <x:c r="F958" s="21" t="n">
        <x:v>1</x:v>
      </x:c>
      <x:c r="G958" s="23" t="str">
        <x:f>IF(E958=F958,"PASS","FAIL")</x:f>
        <x:v>PASS</x:v>
      </x:c>
    </x:row>
    <x:row r="959">
      <x:c r="B959" s="21" t="str">
        <x:v>A00953</x:v>
      </x:c>
      <x:c r="C959" s="21" t="str">
        <x:v>stage</x:v>
      </x:c>
      <x:c r="D959" s="21" t="str">
        <x:v>stage 128 observed conservation</x:v>
      </x:c>
      <x:c r="E959" s="21" t="n">
        <x:f>IF(AND(ABS('Stage Ledger'!R134-IF(AND('Stage Ledger'!P134=1,'Stage Ledger'!Q134=1),MIN('Stage Ledger'!F134,'Stage Ledger'!M134,'Stage Ledger'!R133),0))&lt;0.000001,'Stage Ledger'!S134=IF('Stage Ledger'!R134&gt;='Stage Ledger'!F134,"ADMITTED","NOT ADMITTED")),1,0)</x:f>
        <x:v>1</x:v>
      </x:c>
      <x:c r="F959" s="21" t="n">
        <x:v>1</x:v>
      </x:c>
      <x:c r="G959" s="23" t="str">
        <x:f>IF(E959=F959,"PASS","FAIL")</x:f>
        <x:v>PASS</x:v>
      </x:c>
    </x:row>
    <x:row r="960">
      <x:c r="B960" s="21" t="str">
        <x:v>A00954</x:v>
      </x:c>
      <x:c r="C960" s="21" t="str">
        <x:v>stage</x:v>
      </x:c>
      <x:c r="D960" s="21" t="str">
        <x:v>stage 129 planned conservation</x:v>
      </x:c>
      <x:c r="E960" s="21" t="n">
        <x:f>IF(ABS('Stage Ledger'!J135-MIN('Stage Ledger'!F135,'Stage Ledger'!H135,'Stage Ledger'!I135))&lt;0.000001,1,0)</x:f>
        <x:v>1</x:v>
      </x:c>
      <x:c r="F960" s="21" t="n">
        <x:v>1</x:v>
      </x:c>
      <x:c r="G960" s="23" t="str">
        <x:f>IF(E960=F960,"PASS","FAIL")</x:f>
        <x:v>PASS</x:v>
      </x:c>
    </x:row>
    <x:row r="961">
      <x:c r="B961" s="21" t="str">
        <x:v>A00955</x:v>
      </x:c>
      <x:c r="C961" s="21" t="str">
        <x:v>stage</x:v>
      </x:c>
      <x:c r="D961" s="21" t="str">
        <x:v>stage 129 observed conservation</x:v>
      </x:c>
      <x:c r="E961" s="21" t="n">
        <x:f>IF(AND(ABS('Stage Ledger'!R135-IF(AND('Stage Ledger'!P135=1,'Stage Ledger'!Q135=1),MIN('Stage Ledger'!F135,'Stage Ledger'!M135,'Stage Ledger'!R134),0))&lt;0.000001,'Stage Ledger'!S135=IF('Stage Ledger'!R135&gt;='Stage Ledger'!F135,"ADMITTED","NOT ADMITTED")),1,0)</x:f>
        <x:v>1</x:v>
      </x:c>
      <x:c r="F961" s="21" t="n">
        <x:v>1</x:v>
      </x:c>
      <x:c r="G961" s="23" t="str">
        <x:f>IF(E961=F961,"PASS","FAIL")</x:f>
        <x:v>PASS</x:v>
      </x:c>
    </x:row>
    <x:row r="962">
      <x:c r="B962" s="21" t="str">
        <x:v>A00956</x:v>
      </x:c>
      <x:c r="C962" s="21" t="str">
        <x:v>stage</x:v>
      </x:c>
      <x:c r="D962" s="21" t="str">
        <x:v>stage 130 planned conservation</x:v>
      </x:c>
      <x:c r="E962" s="21" t="n">
        <x:f>IF(ABS('Stage Ledger'!J136-MIN('Stage Ledger'!F136,'Stage Ledger'!H136,'Stage Ledger'!I136))&lt;0.000001,1,0)</x:f>
        <x:v>1</x:v>
      </x:c>
      <x:c r="F962" s="21" t="n">
        <x:v>1</x:v>
      </x:c>
      <x:c r="G962" s="23" t="str">
        <x:f>IF(E962=F962,"PASS","FAIL")</x:f>
        <x:v>PASS</x:v>
      </x:c>
    </x:row>
    <x:row r="963">
      <x:c r="B963" s="21" t="str">
        <x:v>A00957</x:v>
      </x:c>
      <x:c r="C963" s="21" t="str">
        <x:v>stage</x:v>
      </x:c>
      <x:c r="D963" s="21" t="str">
        <x:v>stage 130 observed conservation</x:v>
      </x:c>
      <x:c r="E963" s="21" t="n">
        <x:f>IF(AND(ABS('Stage Ledger'!R136-IF(AND('Stage Ledger'!P136=1,'Stage Ledger'!Q136=1),MIN('Stage Ledger'!F136,'Stage Ledger'!M136,'Stage Ledger'!R135),0))&lt;0.000001,'Stage Ledger'!S136=IF('Stage Ledger'!R136&gt;='Stage Ledger'!F136,"ADMITTED","NOT ADMITTED")),1,0)</x:f>
        <x:v>1</x:v>
      </x:c>
      <x:c r="F963" s="21" t="n">
        <x:v>1</x:v>
      </x:c>
      <x:c r="G963" s="23" t="str">
        <x:f>IF(E963=F963,"PASS","FAIL")</x:f>
        <x:v>PASS</x:v>
      </x:c>
    </x:row>
    <x:row r="964">
      <x:c r="B964" s="21" t="str">
        <x:v>A00958</x:v>
      </x:c>
      <x:c r="C964" s="21" t="str">
        <x:v>stage</x:v>
      </x:c>
      <x:c r="D964" s="21" t="str">
        <x:v>stage 131 planned conservation</x:v>
      </x:c>
      <x:c r="E964" s="21" t="n">
        <x:f>IF(ABS('Stage Ledger'!J137-MIN('Stage Ledger'!F137,'Stage Ledger'!H137,'Stage Ledger'!I137))&lt;0.000001,1,0)</x:f>
        <x:v>1</x:v>
      </x:c>
      <x:c r="F964" s="21" t="n">
        <x:v>1</x:v>
      </x:c>
      <x:c r="G964" s="23" t="str">
        <x:f>IF(E964=F964,"PASS","FAIL")</x:f>
        <x:v>PASS</x:v>
      </x:c>
    </x:row>
    <x:row r="965">
      <x:c r="B965" s="21" t="str">
        <x:v>A00959</x:v>
      </x:c>
      <x:c r="C965" s="21" t="str">
        <x:v>stage</x:v>
      </x:c>
      <x:c r="D965" s="21" t="str">
        <x:v>stage 131 observed conservation</x:v>
      </x:c>
      <x:c r="E965" s="21" t="n">
        <x:f>IF(AND(ABS('Stage Ledger'!R137-IF(AND('Stage Ledger'!P137=1,'Stage Ledger'!Q137=1),MIN('Stage Ledger'!F137,'Stage Ledger'!M137,'Stage Ledger'!R136),0))&lt;0.000001,'Stage Ledger'!S137=IF('Stage Ledger'!R137&gt;='Stage Ledger'!F137,"ADMITTED","NOT ADMITTED")),1,0)</x:f>
        <x:v>1</x:v>
      </x:c>
      <x:c r="F965" s="21" t="n">
        <x:v>1</x:v>
      </x:c>
      <x:c r="G965" s="23" t="str">
        <x:f>IF(E965=F965,"PASS","FAIL")</x:f>
        <x:v>PASS</x:v>
      </x:c>
    </x:row>
    <x:row r="966">
      <x:c r="B966" s="21" t="str">
        <x:v>A00960</x:v>
      </x:c>
      <x:c r="C966" s="21" t="str">
        <x:v>stage</x:v>
      </x:c>
      <x:c r="D966" s="21" t="str">
        <x:v>stage 132 planned conservation</x:v>
      </x:c>
      <x:c r="E966" s="21" t="n">
        <x:f>IF(ABS('Stage Ledger'!J138-MIN('Stage Ledger'!F138,'Stage Ledger'!H138,'Stage Ledger'!I138))&lt;0.000001,1,0)</x:f>
        <x:v>1</x:v>
      </x:c>
      <x:c r="F966" s="21" t="n">
        <x:v>1</x:v>
      </x:c>
      <x:c r="G966" s="23" t="str">
        <x:f>IF(E966=F966,"PASS","FAIL")</x:f>
        <x:v>PASS</x:v>
      </x:c>
    </x:row>
    <x:row r="967">
      <x:c r="B967" s="21" t="str">
        <x:v>A00961</x:v>
      </x:c>
      <x:c r="C967" s="21" t="str">
        <x:v>stage</x:v>
      </x:c>
      <x:c r="D967" s="21" t="str">
        <x:v>stage 132 observed conservation</x:v>
      </x:c>
      <x:c r="E967" s="21" t="n">
        <x:f>IF(AND(ABS('Stage Ledger'!R138-IF(AND('Stage Ledger'!P138=1,'Stage Ledger'!Q138=1),MIN('Stage Ledger'!F138,'Stage Ledger'!M138,'Stage Ledger'!R137),0))&lt;0.000001,'Stage Ledger'!S138=IF('Stage Ledger'!R138&gt;='Stage Ledger'!F138,"ADMITTED","NOT ADMITTED")),1,0)</x:f>
        <x:v>1</x:v>
      </x:c>
      <x:c r="F967" s="21" t="n">
        <x:v>1</x:v>
      </x:c>
      <x:c r="G967" s="23" t="str">
        <x:f>IF(E967=F967,"PASS","FAIL")</x:f>
        <x:v>PASS</x:v>
      </x:c>
    </x:row>
    <x:row r="968">
      <x:c r="B968" s="21" t="str">
        <x:v>A00962</x:v>
      </x:c>
      <x:c r="C968" s="21" t="str">
        <x:v>stage</x:v>
      </x:c>
      <x:c r="D968" s="21" t="str">
        <x:v>stage 133 planned conservation</x:v>
      </x:c>
      <x:c r="E968" s="21" t="n">
        <x:f>IF(ABS('Stage Ledger'!J139-MIN('Stage Ledger'!F139,'Stage Ledger'!H139,'Stage Ledger'!I139))&lt;0.000001,1,0)</x:f>
        <x:v>1</x:v>
      </x:c>
      <x:c r="F968" s="21" t="n">
        <x:v>1</x:v>
      </x:c>
      <x:c r="G968" s="23" t="str">
        <x:f>IF(E968=F968,"PASS","FAIL")</x:f>
        <x:v>PASS</x:v>
      </x:c>
    </x:row>
    <x:row r="969">
      <x:c r="B969" s="21" t="str">
        <x:v>A00963</x:v>
      </x:c>
      <x:c r="C969" s="21" t="str">
        <x:v>stage</x:v>
      </x:c>
      <x:c r="D969" s="21" t="str">
        <x:v>stage 133 observed conservation</x:v>
      </x:c>
      <x:c r="E969" s="21" t="n">
        <x:f>IF(AND(ABS('Stage Ledger'!R139-IF(AND('Stage Ledger'!P139=1,'Stage Ledger'!Q139=1),MIN('Stage Ledger'!F139,'Stage Ledger'!M139),0))&lt;0.000001,'Stage Ledger'!S139=IF('Stage Ledger'!R139&gt;='Stage Ledger'!F139,"ADMITTED","NOT ADMITTED")),1,0)</x:f>
        <x:v>1</x:v>
      </x:c>
      <x:c r="F969" s="21" t="n">
        <x:v>1</x:v>
      </x:c>
      <x:c r="G969" s="23" t="str">
        <x:f>IF(E969=F969,"PASS","FAIL")</x:f>
        <x:v>PASS</x:v>
      </x:c>
    </x:row>
    <x:row r="970">
      <x:c r="B970" s="21" t="str">
        <x:v>A00964</x:v>
      </x:c>
      <x:c r="C970" s="21" t="str">
        <x:v>stage</x:v>
      </x:c>
      <x:c r="D970" s="21" t="str">
        <x:v>stage 134 planned conservation</x:v>
      </x:c>
      <x:c r="E970" s="21" t="n">
        <x:f>IF(ABS('Stage Ledger'!J140-MIN('Stage Ledger'!F140,'Stage Ledger'!H140,'Stage Ledger'!I140))&lt;0.000001,1,0)</x:f>
        <x:v>1</x:v>
      </x:c>
      <x:c r="F970" s="21" t="n">
        <x:v>1</x:v>
      </x:c>
      <x:c r="G970" s="23" t="str">
        <x:f>IF(E970=F970,"PASS","FAIL")</x:f>
        <x:v>PASS</x:v>
      </x:c>
    </x:row>
    <x:row r="971">
      <x:c r="B971" s="21" t="str">
        <x:v>A00965</x:v>
      </x:c>
      <x:c r="C971" s="21" t="str">
        <x:v>stage</x:v>
      </x:c>
      <x:c r="D971" s="21" t="str">
        <x:v>stage 134 observed conservation</x:v>
      </x:c>
      <x:c r="E971" s="21" t="n">
        <x:f>IF(AND(ABS('Stage Ledger'!R140-IF(AND('Stage Ledger'!P140=1,'Stage Ledger'!Q140=1),MIN('Stage Ledger'!F140,'Stage Ledger'!M140,'Stage Ledger'!R139),0))&lt;0.000001,'Stage Ledger'!S140=IF('Stage Ledger'!R140&gt;='Stage Ledger'!F140,"ADMITTED","NOT ADMITTED")),1,0)</x:f>
        <x:v>1</x:v>
      </x:c>
      <x:c r="F971" s="21" t="n">
        <x:v>1</x:v>
      </x:c>
      <x:c r="G971" s="23" t="str">
        <x:f>IF(E971=F971,"PASS","FAIL")</x:f>
        <x:v>PASS</x:v>
      </x:c>
    </x:row>
    <x:row r="972">
      <x:c r="B972" s="21" t="str">
        <x:v>A00966</x:v>
      </x:c>
      <x:c r="C972" s="21" t="str">
        <x:v>stage</x:v>
      </x:c>
      <x:c r="D972" s="21" t="str">
        <x:v>stage 135 planned conservation</x:v>
      </x:c>
      <x:c r="E972" s="21" t="n">
        <x:f>IF(ABS('Stage Ledger'!J141-MIN('Stage Ledger'!F141,'Stage Ledger'!H141,'Stage Ledger'!I141))&lt;0.000001,1,0)</x:f>
        <x:v>1</x:v>
      </x:c>
      <x:c r="F972" s="21" t="n">
        <x:v>1</x:v>
      </x:c>
      <x:c r="G972" s="23" t="str">
        <x:f>IF(E972=F972,"PASS","FAIL")</x:f>
        <x:v>PASS</x:v>
      </x:c>
    </x:row>
    <x:row r="973">
      <x:c r="B973" s="21" t="str">
        <x:v>A00967</x:v>
      </x:c>
      <x:c r="C973" s="21" t="str">
        <x:v>stage</x:v>
      </x:c>
      <x:c r="D973" s="21" t="str">
        <x:v>stage 135 observed conservation</x:v>
      </x:c>
      <x:c r="E973" s="21" t="n">
        <x:f>IF(AND(ABS('Stage Ledger'!R141-IF(AND('Stage Ledger'!P141=1,'Stage Ledger'!Q141=1),MIN('Stage Ledger'!F141,'Stage Ledger'!M141,'Stage Ledger'!R140),0))&lt;0.000001,'Stage Ledger'!S141=IF('Stage Ledger'!R141&gt;='Stage Ledger'!F141,"ADMITTED","NOT ADMITTED")),1,0)</x:f>
        <x:v>1</x:v>
      </x:c>
      <x:c r="F973" s="21" t="n">
        <x:v>1</x:v>
      </x:c>
      <x:c r="G973" s="23" t="str">
        <x:f>IF(E973=F973,"PASS","FAIL")</x:f>
        <x:v>PASS</x:v>
      </x:c>
    </x:row>
    <x:row r="974">
      <x:c r="B974" s="21" t="str">
        <x:v>A00968</x:v>
      </x:c>
      <x:c r="C974" s="21" t="str">
        <x:v>stage</x:v>
      </x:c>
      <x:c r="D974" s="21" t="str">
        <x:v>stage 136 planned conservation</x:v>
      </x:c>
      <x:c r="E974" s="21" t="n">
        <x:f>IF(ABS('Stage Ledger'!J142-MIN('Stage Ledger'!F142,'Stage Ledger'!H142,'Stage Ledger'!I142))&lt;0.000001,1,0)</x:f>
        <x:v>1</x:v>
      </x:c>
      <x:c r="F974" s="21" t="n">
        <x:v>1</x:v>
      </x:c>
      <x:c r="G974" s="23" t="str">
        <x:f>IF(E974=F974,"PASS","FAIL")</x:f>
        <x:v>PASS</x:v>
      </x:c>
    </x:row>
    <x:row r="975">
      <x:c r="B975" s="21" t="str">
        <x:v>A00969</x:v>
      </x:c>
      <x:c r="C975" s="21" t="str">
        <x:v>stage</x:v>
      </x:c>
      <x:c r="D975" s="21" t="str">
        <x:v>stage 136 observed conservation</x:v>
      </x:c>
      <x:c r="E975" s="21" t="n">
        <x:f>IF(AND(ABS('Stage Ledger'!R142-IF(AND('Stage Ledger'!P142=1,'Stage Ledger'!Q142=1),MIN('Stage Ledger'!F142,'Stage Ledger'!M142,'Stage Ledger'!R141),0))&lt;0.000001,'Stage Ledger'!S142=IF('Stage Ledger'!R142&gt;='Stage Ledger'!F142,"ADMITTED","NOT ADMITTED")),1,0)</x:f>
        <x:v>1</x:v>
      </x:c>
      <x:c r="F975" s="21" t="n">
        <x:v>1</x:v>
      </x:c>
      <x:c r="G975" s="23" t="str">
        <x:f>IF(E975=F975,"PASS","FAIL")</x:f>
        <x:v>PASS</x:v>
      </x:c>
    </x:row>
    <x:row r="976">
      <x:c r="B976" s="21" t="str">
        <x:v>A00970</x:v>
      </x:c>
      <x:c r="C976" s="21" t="str">
        <x:v>stage</x:v>
      </x:c>
      <x:c r="D976" s="21" t="str">
        <x:v>stage 137 planned conservation</x:v>
      </x:c>
      <x:c r="E976" s="21" t="n">
        <x:f>IF(ABS('Stage Ledger'!J143-MIN('Stage Ledger'!F143,'Stage Ledger'!H143,'Stage Ledger'!I143))&lt;0.000001,1,0)</x:f>
        <x:v>1</x:v>
      </x:c>
      <x:c r="F976" s="21" t="n">
        <x:v>1</x:v>
      </x:c>
      <x:c r="G976" s="23" t="str">
        <x:f>IF(E976=F976,"PASS","FAIL")</x:f>
        <x:v>PASS</x:v>
      </x:c>
    </x:row>
    <x:row r="977">
      <x:c r="B977" s="21" t="str">
        <x:v>A00971</x:v>
      </x:c>
      <x:c r="C977" s="21" t="str">
        <x:v>stage</x:v>
      </x:c>
      <x:c r="D977" s="21" t="str">
        <x:v>stage 137 observed conservation</x:v>
      </x:c>
      <x:c r="E977" s="21" t="n">
        <x:f>IF(AND(ABS('Stage Ledger'!R143-IF(AND('Stage Ledger'!P143=1,'Stage Ledger'!Q143=1),MIN('Stage Ledger'!F143,'Stage Ledger'!M143,'Stage Ledger'!R142),0))&lt;0.000001,'Stage Ledger'!S143=IF('Stage Ledger'!R143&gt;='Stage Ledger'!F143,"ADMITTED","NOT ADMITTED")),1,0)</x:f>
        <x:v>1</x:v>
      </x:c>
      <x:c r="F977" s="21" t="n">
        <x:v>1</x:v>
      </x:c>
      <x:c r="G977" s="23" t="str">
        <x:f>IF(E977=F977,"PASS","FAIL")</x:f>
        <x:v>PASS</x:v>
      </x:c>
    </x:row>
    <x:row r="978">
      <x:c r="B978" s="21" t="str">
        <x:v>A00972</x:v>
      </x:c>
      <x:c r="C978" s="21" t="str">
        <x:v>stage</x:v>
      </x:c>
      <x:c r="D978" s="21" t="str">
        <x:v>stage 138 planned conservation</x:v>
      </x:c>
      <x:c r="E978" s="21" t="n">
        <x:f>IF(ABS('Stage Ledger'!J144-MIN('Stage Ledger'!F144,'Stage Ledger'!H144,'Stage Ledger'!I144))&lt;0.000001,1,0)</x:f>
        <x:v>1</x:v>
      </x:c>
      <x:c r="F978" s="21" t="n">
        <x:v>1</x:v>
      </x:c>
      <x:c r="G978" s="23" t="str">
        <x:f>IF(E978=F978,"PASS","FAIL")</x:f>
        <x:v>PASS</x:v>
      </x:c>
    </x:row>
    <x:row r="979">
      <x:c r="B979" s="21" t="str">
        <x:v>A00973</x:v>
      </x:c>
      <x:c r="C979" s="21" t="str">
        <x:v>stage</x:v>
      </x:c>
      <x:c r="D979" s="21" t="str">
        <x:v>stage 138 observed conservation</x:v>
      </x:c>
      <x:c r="E979" s="21" t="n">
        <x:f>IF(AND(ABS('Stage Ledger'!R144-IF(AND('Stage Ledger'!P144=1,'Stage Ledger'!Q144=1),MIN('Stage Ledger'!F144,'Stage Ledger'!M144,'Stage Ledger'!R143),0))&lt;0.000001,'Stage Ledger'!S144=IF('Stage Ledger'!R144&gt;='Stage Ledger'!F144,"ADMITTED","NOT ADMITTED")),1,0)</x:f>
        <x:v>1</x:v>
      </x:c>
      <x:c r="F979" s="21" t="n">
        <x:v>1</x:v>
      </x:c>
      <x:c r="G979" s="23" t="str">
        <x:f>IF(E979=F979,"PASS","FAIL")</x:f>
        <x:v>PASS</x:v>
      </x:c>
    </x:row>
    <x:row r="980">
      <x:c r="B980" s="21" t="str">
        <x:v>A00974</x:v>
      </x:c>
      <x:c r="C980" s="21" t="str">
        <x:v>stage</x:v>
      </x:c>
      <x:c r="D980" s="21" t="str">
        <x:v>stage 139 planned conservation</x:v>
      </x:c>
      <x:c r="E980" s="21" t="n">
        <x:f>IF(ABS('Stage Ledger'!J145-MIN('Stage Ledger'!F145,'Stage Ledger'!H145,'Stage Ledger'!I145))&lt;0.000001,1,0)</x:f>
        <x:v>1</x:v>
      </x:c>
      <x:c r="F980" s="21" t="n">
        <x:v>1</x:v>
      </x:c>
      <x:c r="G980" s="23" t="str">
        <x:f>IF(E980=F980,"PASS","FAIL")</x:f>
        <x:v>PASS</x:v>
      </x:c>
    </x:row>
    <x:row r="981">
      <x:c r="B981" s="21" t="str">
        <x:v>A00975</x:v>
      </x:c>
      <x:c r="C981" s="21" t="str">
        <x:v>stage</x:v>
      </x:c>
      <x:c r="D981" s="21" t="str">
        <x:v>stage 139 observed conservation</x:v>
      </x:c>
      <x:c r="E981" s="21" t="n">
        <x:f>IF(AND(ABS('Stage Ledger'!R145-IF(AND('Stage Ledger'!P145=1,'Stage Ledger'!Q145=1),MIN('Stage Ledger'!F145,'Stage Ledger'!M145,'Stage Ledger'!R144),0))&lt;0.000001,'Stage Ledger'!S145=IF('Stage Ledger'!R145&gt;='Stage Ledger'!F145,"ADMITTED","NOT ADMITTED")),1,0)</x:f>
        <x:v>1</x:v>
      </x:c>
      <x:c r="F981" s="21" t="n">
        <x:v>1</x:v>
      </x:c>
      <x:c r="G981" s="23" t="str">
        <x:f>IF(E981=F981,"PASS","FAIL")</x:f>
        <x:v>PASS</x:v>
      </x:c>
    </x:row>
    <x:row r="982">
      <x:c r="B982" s="21" t="str">
        <x:v>A00976</x:v>
      </x:c>
      <x:c r="C982" s="21" t="str">
        <x:v>stage</x:v>
      </x:c>
      <x:c r="D982" s="21" t="str">
        <x:v>stage 140 planned conservation</x:v>
      </x:c>
      <x:c r="E982" s="21" t="n">
        <x:f>IF(ABS('Stage Ledger'!J146-MIN('Stage Ledger'!F146,'Stage Ledger'!H146,'Stage Ledger'!I146))&lt;0.000001,1,0)</x:f>
        <x:v>1</x:v>
      </x:c>
      <x:c r="F982" s="21" t="n">
        <x:v>1</x:v>
      </x:c>
      <x:c r="G982" s="23" t="str">
        <x:f>IF(E982=F982,"PASS","FAIL")</x:f>
        <x:v>PASS</x:v>
      </x:c>
    </x:row>
    <x:row r="983">
      <x:c r="B983" s="21" t="str">
        <x:v>A00977</x:v>
      </x:c>
      <x:c r="C983" s="21" t="str">
        <x:v>stage</x:v>
      </x:c>
      <x:c r="D983" s="21" t="str">
        <x:v>stage 140 observed conservation</x:v>
      </x:c>
      <x:c r="E983" s="21" t="n">
        <x:f>IF(AND(ABS('Stage Ledger'!R146-IF(AND('Stage Ledger'!P146=1,'Stage Ledger'!Q146=1),MIN('Stage Ledger'!F146,'Stage Ledger'!M146,'Stage Ledger'!R145),0))&lt;0.000001,'Stage Ledger'!S146=IF('Stage Ledger'!R146&gt;='Stage Ledger'!F146,"ADMITTED","NOT ADMITTED")),1,0)</x:f>
        <x:v>1</x:v>
      </x:c>
      <x:c r="F983" s="21" t="n">
        <x:v>1</x:v>
      </x:c>
      <x:c r="G983" s="23" t="str">
        <x:f>IF(E983=F983,"PASS","FAIL")</x:f>
        <x:v>PASS</x:v>
      </x:c>
    </x:row>
    <x:row r="984">
      <x:c r="B984" s="21" t="str">
        <x:v>A00978</x:v>
      </x:c>
      <x:c r="C984" s="21" t="str">
        <x:v>stage</x:v>
      </x:c>
      <x:c r="D984" s="21" t="str">
        <x:v>stage 141 planned conservation</x:v>
      </x:c>
      <x:c r="E984" s="21" t="n">
        <x:f>IF(ABS('Stage Ledger'!J147-MIN('Stage Ledger'!F147,'Stage Ledger'!H147,'Stage Ledger'!I147))&lt;0.000001,1,0)</x:f>
        <x:v>1</x:v>
      </x:c>
      <x:c r="F984" s="21" t="n">
        <x:v>1</x:v>
      </x:c>
      <x:c r="G984" s="23" t="str">
        <x:f>IF(E984=F984,"PASS","FAIL")</x:f>
        <x:v>PASS</x:v>
      </x:c>
    </x:row>
    <x:row r="985">
      <x:c r="B985" s="21" t="str">
        <x:v>A00979</x:v>
      </x:c>
      <x:c r="C985" s="21" t="str">
        <x:v>stage</x:v>
      </x:c>
      <x:c r="D985" s="21" t="str">
        <x:v>stage 141 observed conservation</x:v>
      </x:c>
      <x:c r="E985" s="21" t="n">
        <x:f>IF(AND(ABS('Stage Ledger'!R147-IF(AND('Stage Ledger'!P147=1,'Stage Ledger'!Q147=1),MIN('Stage Ledger'!F147,'Stage Ledger'!M147,'Stage Ledger'!R146),0))&lt;0.000001,'Stage Ledger'!S147=IF('Stage Ledger'!R147&gt;='Stage Ledger'!F147,"ADMITTED","NOT ADMITTED")),1,0)</x:f>
        <x:v>1</x:v>
      </x:c>
      <x:c r="F985" s="21" t="n">
        <x:v>1</x:v>
      </x:c>
      <x:c r="G985" s="23" t="str">
        <x:f>IF(E985=F985,"PASS","FAIL")</x:f>
        <x:v>PASS</x:v>
      </x:c>
    </x:row>
    <x:row r="986">
      <x:c r="B986" s="21" t="str">
        <x:v>A00980</x:v>
      </x:c>
      <x:c r="C986" s="21" t="str">
        <x:v>stage</x:v>
      </x:c>
      <x:c r="D986" s="21" t="str">
        <x:v>stage 142 planned conservation</x:v>
      </x:c>
      <x:c r="E986" s="21" t="n">
        <x:f>IF(ABS('Stage Ledger'!J148-MIN('Stage Ledger'!F148,'Stage Ledger'!H148,'Stage Ledger'!I148))&lt;0.000001,1,0)</x:f>
        <x:v>1</x:v>
      </x:c>
      <x:c r="F986" s="21" t="n">
        <x:v>1</x:v>
      </x:c>
      <x:c r="G986" s="23" t="str">
        <x:f>IF(E986=F986,"PASS","FAIL")</x:f>
        <x:v>PASS</x:v>
      </x:c>
    </x:row>
    <x:row r="987">
      <x:c r="B987" s="21" t="str">
        <x:v>A00981</x:v>
      </x:c>
      <x:c r="C987" s="21" t="str">
        <x:v>stage</x:v>
      </x:c>
      <x:c r="D987" s="21" t="str">
        <x:v>stage 142 observed conservation</x:v>
      </x:c>
      <x:c r="E987" s="21" t="n">
        <x:f>IF(AND(ABS('Stage Ledger'!R148-IF(AND('Stage Ledger'!P148=1,'Stage Ledger'!Q148=1),MIN('Stage Ledger'!F148,'Stage Ledger'!M148,'Stage Ledger'!R147),0))&lt;0.000001,'Stage Ledger'!S148=IF('Stage Ledger'!R148&gt;='Stage Ledger'!F148,"ADMITTED","NOT ADMITTED")),1,0)</x:f>
        <x:v>1</x:v>
      </x:c>
      <x:c r="F987" s="21" t="n">
        <x:v>1</x:v>
      </x:c>
      <x:c r="G987" s="23" t="str">
        <x:f>IF(E987=F987,"PASS","FAIL")</x:f>
        <x:v>PASS</x:v>
      </x:c>
    </x:row>
    <x:row r="988">
      <x:c r="B988" s="21" t="str">
        <x:v>A00982</x:v>
      </x:c>
      <x:c r="C988" s="21" t="str">
        <x:v>stage</x:v>
      </x:c>
      <x:c r="D988" s="21" t="str">
        <x:v>stage 143 planned conservation</x:v>
      </x:c>
      <x:c r="E988" s="21" t="n">
        <x:f>IF(ABS('Stage Ledger'!J149-MIN('Stage Ledger'!F149,'Stage Ledger'!H149,'Stage Ledger'!I149))&lt;0.000001,1,0)</x:f>
        <x:v>1</x:v>
      </x:c>
      <x:c r="F988" s="21" t="n">
        <x:v>1</x:v>
      </x:c>
      <x:c r="G988" s="23" t="str">
        <x:f>IF(E988=F988,"PASS","FAIL")</x:f>
        <x:v>PASS</x:v>
      </x:c>
    </x:row>
    <x:row r="989">
      <x:c r="B989" s="21" t="str">
        <x:v>A00983</x:v>
      </x:c>
      <x:c r="C989" s="21" t="str">
        <x:v>stage</x:v>
      </x:c>
      <x:c r="D989" s="21" t="str">
        <x:v>stage 143 observed conservation</x:v>
      </x:c>
      <x:c r="E989" s="21" t="n">
        <x:f>IF(AND(ABS('Stage Ledger'!R149-IF(AND('Stage Ledger'!P149=1,'Stage Ledger'!Q149=1),MIN('Stage Ledger'!F149,'Stage Ledger'!M149,'Stage Ledger'!R148),0))&lt;0.000001,'Stage Ledger'!S149=IF('Stage Ledger'!R149&gt;='Stage Ledger'!F149,"ADMITTED","NOT ADMITTED")),1,0)</x:f>
        <x:v>1</x:v>
      </x:c>
      <x:c r="F989" s="21" t="n">
        <x:v>1</x:v>
      </x:c>
      <x:c r="G989" s="23" t="str">
        <x:f>IF(E989=F989,"PASS","FAIL")</x:f>
        <x:v>PASS</x:v>
      </x:c>
    </x:row>
    <x:row r="990">
      <x:c r="B990" s="21" t="str">
        <x:v>A00984</x:v>
      </x:c>
      <x:c r="C990" s="21" t="str">
        <x:v>stage</x:v>
      </x:c>
      <x:c r="D990" s="21" t="str">
        <x:v>stage 144 planned conservation</x:v>
      </x:c>
      <x:c r="E990" s="21" t="n">
        <x:f>IF(ABS('Stage Ledger'!J150-MIN('Stage Ledger'!F150,'Stage Ledger'!H150,'Stage Ledger'!I150))&lt;0.000001,1,0)</x:f>
        <x:v>1</x:v>
      </x:c>
      <x:c r="F990" s="21" t="n">
        <x:v>1</x:v>
      </x:c>
      <x:c r="G990" s="23" t="str">
        <x:f>IF(E990=F990,"PASS","FAIL")</x:f>
        <x:v>PASS</x:v>
      </x:c>
    </x:row>
    <x:row r="991">
      <x:c r="B991" s="21" t="str">
        <x:v>A00985</x:v>
      </x:c>
      <x:c r="C991" s="21" t="str">
        <x:v>stage</x:v>
      </x:c>
      <x:c r="D991" s="21" t="str">
        <x:v>stage 144 observed conservation</x:v>
      </x:c>
      <x:c r="E991" s="21" t="n">
        <x:f>IF(AND(ABS('Stage Ledger'!R150-IF(AND('Stage Ledger'!P150=1,'Stage Ledger'!Q150=1),MIN('Stage Ledger'!F150,'Stage Ledger'!M150,'Stage Ledger'!R149),0))&lt;0.000001,'Stage Ledger'!S150=IF('Stage Ledger'!R150&gt;='Stage Ledger'!F150,"ADMITTED","NOT ADMITTED")),1,0)</x:f>
        <x:v>1</x:v>
      </x:c>
      <x:c r="F991" s="21" t="n">
        <x:v>1</x:v>
      </x:c>
      <x:c r="G991" s="23" t="str">
        <x:f>IF(E991=F991,"PASS","FAIL")</x:f>
        <x:v>PASS</x:v>
      </x:c>
    </x:row>
    <x:row r="992">
      <x:c r="B992" s="21" t="str">
        <x:v>A00986</x:v>
      </x:c>
      <x:c r="C992" s="21" t="str">
        <x:v>stage</x:v>
      </x:c>
      <x:c r="D992" s="21" t="str">
        <x:v>stage 145 planned conservation</x:v>
      </x:c>
      <x:c r="E992" s="21" t="n">
        <x:f>IF(ABS('Stage Ledger'!J151-MIN('Stage Ledger'!F151,'Stage Ledger'!H151,'Stage Ledger'!I151))&lt;0.000001,1,0)</x:f>
        <x:v>1</x:v>
      </x:c>
      <x:c r="F992" s="21" t="n">
        <x:v>1</x:v>
      </x:c>
      <x:c r="G992" s="23" t="str">
        <x:f>IF(E992=F992,"PASS","FAIL")</x:f>
        <x:v>PASS</x:v>
      </x:c>
    </x:row>
    <x:row r="993">
      <x:c r="B993" s="21" t="str">
        <x:v>A00987</x:v>
      </x:c>
      <x:c r="C993" s="21" t="str">
        <x:v>stage</x:v>
      </x:c>
      <x:c r="D993" s="21" t="str">
        <x:v>stage 145 observed conservation</x:v>
      </x:c>
      <x:c r="E993" s="21" t="n">
        <x:f>IF(AND(ABS('Stage Ledger'!R151-IF(AND('Stage Ledger'!P151=1,'Stage Ledger'!Q151=1),MIN('Stage Ledger'!F151,'Stage Ledger'!M151),0))&lt;0.000001,'Stage Ledger'!S151=IF('Stage Ledger'!R151&gt;='Stage Ledger'!F151,"ADMITTED","NOT ADMITTED")),1,0)</x:f>
        <x:v>1</x:v>
      </x:c>
      <x:c r="F993" s="21" t="n">
        <x:v>1</x:v>
      </x:c>
      <x:c r="G993" s="23" t="str">
        <x:f>IF(E993=F993,"PASS","FAIL")</x:f>
        <x:v>PASS</x:v>
      </x:c>
    </x:row>
    <x:row r="994">
      <x:c r="B994" s="21" t="str">
        <x:v>A00988</x:v>
      </x:c>
      <x:c r="C994" s="21" t="str">
        <x:v>stage</x:v>
      </x:c>
      <x:c r="D994" s="21" t="str">
        <x:v>stage 146 planned conservation</x:v>
      </x:c>
      <x:c r="E994" s="21" t="n">
        <x:f>IF(ABS('Stage Ledger'!J152-MIN('Stage Ledger'!F152,'Stage Ledger'!H152,'Stage Ledger'!I152))&lt;0.000001,1,0)</x:f>
        <x:v>1</x:v>
      </x:c>
      <x:c r="F994" s="21" t="n">
        <x:v>1</x:v>
      </x:c>
      <x:c r="G994" s="23" t="str">
        <x:f>IF(E994=F994,"PASS","FAIL")</x:f>
        <x:v>PASS</x:v>
      </x:c>
    </x:row>
    <x:row r="995">
      <x:c r="B995" s="21" t="str">
        <x:v>A00989</x:v>
      </x:c>
      <x:c r="C995" s="21" t="str">
        <x:v>stage</x:v>
      </x:c>
      <x:c r="D995" s="21" t="str">
        <x:v>stage 146 observed conservation</x:v>
      </x:c>
      <x:c r="E995" s="21" t="n">
        <x:f>IF(AND(ABS('Stage Ledger'!R152-IF(AND('Stage Ledger'!P152=1,'Stage Ledger'!Q152=1),MIN('Stage Ledger'!F152,'Stage Ledger'!M152,'Stage Ledger'!R151),0))&lt;0.000001,'Stage Ledger'!S152=IF('Stage Ledger'!R152&gt;='Stage Ledger'!F152,"ADMITTED","NOT ADMITTED")),1,0)</x:f>
        <x:v>1</x:v>
      </x:c>
      <x:c r="F995" s="21" t="n">
        <x:v>1</x:v>
      </x:c>
      <x:c r="G995" s="23" t="str">
        <x:f>IF(E995=F995,"PASS","FAIL")</x:f>
        <x:v>PASS</x:v>
      </x:c>
    </x:row>
    <x:row r="996">
      <x:c r="B996" s="21" t="str">
        <x:v>A00990</x:v>
      </x:c>
      <x:c r="C996" s="21" t="str">
        <x:v>stage</x:v>
      </x:c>
      <x:c r="D996" s="21" t="str">
        <x:v>stage 147 planned conservation</x:v>
      </x:c>
      <x:c r="E996" s="21" t="n">
        <x:f>IF(ABS('Stage Ledger'!J153-MIN('Stage Ledger'!F153,'Stage Ledger'!H153,'Stage Ledger'!I153))&lt;0.000001,1,0)</x:f>
        <x:v>1</x:v>
      </x:c>
      <x:c r="F996" s="21" t="n">
        <x:v>1</x:v>
      </x:c>
      <x:c r="G996" s="23" t="str">
        <x:f>IF(E996=F996,"PASS","FAIL")</x:f>
        <x:v>PASS</x:v>
      </x:c>
    </x:row>
    <x:row r="997">
      <x:c r="B997" s="21" t="str">
        <x:v>A00991</x:v>
      </x:c>
      <x:c r="C997" s="21" t="str">
        <x:v>stage</x:v>
      </x:c>
      <x:c r="D997" s="21" t="str">
        <x:v>stage 147 observed conservation</x:v>
      </x:c>
      <x:c r="E997" s="21" t="n">
        <x:f>IF(AND(ABS('Stage Ledger'!R153-IF(AND('Stage Ledger'!P153=1,'Stage Ledger'!Q153=1),MIN('Stage Ledger'!F153,'Stage Ledger'!M153,'Stage Ledger'!R152),0))&lt;0.000001,'Stage Ledger'!S153=IF('Stage Ledger'!R153&gt;='Stage Ledger'!F153,"ADMITTED","NOT ADMITTED")),1,0)</x:f>
        <x:v>1</x:v>
      </x:c>
      <x:c r="F997" s="21" t="n">
        <x:v>1</x:v>
      </x:c>
      <x:c r="G997" s="23" t="str">
        <x:f>IF(E997=F997,"PASS","FAIL")</x:f>
        <x:v>PASS</x:v>
      </x:c>
    </x:row>
    <x:row r="998">
      <x:c r="B998" s="21" t="str">
        <x:v>A00992</x:v>
      </x:c>
      <x:c r="C998" s="21" t="str">
        <x:v>stage</x:v>
      </x:c>
      <x:c r="D998" s="21" t="str">
        <x:v>stage 148 planned conservation</x:v>
      </x:c>
      <x:c r="E998" s="21" t="n">
        <x:f>IF(ABS('Stage Ledger'!J154-MIN('Stage Ledger'!F154,'Stage Ledger'!H154,'Stage Ledger'!I154))&lt;0.000001,1,0)</x:f>
        <x:v>1</x:v>
      </x:c>
      <x:c r="F998" s="21" t="n">
        <x:v>1</x:v>
      </x:c>
      <x:c r="G998" s="23" t="str">
        <x:f>IF(E998=F998,"PASS","FAIL")</x:f>
        <x:v>PASS</x:v>
      </x:c>
    </x:row>
    <x:row r="999">
      <x:c r="B999" s="21" t="str">
        <x:v>A00993</x:v>
      </x:c>
      <x:c r="C999" s="21" t="str">
        <x:v>stage</x:v>
      </x:c>
      <x:c r="D999" s="21" t="str">
        <x:v>stage 148 observed conservation</x:v>
      </x:c>
      <x:c r="E999" s="21" t="n">
        <x:f>IF(AND(ABS('Stage Ledger'!R154-IF(AND('Stage Ledger'!P154=1,'Stage Ledger'!Q154=1),MIN('Stage Ledger'!F154,'Stage Ledger'!M154,'Stage Ledger'!R153),0))&lt;0.000001,'Stage Ledger'!S154=IF('Stage Ledger'!R154&gt;='Stage Ledger'!F154,"ADMITTED","NOT ADMITTED")),1,0)</x:f>
        <x:v>1</x:v>
      </x:c>
      <x:c r="F999" s="21" t="n">
        <x:v>1</x:v>
      </x:c>
      <x:c r="G999" s="23" t="str">
        <x:f>IF(E999=F999,"PASS","FAIL")</x:f>
        <x:v>PASS</x:v>
      </x:c>
    </x:row>
    <x:row r="1000">
      <x:c r="B1000" s="21" t="str">
        <x:v>A00994</x:v>
      </x:c>
      <x:c r="C1000" s="21" t="str">
        <x:v>stage</x:v>
      </x:c>
      <x:c r="D1000" s="21" t="str">
        <x:v>stage 149 planned conservation</x:v>
      </x:c>
      <x:c r="E1000" s="21" t="n">
        <x:f>IF(ABS('Stage Ledger'!J155-MIN('Stage Ledger'!F155,'Stage Ledger'!H155,'Stage Ledger'!I155))&lt;0.000001,1,0)</x:f>
        <x:v>1</x:v>
      </x:c>
      <x:c r="F1000" s="21" t="n">
        <x:v>1</x:v>
      </x:c>
      <x:c r="G1000" s="23" t="str">
        <x:f>IF(E1000=F1000,"PASS","FAIL")</x:f>
        <x:v>PASS</x:v>
      </x:c>
    </x:row>
    <x:row r="1001">
      <x:c r="B1001" s="21" t="str">
        <x:v>A00995</x:v>
      </x:c>
      <x:c r="C1001" s="21" t="str">
        <x:v>stage</x:v>
      </x:c>
      <x:c r="D1001" s="21" t="str">
        <x:v>stage 149 observed conservation</x:v>
      </x:c>
      <x:c r="E1001" s="21" t="n">
        <x:f>IF(AND(ABS('Stage Ledger'!R155-IF(AND('Stage Ledger'!P155=1,'Stage Ledger'!Q155=1),MIN('Stage Ledger'!F155,'Stage Ledger'!M155,'Stage Ledger'!R154),0))&lt;0.000001,'Stage Ledger'!S155=IF('Stage Ledger'!R155&gt;='Stage Ledger'!F155,"ADMITTED","NOT ADMITTED")),1,0)</x:f>
        <x:v>1</x:v>
      </x:c>
      <x:c r="F1001" s="21" t="n">
        <x:v>1</x:v>
      </x:c>
      <x:c r="G1001" s="23" t="str">
        <x:f>IF(E1001=F1001,"PASS","FAIL")</x:f>
        <x:v>PASS</x:v>
      </x:c>
    </x:row>
    <x:row r="1002">
      <x:c r="B1002" s="21" t="str">
        <x:v>A00996</x:v>
      </x:c>
      <x:c r="C1002" s="21" t="str">
        <x:v>stage</x:v>
      </x:c>
      <x:c r="D1002" s="21" t="str">
        <x:v>stage 150 planned conservation</x:v>
      </x:c>
      <x:c r="E1002" s="21" t="n">
        <x:f>IF(ABS('Stage Ledger'!J156-MIN('Stage Ledger'!F156,'Stage Ledger'!H156,'Stage Ledger'!I156))&lt;0.000001,1,0)</x:f>
        <x:v>1</x:v>
      </x:c>
      <x:c r="F1002" s="21" t="n">
        <x:v>1</x:v>
      </x:c>
      <x:c r="G1002" s="23" t="str">
        <x:f>IF(E1002=F1002,"PASS","FAIL")</x:f>
        <x:v>PASS</x:v>
      </x:c>
    </x:row>
    <x:row r="1003">
      <x:c r="B1003" s="21" t="str">
        <x:v>A00997</x:v>
      </x:c>
      <x:c r="C1003" s="21" t="str">
        <x:v>stage</x:v>
      </x:c>
      <x:c r="D1003" s="21" t="str">
        <x:v>stage 150 observed conservation</x:v>
      </x:c>
      <x:c r="E1003" s="21" t="n">
        <x:f>IF(AND(ABS('Stage Ledger'!R156-IF(AND('Stage Ledger'!P156=1,'Stage Ledger'!Q156=1),MIN('Stage Ledger'!F156,'Stage Ledger'!M156,'Stage Ledger'!R155),0))&lt;0.000001,'Stage Ledger'!S156=IF('Stage Ledger'!R156&gt;='Stage Ledger'!F156,"ADMITTED","NOT ADMITTED")),1,0)</x:f>
        <x:v>1</x:v>
      </x:c>
      <x:c r="F1003" s="21" t="n">
        <x:v>1</x:v>
      </x:c>
      <x:c r="G1003" s="23" t="str">
        <x:f>IF(E1003=F1003,"PASS","FAIL")</x:f>
        <x:v>PASS</x:v>
      </x:c>
    </x:row>
    <x:row r="1004">
      <x:c r="B1004" s="21" t="str">
        <x:v>A00998</x:v>
      </x:c>
      <x:c r="C1004" s="21" t="str">
        <x:v>stage</x:v>
      </x:c>
      <x:c r="D1004" s="21" t="str">
        <x:v>stage 151 planned conservation</x:v>
      </x:c>
      <x:c r="E1004" s="21" t="n">
        <x:f>IF(ABS('Stage Ledger'!J157-MIN('Stage Ledger'!F157,'Stage Ledger'!H157,'Stage Ledger'!I157))&lt;0.000001,1,0)</x:f>
        <x:v>1</x:v>
      </x:c>
      <x:c r="F1004" s="21" t="n">
        <x:v>1</x:v>
      </x:c>
      <x:c r="G1004" s="23" t="str">
        <x:f>IF(E1004=F1004,"PASS","FAIL")</x:f>
        <x:v>PASS</x:v>
      </x:c>
    </x:row>
    <x:row r="1005">
      <x:c r="B1005" s="21" t="str">
        <x:v>A00999</x:v>
      </x:c>
      <x:c r="C1005" s="21" t="str">
        <x:v>stage</x:v>
      </x:c>
      <x:c r="D1005" s="21" t="str">
        <x:v>stage 151 observed conservation</x:v>
      </x:c>
      <x:c r="E1005" s="21" t="n">
        <x:f>IF(AND(ABS('Stage Ledger'!R157-IF(AND('Stage Ledger'!P157=1,'Stage Ledger'!Q157=1),MIN('Stage Ledger'!F157,'Stage Ledger'!M157,'Stage Ledger'!R156),0))&lt;0.000001,'Stage Ledger'!S157=IF('Stage Ledger'!R157&gt;='Stage Ledger'!F157,"ADMITTED","NOT ADMITTED")),1,0)</x:f>
        <x:v>1</x:v>
      </x:c>
      <x:c r="F1005" s="21" t="n">
        <x:v>1</x:v>
      </x:c>
      <x:c r="G1005" s="23" t="str">
        <x:f>IF(E1005=F1005,"PASS","FAIL")</x:f>
        <x:v>PASS</x:v>
      </x:c>
    </x:row>
    <x:row r="1006">
      <x:c r="B1006" s="21" t="str">
        <x:v>A01000</x:v>
      </x:c>
      <x:c r="C1006" s="21" t="str">
        <x:v>stage</x:v>
      </x:c>
      <x:c r="D1006" s="21" t="str">
        <x:v>stage 152 planned conservation</x:v>
      </x:c>
      <x:c r="E1006" s="21" t="n">
        <x:f>IF(ABS('Stage Ledger'!J158-MIN('Stage Ledger'!F158,'Stage Ledger'!H158,'Stage Ledger'!I158))&lt;0.000001,1,0)</x:f>
        <x:v>1</x:v>
      </x:c>
      <x:c r="F1006" s="21" t="n">
        <x:v>1</x:v>
      </x:c>
      <x:c r="G1006" s="23" t="str">
        <x:f>IF(E1006=F1006,"PASS","FAIL")</x:f>
        <x:v>PASS</x:v>
      </x:c>
    </x:row>
    <x:row r="1007">
      <x:c r="B1007" s="21" t="str">
        <x:v>A01001</x:v>
      </x:c>
      <x:c r="C1007" s="21" t="str">
        <x:v>stage</x:v>
      </x:c>
      <x:c r="D1007" s="21" t="str">
        <x:v>stage 152 observed conservation</x:v>
      </x:c>
      <x:c r="E1007" s="21" t="n">
        <x:f>IF(AND(ABS('Stage Ledger'!R158-IF(AND('Stage Ledger'!P158=1,'Stage Ledger'!Q158=1),MIN('Stage Ledger'!F158,'Stage Ledger'!M158,'Stage Ledger'!R157),0))&lt;0.000001,'Stage Ledger'!S158=IF('Stage Ledger'!R158&gt;='Stage Ledger'!F158,"ADMITTED","NOT ADMITTED")),1,0)</x:f>
        <x:v>1</x:v>
      </x:c>
      <x:c r="F1007" s="21" t="n">
        <x:v>1</x:v>
      </x:c>
      <x:c r="G1007" s="23" t="str">
        <x:f>IF(E1007=F1007,"PASS","FAIL")</x:f>
        <x:v>PASS</x:v>
      </x:c>
    </x:row>
    <x:row r="1008">
      <x:c r="B1008" s="21" t="str">
        <x:v>A01002</x:v>
      </x:c>
      <x:c r="C1008" s="21" t="str">
        <x:v>stage</x:v>
      </x:c>
      <x:c r="D1008" s="21" t="str">
        <x:v>stage 153 planned conservation</x:v>
      </x:c>
      <x:c r="E1008" s="21" t="n">
        <x:f>IF(ABS('Stage Ledger'!J159-MIN('Stage Ledger'!F159,'Stage Ledger'!H159,'Stage Ledger'!I159))&lt;0.000001,1,0)</x:f>
        <x:v>1</x:v>
      </x:c>
      <x:c r="F1008" s="21" t="n">
        <x:v>1</x:v>
      </x:c>
      <x:c r="G1008" s="23" t="str">
        <x:f>IF(E1008=F1008,"PASS","FAIL")</x:f>
        <x:v>PASS</x:v>
      </x:c>
    </x:row>
    <x:row r="1009">
      <x:c r="B1009" s="21" t="str">
        <x:v>A01003</x:v>
      </x:c>
      <x:c r="C1009" s="21" t="str">
        <x:v>stage</x:v>
      </x:c>
      <x:c r="D1009" s="21" t="str">
        <x:v>stage 153 observed conservation</x:v>
      </x:c>
      <x:c r="E1009" s="21" t="n">
        <x:f>IF(AND(ABS('Stage Ledger'!R159-IF(AND('Stage Ledger'!P159=1,'Stage Ledger'!Q159=1),MIN('Stage Ledger'!F159,'Stage Ledger'!M159,'Stage Ledger'!R158),0))&lt;0.000001,'Stage Ledger'!S159=IF('Stage Ledger'!R159&gt;='Stage Ledger'!F159,"ADMITTED","NOT ADMITTED")),1,0)</x:f>
        <x:v>1</x:v>
      </x:c>
      <x:c r="F1009" s="21" t="n">
        <x:v>1</x:v>
      </x:c>
      <x:c r="G1009" s="23" t="str">
        <x:f>IF(E1009=F1009,"PASS","FAIL")</x:f>
        <x:v>PASS</x:v>
      </x:c>
    </x:row>
    <x:row r="1010">
      <x:c r="B1010" s="21" t="str">
        <x:v>A01004</x:v>
      </x:c>
      <x:c r="C1010" s="21" t="str">
        <x:v>stage</x:v>
      </x:c>
      <x:c r="D1010" s="21" t="str">
        <x:v>stage 154 planned conservation</x:v>
      </x:c>
      <x:c r="E1010" s="21" t="n">
        <x:f>IF(ABS('Stage Ledger'!J160-MIN('Stage Ledger'!F160,'Stage Ledger'!H160,'Stage Ledger'!I160))&lt;0.000001,1,0)</x:f>
        <x:v>1</x:v>
      </x:c>
      <x:c r="F1010" s="21" t="n">
        <x:v>1</x:v>
      </x:c>
      <x:c r="G1010" s="23" t="str">
        <x:f>IF(E1010=F1010,"PASS","FAIL")</x:f>
        <x:v>PASS</x:v>
      </x:c>
    </x:row>
    <x:row r="1011">
      <x:c r="B1011" s="21" t="str">
        <x:v>A01005</x:v>
      </x:c>
      <x:c r="C1011" s="21" t="str">
        <x:v>stage</x:v>
      </x:c>
      <x:c r="D1011" s="21" t="str">
        <x:v>stage 154 observed conservation</x:v>
      </x:c>
      <x:c r="E1011" s="21" t="n">
        <x:f>IF(AND(ABS('Stage Ledger'!R160-IF(AND('Stage Ledger'!P160=1,'Stage Ledger'!Q160=1),MIN('Stage Ledger'!F160,'Stage Ledger'!M160,'Stage Ledger'!R159),0))&lt;0.000001,'Stage Ledger'!S160=IF('Stage Ledger'!R160&gt;='Stage Ledger'!F160,"ADMITTED","NOT ADMITTED")),1,0)</x:f>
        <x:v>1</x:v>
      </x:c>
      <x:c r="F1011" s="21" t="n">
        <x:v>1</x:v>
      </x:c>
      <x:c r="G1011" s="23" t="str">
        <x:f>IF(E1011=F1011,"PASS","FAIL")</x:f>
        <x:v>PASS</x:v>
      </x:c>
    </x:row>
    <x:row r="1012">
      <x:c r="B1012" s="21" t="str">
        <x:v>A01006</x:v>
      </x:c>
      <x:c r="C1012" s="21" t="str">
        <x:v>stage</x:v>
      </x:c>
      <x:c r="D1012" s="21" t="str">
        <x:v>stage 155 planned conservation</x:v>
      </x:c>
      <x:c r="E1012" s="21" t="n">
        <x:f>IF(ABS('Stage Ledger'!J161-MIN('Stage Ledger'!F161,'Stage Ledger'!H161,'Stage Ledger'!I161))&lt;0.000001,1,0)</x:f>
        <x:v>1</x:v>
      </x:c>
      <x:c r="F1012" s="21" t="n">
        <x:v>1</x:v>
      </x:c>
      <x:c r="G1012" s="23" t="str">
        <x:f>IF(E1012=F1012,"PASS","FAIL")</x:f>
        <x:v>PASS</x:v>
      </x:c>
    </x:row>
    <x:row r="1013">
      <x:c r="B1013" s="21" t="str">
        <x:v>A01007</x:v>
      </x:c>
      <x:c r="C1013" s="21" t="str">
        <x:v>stage</x:v>
      </x:c>
      <x:c r="D1013" s="21" t="str">
        <x:v>stage 155 observed conservation</x:v>
      </x:c>
      <x:c r="E1013" s="21" t="n">
        <x:f>IF(AND(ABS('Stage Ledger'!R161-IF(AND('Stage Ledger'!P161=1,'Stage Ledger'!Q161=1),MIN('Stage Ledger'!F161,'Stage Ledger'!M161,'Stage Ledger'!R160),0))&lt;0.000001,'Stage Ledger'!S161=IF('Stage Ledger'!R161&gt;='Stage Ledger'!F161,"ADMITTED","NOT ADMITTED")),1,0)</x:f>
        <x:v>1</x:v>
      </x:c>
      <x:c r="F1013" s="21" t="n">
        <x:v>1</x:v>
      </x:c>
      <x:c r="G1013" s="23" t="str">
        <x:f>IF(E1013=F1013,"PASS","FAIL")</x:f>
        <x:v>PASS</x:v>
      </x:c>
    </x:row>
    <x:row r="1014">
      <x:c r="B1014" s="21" t="str">
        <x:v>A01008</x:v>
      </x:c>
      <x:c r="C1014" s="21" t="str">
        <x:v>stage</x:v>
      </x:c>
      <x:c r="D1014" s="21" t="str">
        <x:v>stage 156 planned conservation</x:v>
      </x:c>
      <x:c r="E1014" s="21" t="n">
        <x:f>IF(ABS('Stage Ledger'!J162-MIN('Stage Ledger'!F162,'Stage Ledger'!H162,'Stage Ledger'!I162))&lt;0.000001,1,0)</x:f>
        <x:v>1</x:v>
      </x:c>
      <x:c r="F1014" s="21" t="n">
        <x:v>1</x:v>
      </x:c>
      <x:c r="G1014" s="23" t="str">
        <x:f>IF(E1014=F1014,"PASS","FAIL")</x:f>
        <x:v>PASS</x:v>
      </x:c>
    </x:row>
    <x:row r="1015">
      <x:c r="B1015" s="21" t="str">
        <x:v>A01009</x:v>
      </x:c>
      <x:c r="C1015" s="21" t="str">
        <x:v>stage</x:v>
      </x:c>
      <x:c r="D1015" s="21" t="str">
        <x:v>stage 156 observed conservation</x:v>
      </x:c>
      <x:c r="E1015" s="21" t="n">
        <x:f>IF(AND(ABS('Stage Ledger'!R162-IF(AND('Stage Ledger'!P162=1,'Stage Ledger'!Q162=1),MIN('Stage Ledger'!F162,'Stage Ledger'!M162,'Stage Ledger'!R161),0))&lt;0.000001,'Stage Ledger'!S162=IF('Stage Ledger'!R162&gt;='Stage Ledger'!F162,"ADMITTED","NOT ADMITTED")),1,0)</x:f>
        <x:v>1</x:v>
      </x:c>
      <x:c r="F1015" s="21" t="n">
        <x:v>1</x:v>
      </x:c>
      <x:c r="G1015" s="23" t="str">
        <x:f>IF(E1015=F1015,"PASS","FAIL")</x:f>
        <x:v>PASS</x:v>
      </x:c>
    </x:row>
    <x:row r="1016">
      <x:c r="B1016" s="21" t="str">
        <x:v>A01010</x:v>
      </x:c>
      <x:c r="C1016" s="21" t="str">
        <x:v>stage</x:v>
      </x:c>
      <x:c r="D1016" s="21" t="str">
        <x:v>stage 157 planned conservation</x:v>
      </x:c>
      <x:c r="E1016" s="21" t="n">
        <x:f>IF(ABS('Stage Ledger'!J163-MIN('Stage Ledger'!F163,'Stage Ledger'!H163,'Stage Ledger'!I163))&lt;0.000001,1,0)</x:f>
        <x:v>1</x:v>
      </x:c>
      <x:c r="F1016" s="21" t="n">
        <x:v>1</x:v>
      </x:c>
      <x:c r="G1016" s="23" t="str">
        <x:f>IF(E1016=F1016,"PASS","FAIL")</x:f>
        <x:v>PASS</x:v>
      </x:c>
    </x:row>
    <x:row r="1017">
      <x:c r="B1017" s="21" t="str">
        <x:v>A01011</x:v>
      </x:c>
      <x:c r="C1017" s="21" t="str">
        <x:v>stage</x:v>
      </x:c>
      <x:c r="D1017" s="21" t="str">
        <x:v>stage 157 observed conservation</x:v>
      </x:c>
      <x:c r="E1017" s="21" t="n">
        <x:f>IF(AND(ABS('Stage Ledger'!R163-IF(AND('Stage Ledger'!P163=1,'Stage Ledger'!Q163=1),MIN('Stage Ledger'!F163,'Stage Ledger'!M163),0))&lt;0.000001,'Stage Ledger'!S163=IF('Stage Ledger'!R163&gt;='Stage Ledger'!F163,"ADMITTED","NOT ADMITTED")),1,0)</x:f>
        <x:v>1</x:v>
      </x:c>
      <x:c r="F1017" s="21" t="n">
        <x:v>1</x:v>
      </x:c>
      <x:c r="G1017" s="23" t="str">
        <x:f>IF(E1017=F1017,"PASS","FAIL")</x:f>
        <x:v>PASS</x:v>
      </x:c>
    </x:row>
    <x:row r="1018">
      <x:c r="B1018" s="21" t="str">
        <x:v>A01012</x:v>
      </x:c>
      <x:c r="C1018" s="21" t="str">
        <x:v>stage</x:v>
      </x:c>
      <x:c r="D1018" s="21" t="str">
        <x:v>stage 158 planned conservation</x:v>
      </x:c>
      <x:c r="E1018" s="21" t="n">
        <x:f>IF(ABS('Stage Ledger'!J164-MIN('Stage Ledger'!F164,'Stage Ledger'!H164,'Stage Ledger'!I164))&lt;0.000001,1,0)</x:f>
        <x:v>1</x:v>
      </x:c>
      <x:c r="F1018" s="21" t="n">
        <x:v>1</x:v>
      </x:c>
      <x:c r="G1018" s="23" t="str">
        <x:f>IF(E1018=F1018,"PASS","FAIL")</x:f>
        <x:v>PASS</x:v>
      </x:c>
    </x:row>
    <x:row r="1019">
      <x:c r="B1019" s="21" t="str">
        <x:v>A01013</x:v>
      </x:c>
      <x:c r="C1019" s="21" t="str">
        <x:v>stage</x:v>
      </x:c>
      <x:c r="D1019" s="21" t="str">
        <x:v>stage 158 observed conservation</x:v>
      </x:c>
      <x:c r="E1019" s="21" t="n">
        <x:f>IF(AND(ABS('Stage Ledger'!R164-IF(AND('Stage Ledger'!P164=1,'Stage Ledger'!Q164=1),MIN('Stage Ledger'!F164,'Stage Ledger'!M164,'Stage Ledger'!R163),0))&lt;0.000001,'Stage Ledger'!S164=IF('Stage Ledger'!R164&gt;='Stage Ledger'!F164,"ADMITTED","NOT ADMITTED")),1,0)</x:f>
        <x:v>1</x:v>
      </x:c>
      <x:c r="F1019" s="21" t="n">
        <x:v>1</x:v>
      </x:c>
      <x:c r="G1019" s="23" t="str">
        <x:f>IF(E1019=F1019,"PASS","FAIL")</x:f>
        <x:v>PASS</x:v>
      </x:c>
    </x:row>
    <x:row r="1020">
      <x:c r="B1020" s="21" t="str">
        <x:v>A01014</x:v>
      </x:c>
      <x:c r="C1020" s="21" t="str">
        <x:v>stage</x:v>
      </x:c>
      <x:c r="D1020" s="21" t="str">
        <x:v>stage 159 planned conservation</x:v>
      </x:c>
      <x:c r="E1020" s="21" t="n">
        <x:f>IF(ABS('Stage Ledger'!J165-MIN('Stage Ledger'!F165,'Stage Ledger'!H165,'Stage Ledger'!I165))&lt;0.000001,1,0)</x:f>
        <x:v>1</x:v>
      </x:c>
      <x:c r="F1020" s="21" t="n">
        <x:v>1</x:v>
      </x:c>
      <x:c r="G1020" s="23" t="str">
        <x:f>IF(E1020=F1020,"PASS","FAIL")</x:f>
        <x:v>PASS</x:v>
      </x:c>
    </x:row>
    <x:row r="1021">
      <x:c r="B1021" s="21" t="str">
        <x:v>A01015</x:v>
      </x:c>
      <x:c r="C1021" s="21" t="str">
        <x:v>stage</x:v>
      </x:c>
      <x:c r="D1021" s="21" t="str">
        <x:v>stage 159 observed conservation</x:v>
      </x:c>
      <x:c r="E1021" s="21" t="n">
        <x:f>IF(AND(ABS('Stage Ledger'!R165-IF(AND('Stage Ledger'!P165=1,'Stage Ledger'!Q165=1),MIN('Stage Ledger'!F165,'Stage Ledger'!M165,'Stage Ledger'!R164),0))&lt;0.000001,'Stage Ledger'!S165=IF('Stage Ledger'!R165&gt;='Stage Ledger'!F165,"ADMITTED","NOT ADMITTED")),1,0)</x:f>
        <x:v>1</x:v>
      </x:c>
      <x:c r="F1021" s="21" t="n">
        <x:v>1</x:v>
      </x:c>
      <x:c r="G1021" s="23" t="str">
        <x:f>IF(E1021=F1021,"PASS","FAIL")</x:f>
        <x:v>PASS</x:v>
      </x:c>
    </x:row>
    <x:row r="1022">
      <x:c r="B1022" s="21" t="str">
        <x:v>A01016</x:v>
      </x:c>
      <x:c r="C1022" s="21" t="str">
        <x:v>stage</x:v>
      </x:c>
      <x:c r="D1022" s="21" t="str">
        <x:v>stage 160 planned conservation</x:v>
      </x:c>
      <x:c r="E1022" s="21" t="n">
        <x:f>IF(ABS('Stage Ledger'!J166-MIN('Stage Ledger'!F166,'Stage Ledger'!H166,'Stage Ledger'!I166))&lt;0.000001,1,0)</x:f>
        <x:v>1</x:v>
      </x:c>
      <x:c r="F1022" s="21" t="n">
        <x:v>1</x:v>
      </x:c>
      <x:c r="G1022" s="23" t="str">
        <x:f>IF(E1022=F1022,"PASS","FAIL")</x:f>
        <x:v>PASS</x:v>
      </x:c>
    </x:row>
    <x:row r="1023">
      <x:c r="B1023" s="21" t="str">
        <x:v>A01017</x:v>
      </x:c>
      <x:c r="C1023" s="21" t="str">
        <x:v>stage</x:v>
      </x:c>
      <x:c r="D1023" s="21" t="str">
        <x:v>stage 160 observed conservation</x:v>
      </x:c>
      <x:c r="E1023" s="21" t="n">
        <x:f>IF(AND(ABS('Stage Ledger'!R166-IF(AND('Stage Ledger'!P166=1,'Stage Ledger'!Q166=1),MIN('Stage Ledger'!F166,'Stage Ledger'!M166,'Stage Ledger'!R165),0))&lt;0.000001,'Stage Ledger'!S166=IF('Stage Ledger'!R166&gt;='Stage Ledger'!F166,"ADMITTED","NOT ADMITTED")),1,0)</x:f>
        <x:v>1</x:v>
      </x:c>
      <x:c r="F1023" s="21" t="n">
        <x:v>1</x:v>
      </x:c>
      <x:c r="G1023" s="23" t="str">
        <x:f>IF(E1023=F1023,"PASS","FAIL")</x:f>
        <x:v>PASS</x:v>
      </x:c>
    </x:row>
    <x:row r="1024">
      <x:c r="B1024" s="21" t="str">
        <x:v>A01018</x:v>
      </x:c>
      <x:c r="C1024" s="21" t="str">
        <x:v>stage</x:v>
      </x:c>
      <x:c r="D1024" s="21" t="str">
        <x:v>stage 161 planned conservation</x:v>
      </x:c>
      <x:c r="E1024" s="21" t="n">
        <x:f>IF(ABS('Stage Ledger'!J167-MIN('Stage Ledger'!F167,'Stage Ledger'!H167,'Stage Ledger'!I167))&lt;0.000001,1,0)</x:f>
        <x:v>1</x:v>
      </x:c>
      <x:c r="F1024" s="21" t="n">
        <x:v>1</x:v>
      </x:c>
      <x:c r="G1024" s="23" t="str">
        <x:f>IF(E1024=F1024,"PASS","FAIL")</x:f>
        <x:v>PASS</x:v>
      </x:c>
    </x:row>
    <x:row r="1025">
      <x:c r="B1025" s="21" t="str">
        <x:v>A01019</x:v>
      </x:c>
      <x:c r="C1025" s="21" t="str">
        <x:v>stage</x:v>
      </x:c>
      <x:c r="D1025" s="21" t="str">
        <x:v>stage 161 observed conservation</x:v>
      </x:c>
      <x:c r="E1025" s="21" t="n">
        <x:f>IF(AND(ABS('Stage Ledger'!R167-IF(AND('Stage Ledger'!P167=1,'Stage Ledger'!Q167=1),MIN('Stage Ledger'!F167,'Stage Ledger'!M167,'Stage Ledger'!R166),0))&lt;0.000001,'Stage Ledger'!S167=IF('Stage Ledger'!R167&gt;='Stage Ledger'!F167,"ADMITTED","NOT ADMITTED")),1,0)</x:f>
        <x:v>1</x:v>
      </x:c>
      <x:c r="F1025" s="21" t="n">
        <x:v>1</x:v>
      </x:c>
      <x:c r="G1025" s="23" t="str">
        <x:f>IF(E1025=F1025,"PASS","FAIL")</x:f>
        <x:v>PASS</x:v>
      </x:c>
    </x:row>
    <x:row r="1026">
      <x:c r="B1026" s="21" t="str">
        <x:v>A01020</x:v>
      </x:c>
      <x:c r="C1026" s="21" t="str">
        <x:v>stage</x:v>
      </x:c>
      <x:c r="D1026" s="21" t="str">
        <x:v>stage 162 planned conservation</x:v>
      </x:c>
      <x:c r="E1026" s="21" t="n">
        <x:f>IF(ABS('Stage Ledger'!J168-MIN('Stage Ledger'!F168,'Stage Ledger'!H168,'Stage Ledger'!I168))&lt;0.000001,1,0)</x:f>
        <x:v>1</x:v>
      </x:c>
      <x:c r="F1026" s="21" t="n">
        <x:v>1</x:v>
      </x:c>
      <x:c r="G1026" s="23" t="str">
        <x:f>IF(E1026=F1026,"PASS","FAIL")</x:f>
        <x:v>PASS</x:v>
      </x:c>
    </x:row>
    <x:row r="1027">
      <x:c r="B1027" s="21" t="str">
        <x:v>A01021</x:v>
      </x:c>
      <x:c r="C1027" s="21" t="str">
        <x:v>stage</x:v>
      </x:c>
      <x:c r="D1027" s="21" t="str">
        <x:v>stage 162 observed conservation</x:v>
      </x:c>
      <x:c r="E1027" s="21" t="n">
        <x:f>IF(AND(ABS('Stage Ledger'!R168-IF(AND('Stage Ledger'!P168=1,'Stage Ledger'!Q168=1),MIN('Stage Ledger'!F168,'Stage Ledger'!M168,'Stage Ledger'!R167),0))&lt;0.000001,'Stage Ledger'!S168=IF('Stage Ledger'!R168&gt;='Stage Ledger'!F168,"ADMITTED","NOT ADMITTED")),1,0)</x:f>
        <x:v>1</x:v>
      </x:c>
      <x:c r="F1027" s="21" t="n">
        <x:v>1</x:v>
      </x:c>
      <x:c r="G1027" s="23" t="str">
        <x:f>IF(E1027=F1027,"PASS","FAIL")</x:f>
        <x:v>PASS</x:v>
      </x:c>
    </x:row>
    <x:row r="1028">
      <x:c r="B1028" s="21" t="str">
        <x:v>A01022</x:v>
      </x:c>
      <x:c r="C1028" s="21" t="str">
        <x:v>stage</x:v>
      </x:c>
      <x:c r="D1028" s="21" t="str">
        <x:v>stage 163 planned conservation</x:v>
      </x:c>
      <x:c r="E1028" s="21" t="n">
        <x:f>IF(ABS('Stage Ledger'!J169-MIN('Stage Ledger'!F169,'Stage Ledger'!H169,'Stage Ledger'!I169))&lt;0.000001,1,0)</x:f>
        <x:v>1</x:v>
      </x:c>
      <x:c r="F1028" s="21" t="n">
        <x:v>1</x:v>
      </x:c>
      <x:c r="G1028" s="23" t="str">
        <x:f>IF(E1028=F1028,"PASS","FAIL")</x:f>
        <x:v>PASS</x:v>
      </x:c>
    </x:row>
    <x:row r="1029">
      <x:c r="B1029" s="21" t="str">
        <x:v>A01023</x:v>
      </x:c>
      <x:c r="C1029" s="21" t="str">
        <x:v>stage</x:v>
      </x:c>
      <x:c r="D1029" s="21" t="str">
        <x:v>stage 163 observed conservation</x:v>
      </x:c>
      <x:c r="E1029" s="21" t="n">
        <x:f>IF(AND(ABS('Stage Ledger'!R169-IF(AND('Stage Ledger'!P169=1,'Stage Ledger'!Q169=1),MIN('Stage Ledger'!F169,'Stage Ledger'!M169,'Stage Ledger'!R168),0))&lt;0.000001,'Stage Ledger'!S169=IF('Stage Ledger'!R169&gt;='Stage Ledger'!F169,"ADMITTED","NOT ADMITTED")),1,0)</x:f>
        <x:v>1</x:v>
      </x:c>
      <x:c r="F1029" s="21" t="n">
        <x:v>1</x:v>
      </x:c>
      <x:c r="G1029" s="23" t="str">
        <x:f>IF(E1029=F1029,"PASS","FAIL")</x:f>
        <x:v>PASS</x:v>
      </x:c>
    </x:row>
    <x:row r="1030">
      <x:c r="B1030" s="21" t="str">
        <x:v>A01024</x:v>
      </x:c>
      <x:c r="C1030" s="21" t="str">
        <x:v>stage</x:v>
      </x:c>
      <x:c r="D1030" s="21" t="str">
        <x:v>stage 164 planned conservation</x:v>
      </x:c>
      <x:c r="E1030" s="21" t="n">
        <x:f>IF(ABS('Stage Ledger'!J170-MIN('Stage Ledger'!F170,'Stage Ledger'!H170,'Stage Ledger'!I170))&lt;0.000001,1,0)</x:f>
        <x:v>1</x:v>
      </x:c>
      <x:c r="F1030" s="21" t="n">
        <x:v>1</x:v>
      </x:c>
      <x:c r="G1030" s="23" t="str">
        <x:f>IF(E1030=F1030,"PASS","FAIL")</x:f>
        <x:v>PASS</x:v>
      </x:c>
    </x:row>
    <x:row r="1031">
      <x:c r="B1031" s="21" t="str">
        <x:v>A01025</x:v>
      </x:c>
      <x:c r="C1031" s="21" t="str">
        <x:v>stage</x:v>
      </x:c>
      <x:c r="D1031" s="21" t="str">
        <x:v>stage 164 observed conservation</x:v>
      </x:c>
      <x:c r="E1031" s="21" t="n">
        <x:f>IF(AND(ABS('Stage Ledger'!R170-IF(AND('Stage Ledger'!P170=1,'Stage Ledger'!Q170=1),MIN('Stage Ledger'!F170,'Stage Ledger'!M170,'Stage Ledger'!R169),0))&lt;0.000001,'Stage Ledger'!S170=IF('Stage Ledger'!R170&gt;='Stage Ledger'!F170,"ADMITTED","NOT ADMITTED")),1,0)</x:f>
        <x:v>1</x:v>
      </x:c>
      <x:c r="F1031" s="21" t="n">
        <x:v>1</x:v>
      </x:c>
      <x:c r="G1031" s="23" t="str">
        <x:f>IF(E1031=F1031,"PASS","FAIL")</x:f>
        <x:v>PASS</x:v>
      </x:c>
    </x:row>
    <x:row r="1032">
      <x:c r="B1032" s="21" t="str">
        <x:v>A01026</x:v>
      </x:c>
      <x:c r="C1032" s="21" t="str">
        <x:v>stage</x:v>
      </x:c>
      <x:c r="D1032" s="21" t="str">
        <x:v>stage 165 planned conservation</x:v>
      </x:c>
      <x:c r="E1032" s="21" t="n">
        <x:f>IF(ABS('Stage Ledger'!J171-MIN('Stage Ledger'!F171,'Stage Ledger'!H171,'Stage Ledger'!I171))&lt;0.000001,1,0)</x:f>
        <x:v>1</x:v>
      </x:c>
      <x:c r="F1032" s="21" t="n">
        <x:v>1</x:v>
      </x:c>
      <x:c r="G1032" s="23" t="str">
        <x:f>IF(E1032=F1032,"PASS","FAIL")</x:f>
        <x:v>PASS</x:v>
      </x:c>
    </x:row>
    <x:row r="1033">
      <x:c r="B1033" s="21" t="str">
        <x:v>A01027</x:v>
      </x:c>
      <x:c r="C1033" s="21" t="str">
        <x:v>stage</x:v>
      </x:c>
      <x:c r="D1033" s="21" t="str">
        <x:v>stage 165 observed conservation</x:v>
      </x:c>
      <x:c r="E1033" s="21" t="n">
        <x:f>IF(AND(ABS('Stage Ledger'!R171-IF(AND('Stage Ledger'!P171=1,'Stage Ledger'!Q171=1),MIN('Stage Ledger'!F171,'Stage Ledger'!M171,'Stage Ledger'!R170),0))&lt;0.000001,'Stage Ledger'!S171=IF('Stage Ledger'!R171&gt;='Stage Ledger'!F171,"ADMITTED","NOT ADMITTED")),1,0)</x:f>
        <x:v>1</x:v>
      </x:c>
      <x:c r="F1033" s="21" t="n">
        <x:v>1</x:v>
      </x:c>
      <x:c r="G1033" s="23" t="str">
        <x:f>IF(E1033=F1033,"PASS","FAIL")</x:f>
        <x:v>PASS</x:v>
      </x:c>
    </x:row>
    <x:row r="1034">
      <x:c r="B1034" s="21" t="str">
        <x:v>A01028</x:v>
      </x:c>
      <x:c r="C1034" s="21" t="str">
        <x:v>stage</x:v>
      </x:c>
      <x:c r="D1034" s="21" t="str">
        <x:v>stage 166 planned conservation</x:v>
      </x:c>
      <x:c r="E1034" s="21" t="n">
        <x:f>IF(ABS('Stage Ledger'!J172-MIN('Stage Ledger'!F172,'Stage Ledger'!H172,'Stage Ledger'!I172))&lt;0.000001,1,0)</x:f>
        <x:v>1</x:v>
      </x:c>
      <x:c r="F1034" s="21" t="n">
        <x:v>1</x:v>
      </x:c>
      <x:c r="G1034" s="23" t="str">
        <x:f>IF(E1034=F1034,"PASS","FAIL")</x:f>
        <x:v>PASS</x:v>
      </x:c>
    </x:row>
    <x:row r="1035">
      <x:c r="B1035" s="21" t="str">
        <x:v>A01029</x:v>
      </x:c>
      <x:c r="C1035" s="21" t="str">
        <x:v>stage</x:v>
      </x:c>
      <x:c r="D1035" s="21" t="str">
        <x:v>stage 166 observed conservation</x:v>
      </x:c>
      <x:c r="E1035" s="21" t="n">
        <x:f>IF(AND(ABS('Stage Ledger'!R172-IF(AND('Stage Ledger'!P172=1,'Stage Ledger'!Q172=1),MIN('Stage Ledger'!F172,'Stage Ledger'!M172,'Stage Ledger'!R171),0))&lt;0.000001,'Stage Ledger'!S172=IF('Stage Ledger'!R172&gt;='Stage Ledger'!F172,"ADMITTED","NOT ADMITTED")),1,0)</x:f>
        <x:v>1</x:v>
      </x:c>
      <x:c r="F1035" s="21" t="n">
        <x:v>1</x:v>
      </x:c>
      <x:c r="G1035" s="23" t="str">
        <x:f>IF(E1035=F1035,"PASS","FAIL")</x:f>
        <x:v>PASS</x:v>
      </x:c>
    </x:row>
    <x:row r="1036">
      <x:c r="B1036" s="21" t="str">
        <x:v>A01030</x:v>
      </x:c>
      <x:c r="C1036" s="21" t="str">
        <x:v>stage</x:v>
      </x:c>
      <x:c r="D1036" s="21" t="str">
        <x:v>stage 167 planned conservation</x:v>
      </x:c>
      <x:c r="E1036" s="21" t="n">
        <x:f>IF(ABS('Stage Ledger'!J173-MIN('Stage Ledger'!F173,'Stage Ledger'!H173,'Stage Ledger'!I173))&lt;0.000001,1,0)</x:f>
        <x:v>1</x:v>
      </x:c>
      <x:c r="F1036" s="21" t="n">
        <x:v>1</x:v>
      </x:c>
      <x:c r="G1036" s="23" t="str">
        <x:f>IF(E1036=F1036,"PASS","FAIL")</x:f>
        <x:v>PASS</x:v>
      </x:c>
    </x:row>
    <x:row r="1037">
      <x:c r="B1037" s="21" t="str">
        <x:v>A01031</x:v>
      </x:c>
      <x:c r="C1037" s="21" t="str">
        <x:v>stage</x:v>
      </x:c>
      <x:c r="D1037" s="21" t="str">
        <x:v>stage 167 observed conservation</x:v>
      </x:c>
      <x:c r="E1037" s="21" t="n">
        <x:f>IF(AND(ABS('Stage Ledger'!R173-IF(AND('Stage Ledger'!P173=1,'Stage Ledger'!Q173=1),MIN('Stage Ledger'!F173,'Stage Ledger'!M173,'Stage Ledger'!R172),0))&lt;0.000001,'Stage Ledger'!S173=IF('Stage Ledger'!R173&gt;='Stage Ledger'!F173,"ADMITTED","NOT ADMITTED")),1,0)</x:f>
        <x:v>1</x:v>
      </x:c>
      <x:c r="F1037" s="21" t="n">
        <x:v>1</x:v>
      </x:c>
      <x:c r="G1037" s="23" t="str">
        <x:f>IF(E1037=F1037,"PASS","FAIL")</x:f>
        <x:v>PASS</x:v>
      </x:c>
    </x:row>
    <x:row r="1038">
      <x:c r="B1038" s="21" t="str">
        <x:v>A01032</x:v>
      </x:c>
      <x:c r="C1038" s="21" t="str">
        <x:v>stage</x:v>
      </x:c>
      <x:c r="D1038" s="21" t="str">
        <x:v>stage 168 planned conservation</x:v>
      </x:c>
      <x:c r="E1038" s="21" t="n">
        <x:f>IF(ABS('Stage Ledger'!J174-MIN('Stage Ledger'!F174,'Stage Ledger'!H174,'Stage Ledger'!I174))&lt;0.000001,1,0)</x:f>
        <x:v>1</x:v>
      </x:c>
      <x:c r="F1038" s="21" t="n">
        <x:v>1</x:v>
      </x:c>
      <x:c r="G1038" s="23" t="str">
        <x:f>IF(E1038=F1038,"PASS","FAIL")</x:f>
        <x:v>PASS</x:v>
      </x:c>
    </x:row>
    <x:row r="1039">
      <x:c r="B1039" s="21" t="str">
        <x:v>A01033</x:v>
      </x:c>
      <x:c r="C1039" s="21" t="str">
        <x:v>stage</x:v>
      </x:c>
      <x:c r="D1039" s="21" t="str">
        <x:v>stage 168 observed conservation</x:v>
      </x:c>
      <x:c r="E1039" s="21" t="n">
        <x:f>IF(AND(ABS('Stage Ledger'!R174-IF(AND('Stage Ledger'!P174=1,'Stage Ledger'!Q174=1),MIN('Stage Ledger'!F174,'Stage Ledger'!M174,'Stage Ledger'!R173),0))&lt;0.000001,'Stage Ledger'!S174=IF('Stage Ledger'!R174&gt;='Stage Ledger'!F174,"ADMITTED","NOT ADMITTED")),1,0)</x:f>
        <x:v>1</x:v>
      </x:c>
      <x:c r="F1039" s="21" t="n">
        <x:v>1</x:v>
      </x:c>
      <x:c r="G1039" s="23" t="str">
        <x:f>IF(E1039=F1039,"PASS","FAIL")</x:f>
        <x:v>PASS</x:v>
      </x:c>
    </x:row>
    <x:row r="1040">
      <x:c r="B1040" s="21" t="str">
        <x:v>A01034</x:v>
      </x:c>
      <x:c r="C1040" s="21" t="str">
        <x:v>stage</x:v>
      </x:c>
      <x:c r="D1040" s="21" t="str">
        <x:v>stage 169 planned conservation</x:v>
      </x:c>
      <x:c r="E1040" s="21" t="n">
        <x:f>IF(ABS('Stage Ledger'!J175-MIN('Stage Ledger'!F175,'Stage Ledger'!H175,'Stage Ledger'!I175))&lt;0.000001,1,0)</x:f>
        <x:v>1</x:v>
      </x:c>
      <x:c r="F1040" s="21" t="n">
        <x:v>1</x:v>
      </x:c>
      <x:c r="G1040" s="23" t="str">
        <x:f>IF(E1040=F1040,"PASS","FAIL")</x:f>
        <x:v>PASS</x:v>
      </x:c>
    </x:row>
    <x:row r="1041">
      <x:c r="B1041" s="21" t="str">
        <x:v>A01035</x:v>
      </x:c>
      <x:c r="C1041" s="21" t="str">
        <x:v>stage</x:v>
      </x:c>
      <x:c r="D1041" s="21" t="str">
        <x:v>stage 169 observed conservation</x:v>
      </x:c>
      <x:c r="E1041" s="21" t="n">
        <x:f>IF(AND(ABS('Stage Ledger'!R175-IF(AND('Stage Ledger'!P175=1,'Stage Ledger'!Q175=1),MIN('Stage Ledger'!F175,'Stage Ledger'!M175),0))&lt;0.000001,'Stage Ledger'!S175=IF('Stage Ledger'!R175&gt;='Stage Ledger'!F175,"ADMITTED","NOT ADMITTED")),1,0)</x:f>
        <x:v>1</x:v>
      </x:c>
      <x:c r="F1041" s="21" t="n">
        <x:v>1</x:v>
      </x:c>
      <x:c r="G1041" s="23" t="str">
        <x:f>IF(E1041=F1041,"PASS","FAIL")</x:f>
        <x:v>PASS</x:v>
      </x:c>
    </x:row>
    <x:row r="1042">
      <x:c r="B1042" s="21" t="str">
        <x:v>A01036</x:v>
      </x:c>
      <x:c r="C1042" s="21" t="str">
        <x:v>stage</x:v>
      </x:c>
      <x:c r="D1042" s="21" t="str">
        <x:v>stage 170 planned conservation</x:v>
      </x:c>
      <x:c r="E1042" s="21" t="n">
        <x:f>IF(ABS('Stage Ledger'!J176-MIN('Stage Ledger'!F176,'Stage Ledger'!H176,'Stage Ledger'!I176))&lt;0.000001,1,0)</x:f>
        <x:v>1</x:v>
      </x:c>
      <x:c r="F1042" s="21" t="n">
        <x:v>1</x:v>
      </x:c>
      <x:c r="G1042" s="23" t="str">
        <x:f>IF(E1042=F1042,"PASS","FAIL")</x:f>
        <x:v>PASS</x:v>
      </x:c>
    </x:row>
    <x:row r="1043">
      <x:c r="B1043" s="21" t="str">
        <x:v>A01037</x:v>
      </x:c>
      <x:c r="C1043" s="21" t="str">
        <x:v>stage</x:v>
      </x:c>
      <x:c r="D1043" s="21" t="str">
        <x:v>stage 170 observed conservation</x:v>
      </x:c>
      <x:c r="E1043" s="21" t="n">
        <x:f>IF(AND(ABS('Stage Ledger'!R176-IF(AND('Stage Ledger'!P176=1,'Stage Ledger'!Q176=1),MIN('Stage Ledger'!F176,'Stage Ledger'!M176,'Stage Ledger'!R175),0))&lt;0.000001,'Stage Ledger'!S176=IF('Stage Ledger'!R176&gt;='Stage Ledger'!F176,"ADMITTED","NOT ADMITTED")),1,0)</x:f>
        <x:v>1</x:v>
      </x:c>
      <x:c r="F1043" s="21" t="n">
        <x:v>1</x:v>
      </x:c>
      <x:c r="G1043" s="23" t="str">
        <x:f>IF(E1043=F1043,"PASS","FAIL")</x:f>
        <x:v>PASS</x:v>
      </x:c>
    </x:row>
    <x:row r="1044">
      <x:c r="B1044" s="21" t="str">
        <x:v>A01038</x:v>
      </x:c>
      <x:c r="C1044" s="21" t="str">
        <x:v>stage</x:v>
      </x:c>
      <x:c r="D1044" s="21" t="str">
        <x:v>stage 171 planned conservation</x:v>
      </x:c>
      <x:c r="E1044" s="21" t="n">
        <x:f>IF(ABS('Stage Ledger'!J177-MIN('Stage Ledger'!F177,'Stage Ledger'!H177,'Stage Ledger'!I177))&lt;0.000001,1,0)</x:f>
        <x:v>1</x:v>
      </x:c>
      <x:c r="F1044" s="21" t="n">
        <x:v>1</x:v>
      </x:c>
      <x:c r="G1044" s="23" t="str">
        <x:f>IF(E1044=F1044,"PASS","FAIL")</x:f>
        <x:v>PASS</x:v>
      </x:c>
    </x:row>
    <x:row r="1045">
      <x:c r="B1045" s="21" t="str">
        <x:v>A01039</x:v>
      </x:c>
      <x:c r="C1045" s="21" t="str">
        <x:v>stage</x:v>
      </x:c>
      <x:c r="D1045" s="21" t="str">
        <x:v>stage 171 observed conservation</x:v>
      </x:c>
      <x:c r="E1045" s="21" t="n">
        <x:f>IF(AND(ABS('Stage Ledger'!R177-IF(AND('Stage Ledger'!P177=1,'Stage Ledger'!Q177=1),MIN('Stage Ledger'!F177,'Stage Ledger'!M177,'Stage Ledger'!R176),0))&lt;0.000001,'Stage Ledger'!S177=IF('Stage Ledger'!R177&gt;='Stage Ledger'!F177,"ADMITTED","NOT ADMITTED")),1,0)</x:f>
        <x:v>1</x:v>
      </x:c>
      <x:c r="F1045" s="21" t="n">
        <x:v>1</x:v>
      </x:c>
      <x:c r="G1045" s="23" t="str">
        <x:f>IF(E1045=F1045,"PASS","FAIL")</x:f>
        <x:v>PASS</x:v>
      </x:c>
    </x:row>
    <x:row r="1046">
      <x:c r="B1046" s="21" t="str">
        <x:v>A01040</x:v>
      </x:c>
      <x:c r="C1046" s="21" t="str">
        <x:v>stage</x:v>
      </x:c>
      <x:c r="D1046" s="21" t="str">
        <x:v>stage 172 planned conservation</x:v>
      </x:c>
      <x:c r="E1046" s="21" t="n">
        <x:f>IF(ABS('Stage Ledger'!J178-MIN('Stage Ledger'!F178,'Stage Ledger'!H178,'Stage Ledger'!I178))&lt;0.000001,1,0)</x:f>
        <x:v>1</x:v>
      </x:c>
      <x:c r="F1046" s="21" t="n">
        <x:v>1</x:v>
      </x:c>
      <x:c r="G1046" s="23" t="str">
        <x:f>IF(E1046=F1046,"PASS","FAIL")</x:f>
        <x:v>PASS</x:v>
      </x:c>
    </x:row>
    <x:row r="1047">
      <x:c r="B1047" s="21" t="str">
        <x:v>A01041</x:v>
      </x:c>
      <x:c r="C1047" s="21" t="str">
        <x:v>stage</x:v>
      </x:c>
      <x:c r="D1047" s="21" t="str">
        <x:v>stage 172 observed conservation</x:v>
      </x:c>
      <x:c r="E1047" s="21" t="n">
        <x:f>IF(AND(ABS('Stage Ledger'!R178-IF(AND('Stage Ledger'!P178=1,'Stage Ledger'!Q178=1),MIN('Stage Ledger'!F178,'Stage Ledger'!M178,'Stage Ledger'!R177),0))&lt;0.000001,'Stage Ledger'!S178=IF('Stage Ledger'!R178&gt;='Stage Ledger'!F178,"ADMITTED","NOT ADMITTED")),1,0)</x:f>
        <x:v>1</x:v>
      </x:c>
      <x:c r="F1047" s="21" t="n">
        <x:v>1</x:v>
      </x:c>
      <x:c r="G1047" s="23" t="str">
        <x:f>IF(E1047=F1047,"PASS","FAIL")</x:f>
        <x:v>PASS</x:v>
      </x:c>
    </x:row>
    <x:row r="1048">
      <x:c r="B1048" s="21" t="str">
        <x:v>A01042</x:v>
      </x:c>
      <x:c r="C1048" s="21" t="str">
        <x:v>stage</x:v>
      </x:c>
      <x:c r="D1048" s="21" t="str">
        <x:v>stage 173 planned conservation</x:v>
      </x:c>
      <x:c r="E1048" s="21" t="n">
        <x:f>IF(ABS('Stage Ledger'!J179-MIN('Stage Ledger'!F179,'Stage Ledger'!H179,'Stage Ledger'!I179))&lt;0.000001,1,0)</x:f>
        <x:v>1</x:v>
      </x:c>
      <x:c r="F1048" s="21" t="n">
        <x:v>1</x:v>
      </x:c>
      <x:c r="G1048" s="23" t="str">
        <x:f>IF(E1048=F1048,"PASS","FAIL")</x:f>
        <x:v>PASS</x:v>
      </x:c>
    </x:row>
    <x:row r="1049">
      <x:c r="B1049" s="21" t="str">
        <x:v>A01043</x:v>
      </x:c>
      <x:c r="C1049" s="21" t="str">
        <x:v>stage</x:v>
      </x:c>
      <x:c r="D1049" s="21" t="str">
        <x:v>stage 173 observed conservation</x:v>
      </x:c>
      <x:c r="E1049" s="21" t="n">
        <x:f>IF(AND(ABS('Stage Ledger'!R179-IF(AND('Stage Ledger'!P179=1,'Stage Ledger'!Q179=1),MIN('Stage Ledger'!F179,'Stage Ledger'!M179,'Stage Ledger'!R178),0))&lt;0.000001,'Stage Ledger'!S179=IF('Stage Ledger'!R179&gt;='Stage Ledger'!F179,"ADMITTED","NOT ADMITTED")),1,0)</x:f>
        <x:v>1</x:v>
      </x:c>
      <x:c r="F1049" s="21" t="n">
        <x:v>1</x:v>
      </x:c>
      <x:c r="G1049" s="23" t="str">
        <x:f>IF(E1049=F1049,"PASS","FAIL")</x:f>
        <x:v>PASS</x:v>
      </x:c>
    </x:row>
    <x:row r="1050">
      <x:c r="B1050" s="21" t="str">
        <x:v>A01044</x:v>
      </x:c>
      <x:c r="C1050" s="21" t="str">
        <x:v>stage</x:v>
      </x:c>
      <x:c r="D1050" s="21" t="str">
        <x:v>stage 174 planned conservation</x:v>
      </x:c>
      <x:c r="E1050" s="21" t="n">
        <x:f>IF(ABS('Stage Ledger'!J180-MIN('Stage Ledger'!F180,'Stage Ledger'!H180,'Stage Ledger'!I180))&lt;0.000001,1,0)</x:f>
        <x:v>1</x:v>
      </x:c>
      <x:c r="F1050" s="21" t="n">
        <x:v>1</x:v>
      </x:c>
      <x:c r="G1050" s="23" t="str">
        <x:f>IF(E1050=F1050,"PASS","FAIL")</x:f>
        <x:v>PASS</x:v>
      </x:c>
    </x:row>
    <x:row r="1051">
      <x:c r="B1051" s="21" t="str">
        <x:v>A01045</x:v>
      </x:c>
      <x:c r="C1051" s="21" t="str">
        <x:v>stage</x:v>
      </x:c>
      <x:c r="D1051" s="21" t="str">
        <x:v>stage 174 observed conservation</x:v>
      </x:c>
      <x:c r="E1051" s="21" t="n">
        <x:f>IF(AND(ABS('Stage Ledger'!R180-IF(AND('Stage Ledger'!P180=1,'Stage Ledger'!Q180=1),MIN('Stage Ledger'!F180,'Stage Ledger'!M180,'Stage Ledger'!R179),0))&lt;0.000001,'Stage Ledger'!S180=IF('Stage Ledger'!R180&gt;='Stage Ledger'!F180,"ADMITTED","NOT ADMITTED")),1,0)</x:f>
        <x:v>1</x:v>
      </x:c>
      <x:c r="F1051" s="21" t="n">
        <x:v>1</x:v>
      </x:c>
      <x:c r="G1051" s="23" t="str">
        <x:f>IF(E1051=F1051,"PASS","FAIL")</x:f>
        <x:v>PASS</x:v>
      </x:c>
    </x:row>
    <x:row r="1052">
      <x:c r="B1052" s="21" t="str">
        <x:v>A01046</x:v>
      </x:c>
      <x:c r="C1052" s="21" t="str">
        <x:v>stage</x:v>
      </x:c>
      <x:c r="D1052" s="21" t="str">
        <x:v>stage 175 planned conservation</x:v>
      </x:c>
      <x:c r="E1052" s="21" t="n">
        <x:f>IF(ABS('Stage Ledger'!J181-MIN('Stage Ledger'!F181,'Stage Ledger'!H181,'Stage Ledger'!I181))&lt;0.000001,1,0)</x:f>
        <x:v>1</x:v>
      </x:c>
      <x:c r="F1052" s="21" t="n">
        <x:v>1</x:v>
      </x:c>
      <x:c r="G1052" s="23" t="str">
        <x:f>IF(E1052=F1052,"PASS","FAIL")</x:f>
        <x:v>PASS</x:v>
      </x:c>
    </x:row>
    <x:row r="1053">
      <x:c r="B1053" s="21" t="str">
        <x:v>A01047</x:v>
      </x:c>
      <x:c r="C1053" s="21" t="str">
        <x:v>stage</x:v>
      </x:c>
      <x:c r="D1053" s="21" t="str">
        <x:v>stage 175 observed conservation</x:v>
      </x:c>
      <x:c r="E1053" s="21" t="n">
        <x:f>IF(AND(ABS('Stage Ledger'!R181-IF(AND('Stage Ledger'!P181=1,'Stage Ledger'!Q181=1),MIN('Stage Ledger'!F181,'Stage Ledger'!M181,'Stage Ledger'!R180),0))&lt;0.000001,'Stage Ledger'!S181=IF('Stage Ledger'!R181&gt;='Stage Ledger'!F181,"ADMITTED","NOT ADMITTED")),1,0)</x:f>
        <x:v>1</x:v>
      </x:c>
      <x:c r="F1053" s="21" t="n">
        <x:v>1</x:v>
      </x:c>
      <x:c r="G1053" s="23" t="str">
        <x:f>IF(E1053=F1053,"PASS","FAIL")</x:f>
        <x:v>PASS</x:v>
      </x:c>
    </x:row>
    <x:row r="1054">
      <x:c r="B1054" s="21" t="str">
        <x:v>A01048</x:v>
      </x:c>
      <x:c r="C1054" s="21" t="str">
        <x:v>stage</x:v>
      </x:c>
      <x:c r="D1054" s="21" t="str">
        <x:v>stage 176 planned conservation</x:v>
      </x:c>
      <x:c r="E1054" s="21" t="n">
        <x:f>IF(ABS('Stage Ledger'!J182-MIN('Stage Ledger'!F182,'Stage Ledger'!H182,'Stage Ledger'!I182))&lt;0.000001,1,0)</x:f>
        <x:v>1</x:v>
      </x:c>
      <x:c r="F1054" s="21" t="n">
        <x:v>1</x:v>
      </x:c>
      <x:c r="G1054" s="23" t="str">
        <x:f>IF(E1054=F1054,"PASS","FAIL")</x:f>
        <x:v>PASS</x:v>
      </x:c>
    </x:row>
    <x:row r="1055">
      <x:c r="B1055" s="21" t="str">
        <x:v>A01049</x:v>
      </x:c>
      <x:c r="C1055" s="21" t="str">
        <x:v>stage</x:v>
      </x:c>
      <x:c r="D1055" s="21" t="str">
        <x:v>stage 176 observed conservation</x:v>
      </x:c>
      <x:c r="E1055" s="21" t="n">
        <x:f>IF(AND(ABS('Stage Ledger'!R182-IF(AND('Stage Ledger'!P182=1,'Stage Ledger'!Q182=1),MIN('Stage Ledger'!F182,'Stage Ledger'!M182,'Stage Ledger'!R181),0))&lt;0.000001,'Stage Ledger'!S182=IF('Stage Ledger'!R182&gt;='Stage Ledger'!F182,"ADMITTED","NOT ADMITTED")),1,0)</x:f>
        <x:v>1</x:v>
      </x:c>
      <x:c r="F1055" s="21" t="n">
        <x:v>1</x:v>
      </x:c>
      <x:c r="G1055" s="23" t="str">
        <x:f>IF(E1055=F1055,"PASS","FAIL")</x:f>
        <x:v>PASS</x:v>
      </x:c>
    </x:row>
    <x:row r="1056">
      <x:c r="B1056" s="21" t="str">
        <x:v>A01050</x:v>
      </x:c>
      <x:c r="C1056" s="21" t="str">
        <x:v>stage</x:v>
      </x:c>
      <x:c r="D1056" s="21" t="str">
        <x:v>stage 177 planned conservation</x:v>
      </x:c>
      <x:c r="E1056" s="21" t="n">
        <x:f>IF(ABS('Stage Ledger'!J183-MIN('Stage Ledger'!F183,'Stage Ledger'!H183,'Stage Ledger'!I183))&lt;0.000001,1,0)</x:f>
        <x:v>1</x:v>
      </x:c>
      <x:c r="F1056" s="21" t="n">
        <x:v>1</x:v>
      </x:c>
      <x:c r="G1056" s="23" t="str">
        <x:f>IF(E1056=F1056,"PASS","FAIL")</x:f>
        <x:v>PASS</x:v>
      </x:c>
    </x:row>
    <x:row r="1057">
      <x:c r="B1057" s="21" t="str">
        <x:v>A01051</x:v>
      </x:c>
      <x:c r="C1057" s="21" t="str">
        <x:v>stage</x:v>
      </x:c>
      <x:c r="D1057" s="21" t="str">
        <x:v>stage 177 observed conservation</x:v>
      </x:c>
      <x:c r="E1057" s="21" t="n">
        <x:f>IF(AND(ABS('Stage Ledger'!R183-IF(AND('Stage Ledger'!P183=1,'Stage Ledger'!Q183=1),MIN('Stage Ledger'!F183,'Stage Ledger'!M183,'Stage Ledger'!R182),0))&lt;0.000001,'Stage Ledger'!S183=IF('Stage Ledger'!R183&gt;='Stage Ledger'!F183,"ADMITTED","NOT ADMITTED")),1,0)</x:f>
        <x:v>1</x:v>
      </x:c>
      <x:c r="F1057" s="21" t="n">
        <x:v>1</x:v>
      </x:c>
      <x:c r="G1057" s="23" t="str">
        <x:f>IF(E1057=F1057,"PASS","FAIL")</x:f>
        <x:v>PASS</x:v>
      </x:c>
    </x:row>
    <x:row r="1058">
      <x:c r="B1058" s="21" t="str">
        <x:v>A01052</x:v>
      </x:c>
      <x:c r="C1058" s="21" t="str">
        <x:v>stage</x:v>
      </x:c>
      <x:c r="D1058" s="21" t="str">
        <x:v>stage 178 planned conservation</x:v>
      </x:c>
      <x:c r="E1058" s="21" t="n">
        <x:f>IF(ABS('Stage Ledger'!J184-MIN('Stage Ledger'!F184,'Stage Ledger'!H184,'Stage Ledger'!I184))&lt;0.000001,1,0)</x:f>
        <x:v>1</x:v>
      </x:c>
      <x:c r="F1058" s="21" t="n">
        <x:v>1</x:v>
      </x:c>
      <x:c r="G1058" s="23" t="str">
        <x:f>IF(E1058=F1058,"PASS","FAIL")</x:f>
        <x:v>PASS</x:v>
      </x:c>
    </x:row>
    <x:row r="1059">
      <x:c r="B1059" s="21" t="str">
        <x:v>A01053</x:v>
      </x:c>
      <x:c r="C1059" s="21" t="str">
        <x:v>stage</x:v>
      </x:c>
      <x:c r="D1059" s="21" t="str">
        <x:v>stage 178 observed conservation</x:v>
      </x:c>
      <x:c r="E1059" s="21" t="n">
        <x:f>IF(AND(ABS('Stage Ledger'!R184-IF(AND('Stage Ledger'!P184=1,'Stage Ledger'!Q184=1),MIN('Stage Ledger'!F184,'Stage Ledger'!M184,'Stage Ledger'!R183),0))&lt;0.000001,'Stage Ledger'!S184=IF('Stage Ledger'!R184&gt;='Stage Ledger'!F184,"ADMITTED","NOT ADMITTED")),1,0)</x:f>
        <x:v>1</x:v>
      </x:c>
      <x:c r="F1059" s="21" t="n">
        <x:v>1</x:v>
      </x:c>
      <x:c r="G1059" s="23" t="str">
        <x:f>IF(E1059=F1059,"PASS","FAIL")</x:f>
        <x:v>PASS</x:v>
      </x:c>
    </x:row>
    <x:row r="1060">
      <x:c r="B1060" s="21" t="str">
        <x:v>A01054</x:v>
      </x:c>
      <x:c r="C1060" s="21" t="str">
        <x:v>stage</x:v>
      </x:c>
      <x:c r="D1060" s="21" t="str">
        <x:v>stage 179 planned conservation</x:v>
      </x:c>
      <x:c r="E1060" s="21" t="n">
        <x:f>IF(ABS('Stage Ledger'!J185-MIN('Stage Ledger'!F185,'Stage Ledger'!H185,'Stage Ledger'!I185))&lt;0.000001,1,0)</x:f>
        <x:v>1</x:v>
      </x:c>
      <x:c r="F1060" s="21" t="n">
        <x:v>1</x:v>
      </x:c>
      <x:c r="G1060" s="23" t="str">
        <x:f>IF(E1060=F1060,"PASS","FAIL")</x:f>
        <x:v>PASS</x:v>
      </x:c>
    </x:row>
    <x:row r="1061">
      <x:c r="B1061" s="21" t="str">
        <x:v>A01055</x:v>
      </x:c>
      <x:c r="C1061" s="21" t="str">
        <x:v>stage</x:v>
      </x:c>
      <x:c r="D1061" s="21" t="str">
        <x:v>stage 179 observed conservation</x:v>
      </x:c>
      <x:c r="E1061" s="21" t="n">
        <x:f>IF(AND(ABS('Stage Ledger'!R185-IF(AND('Stage Ledger'!P185=1,'Stage Ledger'!Q185=1),MIN('Stage Ledger'!F185,'Stage Ledger'!M185,'Stage Ledger'!R184),0))&lt;0.000001,'Stage Ledger'!S185=IF('Stage Ledger'!R185&gt;='Stage Ledger'!F185,"ADMITTED","NOT ADMITTED")),1,0)</x:f>
        <x:v>1</x:v>
      </x:c>
      <x:c r="F1061" s="21" t="n">
        <x:v>1</x:v>
      </x:c>
      <x:c r="G1061" s="23" t="str">
        <x:f>IF(E1061=F1061,"PASS","FAIL")</x:f>
        <x:v>PASS</x:v>
      </x:c>
    </x:row>
    <x:row r="1062">
      <x:c r="B1062" s="21" t="str">
        <x:v>A01056</x:v>
      </x:c>
      <x:c r="C1062" s="21" t="str">
        <x:v>stage</x:v>
      </x:c>
      <x:c r="D1062" s="21" t="str">
        <x:v>stage 180 planned conservation</x:v>
      </x:c>
      <x:c r="E1062" s="21" t="n">
        <x:f>IF(ABS('Stage Ledger'!J186-MIN('Stage Ledger'!F186,'Stage Ledger'!H186,'Stage Ledger'!I186))&lt;0.000001,1,0)</x:f>
        <x:v>1</x:v>
      </x:c>
      <x:c r="F1062" s="21" t="n">
        <x:v>1</x:v>
      </x:c>
      <x:c r="G1062" s="23" t="str">
        <x:f>IF(E1062=F1062,"PASS","FAIL")</x:f>
        <x:v>PASS</x:v>
      </x:c>
    </x:row>
    <x:row r="1063">
      <x:c r="B1063" s="21" t="str">
        <x:v>A01057</x:v>
      </x:c>
      <x:c r="C1063" s="21" t="str">
        <x:v>stage</x:v>
      </x:c>
      <x:c r="D1063" s="21" t="str">
        <x:v>stage 180 observed conservation</x:v>
      </x:c>
      <x:c r="E1063" s="21" t="n">
        <x:f>IF(AND(ABS('Stage Ledger'!R186-IF(AND('Stage Ledger'!P186=1,'Stage Ledger'!Q186=1),MIN('Stage Ledger'!F186,'Stage Ledger'!M186,'Stage Ledger'!R185),0))&lt;0.000001,'Stage Ledger'!S186=IF('Stage Ledger'!R186&gt;='Stage Ledger'!F186,"ADMITTED","NOT ADMITTED")),1,0)</x:f>
        <x:v>1</x:v>
      </x:c>
      <x:c r="F1063" s="21" t="n">
        <x:v>1</x:v>
      </x:c>
      <x:c r="G1063" s="23" t="str">
        <x:f>IF(E1063=F1063,"PASS","FAIL")</x:f>
        <x:v>PASS</x:v>
      </x:c>
    </x:row>
    <x:row r="1064">
      <x:c r="B1064" s="21" t="str">
        <x:v>A01058</x:v>
      </x:c>
      <x:c r="C1064" s="21" t="str">
        <x:v>stage</x:v>
      </x:c>
      <x:c r="D1064" s="21" t="str">
        <x:v>stage 181 planned conservation</x:v>
      </x:c>
      <x:c r="E1064" s="21" t="n">
        <x:f>IF(ABS('Stage Ledger'!J187-MIN('Stage Ledger'!F187,'Stage Ledger'!H187,'Stage Ledger'!I187))&lt;0.000001,1,0)</x:f>
        <x:v>1</x:v>
      </x:c>
      <x:c r="F1064" s="21" t="n">
        <x:v>1</x:v>
      </x:c>
      <x:c r="G1064" s="23" t="str">
        <x:f>IF(E1064=F1064,"PASS","FAIL")</x:f>
        <x:v>PASS</x:v>
      </x:c>
    </x:row>
    <x:row r="1065">
      <x:c r="B1065" s="21" t="str">
        <x:v>A01059</x:v>
      </x:c>
      <x:c r="C1065" s="21" t="str">
        <x:v>stage</x:v>
      </x:c>
      <x:c r="D1065" s="21" t="str">
        <x:v>stage 181 observed conservation</x:v>
      </x:c>
      <x:c r="E1065" s="21" t="n">
        <x:f>IF(AND(ABS('Stage Ledger'!R187-IF(AND('Stage Ledger'!P187=1,'Stage Ledger'!Q187=1),MIN('Stage Ledger'!F187,'Stage Ledger'!M187),0))&lt;0.000001,'Stage Ledger'!S187=IF('Stage Ledger'!R187&gt;='Stage Ledger'!F187,"ADMITTED","NOT ADMITTED")),1,0)</x:f>
        <x:v>1</x:v>
      </x:c>
      <x:c r="F1065" s="21" t="n">
        <x:v>1</x:v>
      </x:c>
      <x:c r="G1065" s="23" t="str">
        <x:f>IF(E1065=F1065,"PASS","FAIL")</x:f>
        <x:v>PASS</x:v>
      </x:c>
    </x:row>
    <x:row r="1066">
      <x:c r="B1066" s="21" t="str">
        <x:v>A01060</x:v>
      </x:c>
      <x:c r="C1066" s="21" t="str">
        <x:v>stage</x:v>
      </x:c>
      <x:c r="D1066" s="21" t="str">
        <x:v>stage 182 planned conservation</x:v>
      </x:c>
      <x:c r="E1066" s="21" t="n">
        <x:f>IF(ABS('Stage Ledger'!J188-MIN('Stage Ledger'!F188,'Stage Ledger'!H188,'Stage Ledger'!I188))&lt;0.000001,1,0)</x:f>
        <x:v>1</x:v>
      </x:c>
      <x:c r="F1066" s="21" t="n">
        <x:v>1</x:v>
      </x:c>
      <x:c r="G1066" s="23" t="str">
        <x:f>IF(E1066=F1066,"PASS","FAIL")</x:f>
        <x:v>PASS</x:v>
      </x:c>
    </x:row>
    <x:row r="1067">
      <x:c r="B1067" s="21" t="str">
        <x:v>A01061</x:v>
      </x:c>
      <x:c r="C1067" s="21" t="str">
        <x:v>stage</x:v>
      </x:c>
      <x:c r="D1067" s="21" t="str">
        <x:v>stage 182 observed conservation</x:v>
      </x:c>
      <x:c r="E1067" s="21" t="n">
        <x:f>IF(AND(ABS('Stage Ledger'!R188-IF(AND('Stage Ledger'!P188=1,'Stage Ledger'!Q188=1),MIN('Stage Ledger'!F188,'Stage Ledger'!M188,'Stage Ledger'!R187),0))&lt;0.000001,'Stage Ledger'!S188=IF('Stage Ledger'!R188&gt;='Stage Ledger'!F188,"ADMITTED","NOT ADMITTED")),1,0)</x:f>
        <x:v>1</x:v>
      </x:c>
      <x:c r="F1067" s="21" t="n">
        <x:v>1</x:v>
      </x:c>
      <x:c r="G1067" s="23" t="str">
        <x:f>IF(E1067=F1067,"PASS","FAIL")</x:f>
        <x:v>PASS</x:v>
      </x:c>
    </x:row>
    <x:row r="1068">
      <x:c r="B1068" s="21" t="str">
        <x:v>A01062</x:v>
      </x:c>
      <x:c r="C1068" s="21" t="str">
        <x:v>stage</x:v>
      </x:c>
      <x:c r="D1068" s="21" t="str">
        <x:v>stage 183 planned conservation</x:v>
      </x:c>
      <x:c r="E1068" s="21" t="n">
        <x:f>IF(ABS('Stage Ledger'!J189-MIN('Stage Ledger'!F189,'Stage Ledger'!H189,'Stage Ledger'!I189))&lt;0.000001,1,0)</x:f>
        <x:v>1</x:v>
      </x:c>
      <x:c r="F1068" s="21" t="n">
        <x:v>1</x:v>
      </x:c>
      <x:c r="G1068" s="23" t="str">
        <x:f>IF(E1068=F1068,"PASS","FAIL")</x:f>
        <x:v>PASS</x:v>
      </x:c>
    </x:row>
    <x:row r="1069">
      <x:c r="B1069" s="21" t="str">
        <x:v>A01063</x:v>
      </x:c>
      <x:c r="C1069" s="21" t="str">
        <x:v>stage</x:v>
      </x:c>
      <x:c r="D1069" s="21" t="str">
        <x:v>stage 183 observed conservation</x:v>
      </x:c>
      <x:c r="E1069" s="21" t="n">
        <x:f>IF(AND(ABS('Stage Ledger'!R189-IF(AND('Stage Ledger'!P189=1,'Stage Ledger'!Q189=1),MIN('Stage Ledger'!F189,'Stage Ledger'!M189,'Stage Ledger'!R188),0))&lt;0.000001,'Stage Ledger'!S189=IF('Stage Ledger'!R189&gt;='Stage Ledger'!F189,"ADMITTED","NOT ADMITTED")),1,0)</x:f>
        <x:v>1</x:v>
      </x:c>
      <x:c r="F1069" s="21" t="n">
        <x:v>1</x:v>
      </x:c>
      <x:c r="G1069" s="23" t="str">
        <x:f>IF(E1069=F1069,"PASS","FAIL")</x:f>
        <x:v>PASS</x:v>
      </x:c>
    </x:row>
    <x:row r="1070">
      <x:c r="B1070" s="21" t="str">
        <x:v>A01064</x:v>
      </x:c>
      <x:c r="C1070" s="21" t="str">
        <x:v>stage</x:v>
      </x:c>
      <x:c r="D1070" s="21" t="str">
        <x:v>stage 184 planned conservation</x:v>
      </x:c>
      <x:c r="E1070" s="21" t="n">
        <x:f>IF(ABS('Stage Ledger'!J190-MIN('Stage Ledger'!F190,'Stage Ledger'!H190,'Stage Ledger'!I190))&lt;0.000001,1,0)</x:f>
        <x:v>1</x:v>
      </x:c>
      <x:c r="F1070" s="21" t="n">
        <x:v>1</x:v>
      </x:c>
      <x:c r="G1070" s="23" t="str">
        <x:f>IF(E1070=F1070,"PASS","FAIL")</x:f>
        <x:v>PASS</x:v>
      </x:c>
    </x:row>
    <x:row r="1071">
      <x:c r="B1071" s="21" t="str">
        <x:v>A01065</x:v>
      </x:c>
      <x:c r="C1071" s="21" t="str">
        <x:v>stage</x:v>
      </x:c>
      <x:c r="D1071" s="21" t="str">
        <x:v>stage 184 observed conservation</x:v>
      </x:c>
      <x:c r="E1071" s="21" t="n">
        <x:f>IF(AND(ABS('Stage Ledger'!R190-IF(AND('Stage Ledger'!P190=1,'Stage Ledger'!Q190=1),MIN('Stage Ledger'!F190,'Stage Ledger'!M190,'Stage Ledger'!R189),0))&lt;0.000001,'Stage Ledger'!S190=IF('Stage Ledger'!R190&gt;='Stage Ledger'!F190,"ADMITTED","NOT ADMITTED")),1,0)</x:f>
        <x:v>1</x:v>
      </x:c>
      <x:c r="F1071" s="21" t="n">
        <x:v>1</x:v>
      </x:c>
      <x:c r="G1071" s="23" t="str">
        <x:f>IF(E1071=F1071,"PASS","FAIL")</x:f>
        <x:v>PASS</x:v>
      </x:c>
    </x:row>
    <x:row r="1072">
      <x:c r="B1072" s="21" t="str">
        <x:v>A01066</x:v>
      </x:c>
      <x:c r="C1072" s="21" t="str">
        <x:v>stage</x:v>
      </x:c>
      <x:c r="D1072" s="21" t="str">
        <x:v>stage 185 planned conservation</x:v>
      </x:c>
      <x:c r="E1072" s="21" t="n">
        <x:f>IF(ABS('Stage Ledger'!J191-MIN('Stage Ledger'!F191,'Stage Ledger'!H191,'Stage Ledger'!I191))&lt;0.000001,1,0)</x:f>
        <x:v>1</x:v>
      </x:c>
      <x:c r="F1072" s="21" t="n">
        <x:v>1</x:v>
      </x:c>
      <x:c r="G1072" s="23" t="str">
        <x:f>IF(E1072=F1072,"PASS","FAIL")</x:f>
        <x:v>PASS</x:v>
      </x:c>
    </x:row>
    <x:row r="1073">
      <x:c r="B1073" s="21" t="str">
        <x:v>A01067</x:v>
      </x:c>
      <x:c r="C1073" s="21" t="str">
        <x:v>stage</x:v>
      </x:c>
      <x:c r="D1073" s="21" t="str">
        <x:v>stage 185 observed conservation</x:v>
      </x:c>
      <x:c r="E1073" s="21" t="n">
        <x:f>IF(AND(ABS('Stage Ledger'!R191-IF(AND('Stage Ledger'!P191=1,'Stage Ledger'!Q191=1),MIN('Stage Ledger'!F191,'Stage Ledger'!M191,'Stage Ledger'!R190),0))&lt;0.000001,'Stage Ledger'!S191=IF('Stage Ledger'!R191&gt;='Stage Ledger'!F191,"ADMITTED","NOT ADMITTED")),1,0)</x:f>
        <x:v>1</x:v>
      </x:c>
      <x:c r="F1073" s="21" t="n">
        <x:v>1</x:v>
      </x:c>
      <x:c r="G1073" s="23" t="str">
        <x:f>IF(E1073=F1073,"PASS","FAIL")</x:f>
        <x:v>PASS</x:v>
      </x:c>
    </x:row>
    <x:row r="1074">
      <x:c r="B1074" s="21" t="str">
        <x:v>A01068</x:v>
      </x:c>
      <x:c r="C1074" s="21" t="str">
        <x:v>stage</x:v>
      </x:c>
      <x:c r="D1074" s="21" t="str">
        <x:v>stage 186 planned conservation</x:v>
      </x:c>
      <x:c r="E1074" s="21" t="n">
        <x:f>IF(ABS('Stage Ledger'!J192-MIN('Stage Ledger'!F192,'Stage Ledger'!H192,'Stage Ledger'!I192))&lt;0.000001,1,0)</x:f>
        <x:v>1</x:v>
      </x:c>
      <x:c r="F1074" s="21" t="n">
        <x:v>1</x:v>
      </x:c>
      <x:c r="G1074" s="23" t="str">
        <x:f>IF(E1074=F1074,"PASS","FAIL")</x:f>
        <x:v>PASS</x:v>
      </x:c>
    </x:row>
    <x:row r="1075">
      <x:c r="B1075" s="21" t="str">
        <x:v>A01069</x:v>
      </x:c>
      <x:c r="C1075" s="21" t="str">
        <x:v>stage</x:v>
      </x:c>
      <x:c r="D1075" s="21" t="str">
        <x:v>stage 186 observed conservation</x:v>
      </x:c>
      <x:c r="E1075" s="21" t="n">
        <x:f>IF(AND(ABS('Stage Ledger'!R192-IF(AND('Stage Ledger'!P192=1,'Stage Ledger'!Q192=1),MIN('Stage Ledger'!F192,'Stage Ledger'!M192,'Stage Ledger'!R191),0))&lt;0.000001,'Stage Ledger'!S192=IF('Stage Ledger'!R192&gt;='Stage Ledger'!F192,"ADMITTED","NOT ADMITTED")),1,0)</x:f>
        <x:v>1</x:v>
      </x:c>
      <x:c r="F1075" s="21" t="n">
        <x:v>1</x:v>
      </x:c>
      <x:c r="G1075" s="23" t="str">
        <x:f>IF(E1075=F1075,"PASS","FAIL")</x:f>
        <x:v>PASS</x:v>
      </x:c>
    </x:row>
    <x:row r="1076">
      <x:c r="B1076" s="21" t="str">
        <x:v>A01070</x:v>
      </x:c>
      <x:c r="C1076" s="21" t="str">
        <x:v>stage</x:v>
      </x:c>
      <x:c r="D1076" s="21" t="str">
        <x:v>stage 187 planned conservation</x:v>
      </x:c>
      <x:c r="E1076" s="21" t="n">
        <x:f>IF(ABS('Stage Ledger'!J193-MIN('Stage Ledger'!F193,'Stage Ledger'!H193,'Stage Ledger'!I193))&lt;0.000001,1,0)</x:f>
        <x:v>1</x:v>
      </x:c>
      <x:c r="F1076" s="21" t="n">
        <x:v>1</x:v>
      </x:c>
      <x:c r="G1076" s="23" t="str">
        <x:f>IF(E1076=F1076,"PASS","FAIL")</x:f>
        <x:v>PASS</x:v>
      </x:c>
    </x:row>
    <x:row r="1077">
      <x:c r="B1077" s="21" t="str">
        <x:v>A01071</x:v>
      </x:c>
      <x:c r="C1077" s="21" t="str">
        <x:v>stage</x:v>
      </x:c>
      <x:c r="D1077" s="21" t="str">
        <x:v>stage 187 observed conservation</x:v>
      </x:c>
      <x:c r="E1077" s="21" t="n">
        <x:f>IF(AND(ABS('Stage Ledger'!R193-IF(AND('Stage Ledger'!P193=1,'Stage Ledger'!Q193=1),MIN('Stage Ledger'!F193,'Stage Ledger'!M193,'Stage Ledger'!R192),0))&lt;0.000001,'Stage Ledger'!S193=IF('Stage Ledger'!R193&gt;='Stage Ledger'!F193,"ADMITTED","NOT ADMITTED")),1,0)</x:f>
        <x:v>1</x:v>
      </x:c>
      <x:c r="F1077" s="21" t="n">
        <x:v>1</x:v>
      </x:c>
      <x:c r="G1077" s="23" t="str">
        <x:f>IF(E1077=F1077,"PASS","FAIL")</x:f>
        <x:v>PASS</x:v>
      </x:c>
    </x:row>
    <x:row r="1078">
      <x:c r="B1078" s="21" t="str">
        <x:v>A01072</x:v>
      </x:c>
      <x:c r="C1078" s="21" t="str">
        <x:v>stage</x:v>
      </x:c>
      <x:c r="D1078" s="21" t="str">
        <x:v>stage 188 planned conservation</x:v>
      </x:c>
      <x:c r="E1078" s="21" t="n">
        <x:f>IF(ABS('Stage Ledger'!J194-MIN('Stage Ledger'!F194,'Stage Ledger'!H194,'Stage Ledger'!I194))&lt;0.000001,1,0)</x:f>
        <x:v>1</x:v>
      </x:c>
      <x:c r="F1078" s="21" t="n">
        <x:v>1</x:v>
      </x:c>
      <x:c r="G1078" s="23" t="str">
        <x:f>IF(E1078=F1078,"PASS","FAIL")</x:f>
        <x:v>PASS</x:v>
      </x:c>
    </x:row>
    <x:row r="1079">
      <x:c r="B1079" s="21" t="str">
        <x:v>A01073</x:v>
      </x:c>
      <x:c r="C1079" s="21" t="str">
        <x:v>stage</x:v>
      </x:c>
      <x:c r="D1079" s="21" t="str">
        <x:v>stage 188 observed conservation</x:v>
      </x:c>
      <x:c r="E1079" s="21" t="n">
        <x:f>IF(AND(ABS('Stage Ledger'!R194-IF(AND('Stage Ledger'!P194=1,'Stage Ledger'!Q194=1),MIN('Stage Ledger'!F194,'Stage Ledger'!M194,'Stage Ledger'!R193),0))&lt;0.000001,'Stage Ledger'!S194=IF('Stage Ledger'!R194&gt;='Stage Ledger'!F194,"ADMITTED","NOT ADMITTED")),1,0)</x:f>
        <x:v>1</x:v>
      </x:c>
      <x:c r="F1079" s="21" t="n">
        <x:v>1</x:v>
      </x:c>
      <x:c r="G1079" s="23" t="str">
        <x:f>IF(E1079=F1079,"PASS","FAIL")</x:f>
        <x:v>PASS</x:v>
      </x:c>
    </x:row>
    <x:row r="1080">
      <x:c r="B1080" s="21" t="str">
        <x:v>A01074</x:v>
      </x:c>
      <x:c r="C1080" s="21" t="str">
        <x:v>stage</x:v>
      </x:c>
      <x:c r="D1080" s="21" t="str">
        <x:v>stage 189 planned conservation</x:v>
      </x:c>
      <x:c r="E1080" s="21" t="n">
        <x:f>IF(ABS('Stage Ledger'!J195-MIN('Stage Ledger'!F195,'Stage Ledger'!H195,'Stage Ledger'!I195))&lt;0.000001,1,0)</x:f>
        <x:v>1</x:v>
      </x:c>
      <x:c r="F1080" s="21" t="n">
        <x:v>1</x:v>
      </x:c>
      <x:c r="G1080" s="23" t="str">
        <x:f>IF(E1080=F1080,"PASS","FAIL")</x:f>
        <x:v>PASS</x:v>
      </x:c>
    </x:row>
    <x:row r="1081">
      <x:c r="B1081" s="21" t="str">
        <x:v>A01075</x:v>
      </x:c>
      <x:c r="C1081" s="21" t="str">
        <x:v>stage</x:v>
      </x:c>
      <x:c r="D1081" s="21" t="str">
        <x:v>stage 189 observed conservation</x:v>
      </x:c>
      <x:c r="E1081" s="21" t="n">
        <x:f>IF(AND(ABS('Stage Ledger'!R195-IF(AND('Stage Ledger'!P195=1,'Stage Ledger'!Q195=1),MIN('Stage Ledger'!F195,'Stage Ledger'!M195,'Stage Ledger'!R194),0))&lt;0.000001,'Stage Ledger'!S195=IF('Stage Ledger'!R195&gt;='Stage Ledger'!F195,"ADMITTED","NOT ADMITTED")),1,0)</x:f>
        <x:v>1</x:v>
      </x:c>
      <x:c r="F1081" s="21" t="n">
        <x:v>1</x:v>
      </x:c>
      <x:c r="G1081" s="23" t="str">
        <x:f>IF(E1081=F1081,"PASS","FAIL")</x:f>
        <x:v>PASS</x:v>
      </x:c>
    </x:row>
    <x:row r="1082">
      <x:c r="B1082" s="21" t="str">
        <x:v>A01076</x:v>
      </x:c>
      <x:c r="C1082" s="21" t="str">
        <x:v>stage</x:v>
      </x:c>
      <x:c r="D1082" s="21" t="str">
        <x:v>stage 190 planned conservation</x:v>
      </x:c>
      <x:c r="E1082" s="21" t="n">
        <x:f>IF(ABS('Stage Ledger'!J196-MIN('Stage Ledger'!F196,'Stage Ledger'!H196,'Stage Ledger'!I196))&lt;0.000001,1,0)</x:f>
        <x:v>1</x:v>
      </x:c>
      <x:c r="F1082" s="21" t="n">
        <x:v>1</x:v>
      </x:c>
      <x:c r="G1082" s="23" t="str">
        <x:f>IF(E1082=F1082,"PASS","FAIL")</x:f>
        <x:v>PASS</x:v>
      </x:c>
    </x:row>
    <x:row r="1083">
      <x:c r="B1083" s="21" t="str">
        <x:v>A01077</x:v>
      </x:c>
      <x:c r="C1083" s="21" t="str">
        <x:v>stage</x:v>
      </x:c>
      <x:c r="D1083" s="21" t="str">
        <x:v>stage 190 observed conservation</x:v>
      </x:c>
      <x:c r="E1083" s="21" t="n">
        <x:f>IF(AND(ABS('Stage Ledger'!R196-IF(AND('Stage Ledger'!P196=1,'Stage Ledger'!Q196=1),MIN('Stage Ledger'!F196,'Stage Ledger'!M196,'Stage Ledger'!R195),0))&lt;0.000001,'Stage Ledger'!S196=IF('Stage Ledger'!R196&gt;='Stage Ledger'!F196,"ADMITTED","NOT ADMITTED")),1,0)</x:f>
        <x:v>1</x:v>
      </x:c>
      <x:c r="F1083" s="21" t="n">
        <x:v>1</x:v>
      </x:c>
      <x:c r="G1083" s="23" t="str">
        <x:f>IF(E1083=F1083,"PASS","FAIL")</x:f>
        <x:v>PASS</x:v>
      </x:c>
    </x:row>
    <x:row r="1084">
      <x:c r="B1084" s="21" t="str">
        <x:v>A01078</x:v>
      </x:c>
      <x:c r="C1084" s="21" t="str">
        <x:v>stage</x:v>
      </x:c>
      <x:c r="D1084" s="21" t="str">
        <x:v>stage 191 planned conservation</x:v>
      </x:c>
      <x:c r="E1084" s="21" t="n">
        <x:f>IF(ABS('Stage Ledger'!J197-MIN('Stage Ledger'!F197,'Stage Ledger'!H197,'Stage Ledger'!I197))&lt;0.000001,1,0)</x:f>
        <x:v>1</x:v>
      </x:c>
      <x:c r="F1084" s="21" t="n">
        <x:v>1</x:v>
      </x:c>
      <x:c r="G1084" s="23" t="str">
        <x:f>IF(E1084=F1084,"PASS","FAIL")</x:f>
        <x:v>PASS</x:v>
      </x:c>
    </x:row>
    <x:row r="1085">
      <x:c r="B1085" s="21" t="str">
        <x:v>A01079</x:v>
      </x:c>
      <x:c r="C1085" s="21" t="str">
        <x:v>stage</x:v>
      </x:c>
      <x:c r="D1085" s="21" t="str">
        <x:v>stage 191 observed conservation</x:v>
      </x:c>
      <x:c r="E1085" s="21" t="n">
        <x:f>IF(AND(ABS('Stage Ledger'!R197-IF(AND('Stage Ledger'!P197=1,'Stage Ledger'!Q197=1),MIN('Stage Ledger'!F197,'Stage Ledger'!M197,'Stage Ledger'!R196),0))&lt;0.000001,'Stage Ledger'!S197=IF('Stage Ledger'!R197&gt;='Stage Ledger'!F197,"ADMITTED","NOT ADMITTED")),1,0)</x:f>
        <x:v>1</x:v>
      </x:c>
      <x:c r="F1085" s="21" t="n">
        <x:v>1</x:v>
      </x:c>
      <x:c r="G1085" s="23" t="str">
        <x:f>IF(E1085=F1085,"PASS","FAIL")</x:f>
        <x:v>PASS</x:v>
      </x:c>
    </x:row>
    <x:row r="1086">
      <x:c r="B1086" s="21" t="str">
        <x:v>A01080</x:v>
      </x:c>
      <x:c r="C1086" s="21" t="str">
        <x:v>stage</x:v>
      </x:c>
      <x:c r="D1086" s="21" t="str">
        <x:v>stage 192 planned conservation</x:v>
      </x:c>
      <x:c r="E1086" s="21" t="n">
        <x:f>IF(ABS('Stage Ledger'!J198-MIN('Stage Ledger'!F198,'Stage Ledger'!H198,'Stage Ledger'!I198))&lt;0.000001,1,0)</x:f>
        <x:v>1</x:v>
      </x:c>
      <x:c r="F1086" s="21" t="n">
        <x:v>1</x:v>
      </x:c>
      <x:c r="G1086" s="23" t="str">
        <x:f>IF(E1086=F1086,"PASS","FAIL")</x:f>
        <x:v>PASS</x:v>
      </x:c>
    </x:row>
    <x:row r="1087">
      <x:c r="B1087" s="21" t="str">
        <x:v>A01081</x:v>
      </x:c>
      <x:c r="C1087" s="21" t="str">
        <x:v>stage</x:v>
      </x:c>
      <x:c r="D1087" s="21" t="str">
        <x:v>stage 192 observed conservation</x:v>
      </x:c>
      <x:c r="E1087" s="21" t="n">
        <x:f>IF(AND(ABS('Stage Ledger'!R198-IF(AND('Stage Ledger'!P198=1,'Stage Ledger'!Q198=1),MIN('Stage Ledger'!F198,'Stage Ledger'!M198,'Stage Ledger'!R197),0))&lt;0.000001,'Stage Ledger'!S198=IF('Stage Ledger'!R198&gt;='Stage Ledger'!F198,"ADMITTED","NOT ADMITTED")),1,0)</x:f>
        <x:v>1</x:v>
      </x:c>
      <x:c r="F1087" s="21" t="n">
        <x:v>1</x:v>
      </x:c>
      <x:c r="G1087" s="23" t="str">
        <x:f>IF(E1087=F1087,"PASS","FAIL")</x:f>
        <x:v>PASS</x:v>
      </x:c>
    </x:row>
    <x:row r="1088">
      <x:c r="B1088" s="21" t="str">
        <x:v>A01082</x:v>
      </x:c>
      <x:c r="C1088" s="21" t="str">
        <x:v>stage</x:v>
      </x:c>
      <x:c r="D1088" s="21" t="str">
        <x:v>stage 193 planned conservation</x:v>
      </x:c>
      <x:c r="E1088" s="21" t="n">
        <x:f>IF(ABS('Stage Ledger'!J199-MIN('Stage Ledger'!F199,'Stage Ledger'!H199,'Stage Ledger'!I199))&lt;0.000001,1,0)</x:f>
        <x:v>1</x:v>
      </x:c>
      <x:c r="F1088" s="21" t="n">
        <x:v>1</x:v>
      </x:c>
      <x:c r="G1088" s="23" t="str">
        <x:f>IF(E1088=F1088,"PASS","FAIL")</x:f>
        <x:v>PASS</x:v>
      </x:c>
    </x:row>
    <x:row r="1089">
      <x:c r="B1089" s="21" t="str">
        <x:v>A01083</x:v>
      </x:c>
      <x:c r="C1089" s="21" t="str">
        <x:v>stage</x:v>
      </x:c>
      <x:c r="D1089" s="21" t="str">
        <x:v>stage 193 observed conservation</x:v>
      </x:c>
      <x:c r="E1089" s="21" t="n">
        <x:f>IF(AND(ABS('Stage Ledger'!R199-IF(AND('Stage Ledger'!P199=1,'Stage Ledger'!Q199=1),MIN('Stage Ledger'!F199,'Stage Ledger'!M199),0))&lt;0.000001,'Stage Ledger'!S199=IF('Stage Ledger'!R199&gt;='Stage Ledger'!F199,"ADMITTED","NOT ADMITTED")),1,0)</x:f>
        <x:v>1</x:v>
      </x:c>
      <x:c r="F1089" s="21" t="n">
        <x:v>1</x:v>
      </x:c>
      <x:c r="G1089" s="23" t="str">
        <x:f>IF(E1089=F1089,"PASS","FAIL")</x:f>
        <x:v>PASS</x:v>
      </x:c>
    </x:row>
    <x:row r="1090">
      <x:c r="B1090" s="21" t="str">
        <x:v>A01084</x:v>
      </x:c>
      <x:c r="C1090" s="21" t="str">
        <x:v>stage</x:v>
      </x:c>
      <x:c r="D1090" s="21" t="str">
        <x:v>stage 194 planned conservation</x:v>
      </x:c>
      <x:c r="E1090" s="21" t="n">
        <x:f>IF(ABS('Stage Ledger'!J200-MIN('Stage Ledger'!F200,'Stage Ledger'!H200,'Stage Ledger'!I200))&lt;0.000001,1,0)</x:f>
        <x:v>1</x:v>
      </x:c>
      <x:c r="F1090" s="21" t="n">
        <x:v>1</x:v>
      </x:c>
      <x:c r="G1090" s="23" t="str">
        <x:f>IF(E1090=F1090,"PASS","FAIL")</x:f>
        <x:v>PASS</x:v>
      </x:c>
    </x:row>
    <x:row r="1091">
      <x:c r="B1091" s="21" t="str">
        <x:v>A01085</x:v>
      </x:c>
      <x:c r="C1091" s="21" t="str">
        <x:v>stage</x:v>
      </x:c>
      <x:c r="D1091" s="21" t="str">
        <x:v>stage 194 observed conservation</x:v>
      </x:c>
      <x:c r="E1091" s="21" t="n">
        <x:f>IF(AND(ABS('Stage Ledger'!R200-IF(AND('Stage Ledger'!P200=1,'Stage Ledger'!Q200=1),MIN('Stage Ledger'!F200,'Stage Ledger'!M200,'Stage Ledger'!R199),0))&lt;0.000001,'Stage Ledger'!S200=IF('Stage Ledger'!R200&gt;='Stage Ledger'!F200,"ADMITTED","NOT ADMITTED")),1,0)</x:f>
        <x:v>1</x:v>
      </x:c>
      <x:c r="F1091" s="21" t="n">
        <x:v>1</x:v>
      </x:c>
      <x:c r="G1091" s="23" t="str">
        <x:f>IF(E1091=F1091,"PASS","FAIL")</x:f>
        <x:v>PASS</x:v>
      </x:c>
    </x:row>
    <x:row r="1092">
      <x:c r="B1092" s="21" t="str">
        <x:v>A01086</x:v>
      </x:c>
      <x:c r="C1092" s="21" t="str">
        <x:v>stage</x:v>
      </x:c>
      <x:c r="D1092" s="21" t="str">
        <x:v>stage 195 planned conservation</x:v>
      </x:c>
      <x:c r="E1092" s="21" t="n">
        <x:f>IF(ABS('Stage Ledger'!J201-MIN('Stage Ledger'!F201,'Stage Ledger'!H201,'Stage Ledger'!I201))&lt;0.000001,1,0)</x:f>
        <x:v>1</x:v>
      </x:c>
      <x:c r="F1092" s="21" t="n">
        <x:v>1</x:v>
      </x:c>
      <x:c r="G1092" s="23" t="str">
        <x:f>IF(E1092=F1092,"PASS","FAIL")</x:f>
        <x:v>PASS</x:v>
      </x:c>
    </x:row>
    <x:row r="1093">
      <x:c r="B1093" s="21" t="str">
        <x:v>A01087</x:v>
      </x:c>
      <x:c r="C1093" s="21" t="str">
        <x:v>stage</x:v>
      </x:c>
      <x:c r="D1093" s="21" t="str">
        <x:v>stage 195 observed conservation</x:v>
      </x:c>
      <x:c r="E1093" s="21" t="n">
        <x:f>IF(AND(ABS('Stage Ledger'!R201-IF(AND('Stage Ledger'!P201=1,'Stage Ledger'!Q201=1),MIN('Stage Ledger'!F201,'Stage Ledger'!M201,'Stage Ledger'!R200),0))&lt;0.000001,'Stage Ledger'!S201=IF('Stage Ledger'!R201&gt;='Stage Ledger'!F201,"ADMITTED","NOT ADMITTED")),1,0)</x:f>
        <x:v>1</x:v>
      </x:c>
      <x:c r="F1093" s="21" t="n">
        <x:v>1</x:v>
      </x:c>
      <x:c r="G1093" s="23" t="str">
        <x:f>IF(E1093=F1093,"PASS","FAIL")</x:f>
        <x:v>PASS</x:v>
      </x:c>
    </x:row>
    <x:row r="1094">
      <x:c r="B1094" s="21" t="str">
        <x:v>A01088</x:v>
      </x:c>
      <x:c r="C1094" s="21" t="str">
        <x:v>stage</x:v>
      </x:c>
      <x:c r="D1094" s="21" t="str">
        <x:v>stage 196 planned conservation</x:v>
      </x:c>
      <x:c r="E1094" s="21" t="n">
        <x:f>IF(ABS('Stage Ledger'!J202-MIN('Stage Ledger'!F202,'Stage Ledger'!H202,'Stage Ledger'!I202))&lt;0.000001,1,0)</x:f>
        <x:v>1</x:v>
      </x:c>
      <x:c r="F1094" s="21" t="n">
        <x:v>1</x:v>
      </x:c>
      <x:c r="G1094" s="23" t="str">
        <x:f>IF(E1094=F1094,"PASS","FAIL")</x:f>
        <x:v>PASS</x:v>
      </x:c>
    </x:row>
    <x:row r="1095">
      <x:c r="B1095" s="21" t="str">
        <x:v>A01089</x:v>
      </x:c>
      <x:c r="C1095" s="21" t="str">
        <x:v>stage</x:v>
      </x:c>
      <x:c r="D1095" s="21" t="str">
        <x:v>stage 196 observed conservation</x:v>
      </x:c>
      <x:c r="E1095" s="21" t="n">
        <x:f>IF(AND(ABS('Stage Ledger'!R202-IF(AND('Stage Ledger'!P202=1,'Stage Ledger'!Q202=1),MIN('Stage Ledger'!F202,'Stage Ledger'!M202,'Stage Ledger'!R201),0))&lt;0.000001,'Stage Ledger'!S202=IF('Stage Ledger'!R202&gt;='Stage Ledger'!F202,"ADMITTED","NOT ADMITTED")),1,0)</x:f>
        <x:v>1</x:v>
      </x:c>
      <x:c r="F1095" s="21" t="n">
        <x:v>1</x:v>
      </x:c>
      <x:c r="G1095" s="23" t="str">
        <x:f>IF(E1095=F1095,"PASS","FAIL")</x:f>
        <x:v>PASS</x:v>
      </x:c>
    </x:row>
    <x:row r="1096">
      <x:c r="B1096" s="21" t="str">
        <x:v>A01090</x:v>
      </x:c>
      <x:c r="C1096" s="21" t="str">
        <x:v>stage</x:v>
      </x:c>
      <x:c r="D1096" s="21" t="str">
        <x:v>stage 197 planned conservation</x:v>
      </x:c>
      <x:c r="E1096" s="21" t="n">
        <x:f>IF(ABS('Stage Ledger'!J203-MIN('Stage Ledger'!F203,'Stage Ledger'!H203,'Stage Ledger'!I203))&lt;0.000001,1,0)</x:f>
        <x:v>1</x:v>
      </x:c>
      <x:c r="F1096" s="21" t="n">
        <x:v>1</x:v>
      </x:c>
      <x:c r="G1096" s="23" t="str">
        <x:f>IF(E1096=F1096,"PASS","FAIL")</x:f>
        <x:v>PASS</x:v>
      </x:c>
    </x:row>
    <x:row r="1097">
      <x:c r="B1097" s="21" t="str">
        <x:v>A01091</x:v>
      </x:c>
      <x:c r="C1097" s="21" t="str">
        <x:v>stage</x:v>
      </x:c>
      <x:c r="D1097" s="21" t="str">
        <x:v>stage 197 observed conservation</x:v>
      </x:c>
      <x:c r="E1097" s="21" t="n">
        <x:f>IF(AND(ABS('Stage Ledger'!R203-IF(AND('Stage Ledger'!P203=1,'Stage Ledger'!Q203=1),MIN('Stage Ledger'!F203,'Stage Ledger'!M203,'Stage Ledger'!R202),0))&lt;0.000001,'Stage Ledger'!S203=IF('Stage Ledger'!R203&gt;='Stage Ledger'!F203,"ADMITTED","NOT ADMITTED")),1,0)</x:f>
        <x:v>1</x:v>
      </x:c>
      <x:c r="F1097" s="21" t="n">
        <x:v>1</x:v>
      </x:c>
      <x:c r="G1097" s="23" t="str">
        <x:f>IF(E1097=F1097,"PASS","FAIL")</x:f>
        <x:v>PASS</x:v>
      </x:c>
    </x:row>
    <x:row r="1098">
      <x:c r="B1098" s="21" t="str">
        <x:v>A01092</x:v>
      </x:c>
      <x:c r="C1098" s="21" t="str">
        <x:v>stage</x:v>
      </x:c>
      <x:c r="D1098" s="21" t="str">
        <x:v>stage 198 planned conservation</x:v>
      </x:c>
      <x:c r="E1098" s="21" t="n">
        <x:f>IF(ABS('Stage Ledger'!J204-MIN('Stage Ledger'!F204,'Stage Ledger'!H204,'Stage Ledger'!I204))&lt;0.000001,1,0)</x:f>
        <x:v>1</x:v>
      </x:c>
      <x:c r="F1098" s="21" t="n">
        <x:v>1</x:v>
      </x:c>
      <x:c r="G1098" s="23" t="str">
        <x:f>IF(E1098=F1098,"PASS","FAIL")</x:f>
        <x:v>PASS</x:v>
      </x:c>
    </x:row>
    <x:row r="1099">
      <x:c r="B1099" s="21" t="str">
        <x:v>A01093</x:v>
      </x:c>
      <x:c r="C1099" s="21" t="str">
        <x:v>stage</x:v>
      </x:c>
      <x:c r="D1099" s="21" t="str">
        <x:v>stage 198 observed conservation</x:v>
      </x:c>
      <x:c r="E1099" s="21" t="n">
        <x:f>IF(AND(ABS('Stage Ledger'!R204-IF(AND('Stage Ledger'!P204=1,'Stage Ledger'!Q204=1),MIN('Stage Ledger'!F204,'Stage Ledger'!M204,'Stage Ledger'!R203),0))&lt;0.000001,'Stage Ledger'!S204=IF('Stage Ledger'!R204&gt;='Stage Ledger'!F204,"ADMITTED","NOT ADMITTED")),1,0)</x:f>
        <x:v>1</x:v>
      </x:c>
      <x:c r="F1099" s="21" t="n">
        <x:v>1</x:v>
      </x:c>
      <x:c r="G1099" s="23" t="str">
        <x:f>IF(E1099=F1099,"PASS","FAIL")</x:f>
        <x:v>PASS</x:v>
      </x:c>
    </x:row>
    <x:row r="1100">
      <x:c r="B1100" s="21" t="str">
        <x:v>A01094</x:v>
      </x:c>
      <x:c r="C1100" s="21" t="str">
        <x:v>stage</x:v>
      </x:c>
      <x:c r="D1100" s="21" t="str">
        <x:v>stage 199 planned conservation</x:v>
      </x:c>
      <x:c r="E1100" s="21" t="n">
        <x:f>IF(ABS('Stage Ledger'!J205-MIN('Stage Ledger'!F205,'Stage Ledger'!H205,'Stage Ledger'!I205))&lt;0.000001,1,0)</x:f>
        <x:v>1</x:v>
      </x:c>
      <x:c r="F1100" s="21" t="n">
        <x:v>1</x:v>
      </x:c>
      <x:c r="G1100" s="23" t="str">
        <x:f>IF(E1100=F1100,"PASS","FAIL")</x:f>
        <x:v>PASS</x:v>
      </x:c>
    </x:row>
    <x:row r="1101">
      <x:c r="B1101" s="21" t="str">
        <x:v>A01095</x:v>
      </x:c>
      <x:c r="C1101" s="21" t="str">
        <x:v>stage</x:v>
      </x:c>
      <x:c r="D1101" s="21" t="str">
        <x:v>stage 199 observed conservation</x:v>
      </x:c>
      <x:c r="E1101" s="21" t="n">
        <x:f>IF(AND(ABS('Stage Ledger'!R205-IF(AND('Stage Ledger'!P205=1,'Stage Ledger'!Q205=1),MIN('Stage Ledger'!F205,'Stage Ledger'!M205,'Stage Ledger'!R204),0))&lt;0.000001,'Stage Ledger'!S205=IF('Stage Ledger'!R205&gt;='Stage Ledger'!F205,"ADMITTED","NOT ADMITTED")),1,0)</x:f>
        <x:v>1</x:v>
      </x:c>
      <x:c r="F1101" s="21" t="n">
        <x:v>1</x:v>
      </x:c>
      <x:c r="G1101" s="23" t="str">
        <x:f>IF(E1101=F1101,"PASS","FAIL")</x:f>
        <x:v>PASS</x:v>
      </x:c>
    </x:row>
    <x:row r="1102">
      <x:c r="B1102" s="21" t="str">
        <x:v>A01096</x:v>
      </x:c>
      <x:c r="C1102" s="21" t="str">
        <x:v>stage</x:v>
      </x:c>
      <x:c r="D1102" s="21" t="str">
        <x:v>stage 200 planned conservation</x:v>
      </x:c>
      <x:c r="E1102" s="21" t="n">
        <x:f>IF(ABS('Stage Ledger'!J206-MIN('Stage Ledger'!F206,'Stage Ledger'!H206,'Stage Ledger'!I206))&lt;0.000001,1,0)</x:f>
        <x:v>1</x:v>
      </x:c>
      <x:c r="F1102" s="21" t="n">
        <x:v>1</x:v>
      </x:c>
      <x:c r="G1102" s="23" t="str">
        <x:f>IF(E1102=F1102,"PASS","FAIL")</x:f>
        <x:v>PASS</x:v>
      </x:c>
    </x:row>
    <x:row r="1103">
      <x:c r="B1103" s="21" t="str">
        <x:v>A01097</x:v>
      </x:c>
      <x:c r="C1103" s="21" t="str">
        <x:v>stage</x:v>
      </x:c>
      <x:c r="D1103" s="21" t="str">
        <x:v>stage 200 observed conservation</x:v>
      </x:c>
      <x:c r="E1103" s="21" t="n">
        <x:f>IF(AND(ABS('Stage Ledger'!R206-IF(AND('Stage Ledger'!P206=1,'Stage Ledger'!Q206=1),MIN('Stage Ledger'!F206,'Stage Ledger'!M206,'Stage Ledger'!R205),0))&lt;0.000001,'Stage Ledger'!S206=IF('Stage Ledger'!R206&gt;='Stage Ledger'!F206,"ADMITTED","NOT ADMITTED")),1,0)</x:f>
        <x:v>1</x:v>
      </x:c>
      <x:c r="F1103" s="21" t="n">
        <x:v>1</x:v>
      </x:c>
      <x:c r="G1103" s="23" t="str">
        <x:f>IF(E1103=F1103,"PASS","FAIL")</x:f>
        <x:v>PASS</x:v>
      </x:c>
    </x:row>
    <x:row r="1104">
      <x:c r="B1104" s="21" t="str">
        <x:v>A01098</x:v>
      </x:c>
      <x:c r="C1104" s="21" t="str">
        <x:v>stage</x:v>
      </x:c>
      <x:c r="D1104" s="21" t="str">
        <x:v>stage 201 planned conservation</x:v>
      </x:c>
      <x:c r="E1104" s="21" t="n">
        <x:f>IF(ABS('Stage Ledger'!J207-MIN('Stage Ledger'!F207,'Stage Ledger'!H207,'Stage Ledger'!I207))&lt;0.000001,1,0)</x:f>
        <x:v>1</x:v>
      </x:c>
      <x:c r="F1104" s="21" t="n">
        <x:v>1</x:v>
      </x:c>
      <x:c r="G1104" s="23" t="str">
        <x:f>IF(E1104=F1104,"PASS","FAIL")</x:f>
        <x:v>PASS</x:v>
      </x:c>
    </x:row>
    <x:row r="1105">
      <x:c r="B1105" s="21" t="str">
        <x:v>A01099</x:v>
      </x:c>
      <x:c r="C1105" s="21" t="str">
        <x:v>stage</x:v>
      </x:c>
      <x:c r="D1105" s="21" t="str">
        <x:v>stage 201 observed conservation</x:v>
      </x:c>
      <x:c r="E1105" s="21" t="n">
        <x:f>IF(AND(ABS('Stage Ledger'!R207-IF(AND('Stage Ledger'!P207=1,'Stage Ledger'!Q207=1),MIN('Stage Ledger'!F207,'Stage Ledger'!M207,'Stage Ledger'!R206),0))&lt;0.000001,'Stage Ledger'!S207=IF('Stage Ledger'!R207&gt;='Stage Ledger'!F207,"ADMITTED","NOT ADMITTED")),1,0)</x:f>
        <x:v>1</x:v>
      </x:c>
      <x:c r="F1105" s="21" t="n">
        <x:v>1</x:v>
      </x:c>
      <x:c r="G1105" s="23" t="str">
        <x:f>IF(E1105=F1105,"PASS","FAIL")</x:f>
        <x:v>PASS</x:v>
      </x:c>
    </x:row>
    <x:row r="1106">
      <x:c r="B1106" s="21" t="str">
        <x:v>A01100</x:v>
      </x:c>
      <x:c r="C1106" s="21" t="str">
        <x:v>stage</x:v>
      </x:c>
      <x:c r="D1106" s="21" t="str">
        <x:v>stage 202 planned conservation</x:v>
      </x:c>
      <x:c r="E1106" s="21" t="n">
        <x:f>IF(ABS('Stage Ledger'!J208-MIN('Stage Ledger'!F208,'Stage Ledger'!H208,'Stage Ledger'!I208))&lt;0.000001,1,0)</x:f>
        <x:v>1</x:v>
      </x:c>
      <x:c r="F1106" s="21" t="n">
        <x:v>1</x:v>
      </x:c>
      <x:c r="G1106" s="23" t="str">
        <x:f>IF(E1106=F1106,"PASS","FAIL")</x:f>
        <x:v>PASS</x:v>
      </x:c>
    </x:row>
    <x:row r="1107">
      <x:c r="B1107" s="21" t="str">
        <x:v>A01101</x:v>
      </x:c>
      <x:c r="C1107" s="21" t="str">
        <x:v>stage</x:v>
      </x:c>
      <x:c r="D1107" s="21" t="str">
        <x:v>stage 202 observed conservation</x:v>
      </x:c>
      <x:c r="E1107" s="21" t="n">
        <x:f>IF(AND(ABS('Stage Ledger'!R208-IF(AND('Stage Ledger'!P208=1,'Stage Ledger'!Q208=1),MIN('Stage Ledger'!F208,'Stage Ledger'!M208,'Stage Ledger'!R207),0))&lt;0.000001,'Stage Ledger'!S208=IF('Stage Ledger'!R208&gt;='Stage Ledger'!F208,"ADMITTED","NOT ADMITTED")),1,0)</x:f>
        <x:v>1</x:v>
      </x:c>
      <x:c r="F1107" s="21" t="n">
        <x:v>1</x:v>
      </x:c>
      <x:c r="G1107" s="23" t="str">
        <x:f>IF(E1107=F1107,"PASS","FAIL")</x:f>
        <x:v>PASS</x:v>
      </x:c>
    </x:row>
    <x:row r="1108">
      <x:c r="B1108" s="21" t="str">
        <x:v>A01102</x:v>
      </x:c>
      <x:c r="C1108" s="21" t="str">
        <x:v>stage</x:v>
      </x:c>
      <x:c r="D1108" s="21" t="str">
        <x:v>stage 203 planned conservation</x:v>
      </x:c>
      <x:c r="E1108" s="21" t="n">
        <x:f>IF(ABS('Stage Ledger'!J209-MIN('Stage Ledger'!F209,'Stage Ledger'!H209,'Stage Ledger'!I209))&lt;0.000001,1,0)</x:f>
        <x:v>1</x:v>
      </x:c>
      <x:c r="F1108" s="21" t="n">
        <x:v>1</x:v>
      </x:c>
      <x:c r="G1108" s="23" t="str">
        <x:f>IF(E1108=F1108,"PASS","FAIL")</x:f>
        <x:v>PASS</x:v>
      </x:c>
    </x:row>
    <x:row r="1109">
      <x:c r="B1109" s="21" t="str">
        <x:v>A01103</x:v>
      </x:c>
      <x:c r="C1109" s="21" t="str">
        <x:v>stage</x:v>
      </x:c>
      <x:c r="D1109" s="21" t="str">
        <x:v>stage 203 observed conservation</x:v>
      </x:c>
      <x:c r="E1109" s="21" t="n">
        <x:f>IF(AND(ABS('Stage Ledger'!R209-IF(AND('Stage Ledger'!P209=1,'Stage Ledger'!Q209=1),MIN('Stage Ledger'!F209,'Stage Ledger'!M209,'Stage Ledger'!R208),0))&lt;0.000001,'Stage Ledger'!S209=IF('Stage Ledger'!R209&gt;='Stage Ledger'!F209,"ADMITTED","NOT ADMITTED")),1,0)</x:f>
        <x:v>1</x:v>
      </x:c>
      <x:c r="F1109" s="21" t="n">
        <x:v>1</x:v>
      </x:c>
      <x:c r="G1109" s="23" t="str">
        <x:f>IF(E1109=F1109,"PASS","FAIL")</x:f>
        <x:v>PASS</x:v>
      </x:c>
    </x:row>
    <x:row r="1110">
      <x:c r="B1110" s="21" t="str">
        <x:v>A01104</x:v>
      </x:c>
      <x:c r="C1110" s="21" t="str">
        <x:v>stage</x:v>
      </x:c>
      <x:c r="D1110" s="21" t="str">
        <x:v>stage 204 planned conservation</x:v>
      </x:c>
      <x:c r="E1110" s="21" t="n">
        <x:f>IF(ABS('Stage Ledger'!J210-MIN('Stage Ledger'!F210,'Stage Ledger'!H210,'Stage Ledger'!I210))&lt;0.000001,1,0)</x:f>
        <x:v>1</x:v>
      </x:c>
      <x:c r="F1110" s="21" t="n">
        <x:v>1</x:v>
      </x:c>
      <x:c r="G1110" s="23" t="str">
        <x:f>IF(E1110=F1110,"PASS","FAIL")</x:f>
        <x:v>PASS</x:v>
      </x:c>
    </x:row>
    <x:row r="1111">
      <x:c r="B1111" s="21" t="str">
        <x:v>A01105</x:v>
      </x:c>
      <x:c r="C1111" s="21" t="str">
        <x:v>stage</x:v>
      </x:c>
      <x:c r="D1111" s="21" t="str">
        <x:v>stage 204 observed conservation</x:v>
      </x:c>
      <x:c r="E1111" s="21" t="n">
        <x:f>IF(AND(ABS('Stage Ledger'!R210-IF(AND('Stage Ledger'!P210=1,'Stage Ledger'!Q210=1),MIN('Stage Ledger'!F210,'Stage Ledger'!M210,'Stage Ledger'!R209),0))&lt;0.000001,'Stage Ledger'!S210=IF('Stage Ledger'!R210&gt;='Stage Ledger'!F210,"ADMITTED","NOT ADMITTED")),1,0)</x:f>
        <x:v>1</x:v>
      </x:c>
      <x:c r="F1111" s="21" t="n">
        <x:v>1</x:v>
      </x:c>
      <x:c r="G1111" s="23" t="str">
        <x:f>IF(E1111=F1111,"PASS","FAIL")</x:f>
        <x:v>PASS</x:v>
      </x:c>
    </x:row>
    <x:row r="1112">
      <x:c r="B1112" s="21" t="str">
        <x:v>A01106</x:v>
      </x:c>
      <x:c r="C1112" s="21" t="str">
        <x:v>stage</x:v>
      </x:c>
      <x:c r="D1112" s="21" t="str">
        <x:v>stage 205 planned conservation</x:v>
      </x:c>
      <x:c r="E1112" s="21" t="n">
        <x:f>IF(ABS('Stage Ledger'!J211-MIN('Stage Ledger'!F211,'Stage Ledger'!H211,'Stage Ledger'!I211))&lt;0.000001,1,0)</x:f>
        <x:v>1</x:v>
      </x:c>
      <x:c r="F1112" s="21" t="n">
        <x:v>1</x:v>
      </x:c>
      <x:c r="G1112" s="23" t="str">
        <x:f>IF(E1112=F1112,"PASS","FAIL")</x:f>
        <x:v>PASS</x:v>
      </x:c>
    </x:row>
    <x:row r="1113">
      <x:c r="B1113" s="21" t="str">
        <x:v>A01107</x:v>
      </x:c>
      <x:c r="C1113" s="21" t="str">
        <x:v>stage</x:v>
      </x:c>
      <x:c r="D1113" s="21" t="str">
        <x:v>stage 205 observed conservation</x:v>
      </x:c>
      <x:c r="E1113" s="21" t="n">
        <x:f>IF(AND(ABS('Stage Ledger'!R211-IF(AND('Stage Ledger'!P211=1,'Stage Ledger'!Q211=1),MIN('Stage Ledger'!F211,'Stage Ledger'!M211),0))&lt;0.000001,'Stage Ledger'!S211=IF('Stage Ledger'!R211&gt;='Stage Ledger'!F211,"ADMITTED","NOT ADMITTED")),1,0)</x:f>
        <x:v>1</x:v>
      </x:c>
      <x:c r="F1113" s="21" t="n">
        <x:v>1</x:v>
      </x:c>
      <x:c r="G1113" s="23" t="str">
        <x:f>IF(E1113=F1113,"PASS","FAIL")</x:f>
        <x:v>PASS</x:v>
      </x:c>
    </x:row>
    <x:row r="1114">
      <x:c r="B1114" s="21" t="str">
        <x:v>A01108</x:v>
      </x:c>
      <x:c r="C1114" s="21" t="str">
        <x:v>stage</x:v>
      </x:c>
      <x:c r="D1114" s="21" t="str">
        <x:v>stage 206 planned conservation</x:v>
      </x:c>
      <x:c r="E1114" s="21" t="n">
        <x:f>IF(ABS('Stage Ledger'!J212-MIN('Stage Ledger'!F212,'Stage Ledger'!H212,'Stage Ledger'!I212))&lt;0.000001,1,0)</x:f>
        <x:v>1</x:v>
      </x:c>
      <x:c r="F1114" s="21" t="n">
        <x:v>1</x:v>
      </x:c>
      <x:c r="G1114" s="23" t="str">
        <x:f>IF(E1114=F1114,"PASS","FAIL")</x:f>
        <x:v>PASS</x:v>
      </x:c>
    </x:row>
    <x:row r="1115">
      <x:c r="B1115" s="21" t="str">
        <x:v>A01109</x:v>
      </x:c>
      <x:c r="C1115" s="21" t="str">
        <x:v>stage</x:v>
      </x:c>
      <x:c r="D1115" s="21" t="str">
        <x:v>stage 206 observed conservation</x:v>
      </x:c>
      <x:c r="E1115" s="21" t="n">
        <x:f>IF(AND(ABS('Stage Ledger'!R212-IF(AND('Stage Ledger'!P212=1,'Stage Ledger'!Q212=1),MIN('Stage Ledger'!F212,'Stage Ledger'!M212,'Stage Ledger'!R211),0))&lt;0.000001,'Stage Ledger'!S212=IF('Stage Ledger'!R212&gt;='Stage Ledger'!F212,"ADMITTED","NOT ADMITTED")),1,0)</x:f>
        <x:v>1</x:v>
      </x:c>
      <x:c r="F1115" s="21" t="n">
        <x:v>1</x:v>
      </x:c>
      <x:c r="G1115" s="23" t="str">
        <x:f>IF(E1115=F1115,"PASS","FAIL")</x:f>
        <x:v>PASS</x:v>
      </x:c>
    </x:row>
    <x:row r="1116">
      <x:c r="B1116" s="21" t="str">
        <x:v>A01110</x:v>
      </x:c>
      <x:c r="C1116" s="21" t="str">
        <x:v>stage</x:v>
      </x:c>
      <x:c r="D1116" s="21" t="str">
        <x:v>stage 207 planned conservation</x:v>
      </x:c>
      <x:c r="E1116" s="21" t="n">
        <x:f>IF(ABS('Stage Ledger'!J213-MIN('Stage Ledger'!F213,'Stage Ledger'!H213,'Stage Ledger'!I213))&lt;0.000001,1,0)</x:f>
        <x:v>1</x:v>
      </x:c>
      <x:c r="F1116" s="21" t="n">
        <x:v>1</x:v>
      </x:c>
      <x:c r="G1116" s="23" t="str">
        <x:f>IF(E1116=F1116,"PASS","FAIL")</x:f>
        <x:v>PASS</x:v>
      </x:c>
    </x:row>
    <x:row r="1117">
      <x:c r="B1117" s="21" t="str">
        <x:v>A01111</x:v>
      </x:c>
      <x:c r="C1117" s="21" t="str">
        <x:v>stage</x:v>
      </x:c>
      <x:c r="D1117" s="21" t="str">
        <x:v>stage 207 observed conservation</x:v>
      </x:c>
      <x:c r="E1117" s="21" t="n">
        <x:f>IF(AND(ABS('Stage Ledger'!R213-IF(AND('Stage Ledger'!P213=1,'Stage Ledger'!Q213=1),MIN('Stage Ledger'!F213,'Stage Ledger'!M213,'Stage Ledger'!R212),0))&lt;0.000001,'Stage Ledger'!S213=IF('Stage Ledger'!R213&gt;='Stage Ledger'!F213,"ADMITTED","NOT ADMITTED")),1,0)</x:f>
        <x:v>1</x:v>
      </x:c>
      <x:c r="F1117" s="21" t="n">
        <x:v>1</x:v>
      </x:c>
      <x:c r="G1117" s="23" t="str">
        <x:f>IF(E1117=F1117,"PASS","FAIL")</x:f>
        <x:v>PASS</x:v>
      </x:c>
    </x:row>
    <x:row r="1118">
      <x:c r="B1118" s="21" t="str">
        <x:v>A01112</x:v>
      </x:c>
      <x:c r="C1118" s="21" t="str">
        <x:v>stage</x:v>
      </x:c>
      <x:c r="D1118" s="21" t="str">
        <x:v>stage 208 planned conservation</x:v>
      </x:c>
      <x:c r="E1118" s="21" t="n">
        <x:f>IF(ABS('Stage Ledger'!J214-MIN('Stage Ledger'!F214,'Stage Ledger'!H214,'Stage Ledger'!I214))&lt;0.000001,1,0)</x:f>
        <x:v>1</x:v>
      </x:c>
      <x:c r="F1118" s="21" t="n">
        <x:v>1</x:v>
      </x:c>
      <x:c r="G1118" s="23" t="str">
        <x:f>IF(E1118=F1118,"PASS","FAIL")</x:f>
        <x:v>PASS</x:v>
      </x:c>
    </x:row>
    <x:row r="1119">
      <x:c r="B1119" s="21" t="str">
        <x:v>A01113</x:v>
      </x:c>
      <x:c r="C1119" s="21" t="str">
        <x:v>stage</x:v>
      </x:c>
      <x:c r="D1119" s="21" t="str">
        <x:v>stage 208 observed conservation</x:v>
      </x:c>
      <x:c r="E1119" s="21" t="n">
        <x:f>IF(AND(ABS('Stage Ledger'!R214-IF(AND('Stage Ledger'!P214=1,'Stage Ledger'!Q214=1),MIN('Stage Ledger'!F214,'Stage Ledger'!M214,'Stage Ledger'!R213),0))&lt;0.000001,'Stage Ledger'!S214=IF('Stage Ledger'!R214&gt;='Stage Ledger'!F214,"ADMITTED","NOT ADMITTED")),1,0)</x:f>
        <x:v>1</x:v>
      </x:c>
      <x:c r="F1119" s="21" t="n">
        <x:v>1</x:v>
      </x:c>
      <x:c r="G1119" s="23" t="str">
        <x:f>IF(E1119=F1119,"PASS","FAIL")</x:f>
        <x:v>PASS</x:v>
      </x:c>
    </x:row>
    <x:row r="1120">
      <x:c r="B1120" s="21" t="str">
        <x:v>A01114</x:v>
      </x:c>
      <x:c r="C1120" s="21" t="str">
        <x:v>stage</x:v>
      </x:c>
      <x:c r="D1120" s="21" t="str">
        <x:v>stage 209 planned conservation</x:v>
      </x:c>
      <x:c r="E1120" s="21" t="n">
        <x:f>IF(ABS('Stage Ledger'!J215-MIN('Stage Ledger'!F215,'Stage Ledger'!H215,'Stage Ledger'!I215))&lt;0.000001,1,0)</x:f>
        <x:v>1</x:v>
      </x:c>
      <x:c r="F1120" s="21" t="n">
        <x:v>1</x:v>
      </x:c>
      <x:c r="G1120" s="23" t="str">
        <x:f>IF(E1120=F1120,"PASS","FAIL")</x:f>
        <x:v>PASS</x:v>
      </x:c>
    </x:row>
    <x:row r="1121">
      <x:c r="B1121" s="21" t="str">
        <x:v>A01115</x:v>
      </x:c>
      <x:c r="C1121" s="21" t="str">
        <x:v>stage</x:v>
      </x:c>
      <x:c r="D1121" s="21" t="str">
        <x:v>stage 209 observed conservation</x:v>
      </x:c>
      <x:c r="E1121" s="21" t="n">
        <x:f>IF(AND(ABS('Stage Ledger'!R215-IF(AND('Stage Ledger'!P215=1,'Stage Ledger'!Q215=1),MIN('Stage Ledger'!F215,'Stage Ledger'!M215,'Stage Ledger'!R214),0))&lt;0.000001,'Stage Ledger'!S215=IF('Stage Ledger'!R215&gt;='Stage Ledger'!F215,"ADMITTED","NOT ADMITTED")),1,0)</x:f>
        <x:v>1</x:v>
      </x:c>
      <x:c r="F1121" s="21" t="n">
        <x:v>1</x:v>
      </x:c>
      <x:c r="G1121" s="23" t="str">
        <x:f>IF(E1121=F1121,"PASS","FAIL")</x:f>
        <x:v>PASS</x:v>
      </x:c>
    </x:row>
    <x:row r="1122">
      <x:c r="B1122" s="21" t="str">
        <x:v>A01116</x:v>
      </x:c>
      <x:c r="C1122" s="21" t="str">
        <x:v>stage</x:v>
      </x:c>
      <x:c r="D1122" s="21" t="str">
        <x:v>stage 210 planned conservation</x:v>
      </x:c>
      <x:c r="E1122" s="21" t="n">
        <x:f>IF(ABS('Stage Ledger'!J216-MIN('Stage Ledger'!F216,'Stage Ledger'!H216,'Stage Ledger'!I216))&lt;0.000001,1,0)</x:f>
        <x:v>1</x:v>
      </x:c>
      <x:c r="F1122" s="21" t="n">
        <x:v>1</x:v>
      </x:c>
      <x:c r="G1122" s="23" t="str">
        <x:f>IF(E1122=F1122,"PASS","FAIL")</x:f>
        <x:v>PASS</x:v>
      </x:c>
    </x:row>
    <x:row r="1123">
      <x:c r="B1123" s="21" t="str">
        <x:v>A01117</x:v>
      </x:c>
      <x:c r="C1123" s="21" t="str">
        <x:v>stage</x:v>
      </x:c>
      <x:c r="D1123" s="21" t="str">
        <x:v>stage 210 observed conservation</x:v>
      </x:c>
      <x:c r="E1123" s="21" t="n">
        <x:f>IF(AND(ABS('Stage Ledger'!R216-IF(AND('Stage Ledger'!P216=1,'Stage Ledger'!Q216=1),MIN('Stage Ledger'!F216,'Stage Ledger'!M216,'Stage Ledger'!R215),0))&lt;0.000001,'Stage Ledger'!S216=IF('Stage Ledger'!R216&gt;='Stage Ledger'!F216,"ADMITTED","NOT ADMITTED")),1,0)</x:f>
        <x:v>1</x:v>
      </x:c>
      <x:c r="F1123" s="21" t="n">
        <x:v>1</x:v>
      </x:c>
      <x:c r="G1123" s="23" t="str">
        <x:f>IF(E1123=F1123,"PASS","FAIL")</x:f>
        <x:v>PASS</x:v>
      </x:c>
    </x:row>
    <x:row r="1124">
      <x:c r="B1124" s="21" t="str">
        <x:v>A01118</x:v>
      </x:c>
      <x:c r="C1124" s="21" t="str">
        <x:v>stage</x:v>
      </x:c>
      <x:c r="D1124" s="21" t="str">
        <x:v>stage 211 planned conservation</x:v>
      </x:c>
      <x:c r="E1124" s="21" t="n">
        <x:f>IF(ABS('Stage Ledger'!J217-MIN('Stage Ledger'!F217,'Stage Ledger'!H217,'Stage Ledger'!I217))&lt;0.000001,1,0)</x:f>
        <x:v>1</x:v>
      </x:c>
      <x:c r="F1124" s="21" t="n">
        <x:v>1</x:v>
      </x:c>
      <x:c r="G1124" s="23" t="str">
        <x:f>IF(E1124=F1124,"PASS","FAIL")</x:f>
        <x:v>PASS</x:v>
      </x:c>
    </x:row>
    <x:row r="1125">
      <x:c r="B1125" s="21" t="str">
        <x:v>A01119</x:v>
      </x:c>
      <x:c r="C1125" s="21" t="str">
        <x:v>stage</x:v>
      </x:c>
      <x:c r="D1125" s="21" t="str">
        <x:v>stage 211 observed conservation</x:v>
      </x:c>
      <x:c r="E1125" s="21" t="n">
        <x:f>IF(AND(ABS('Stage Ledger'!R217-IF(AND('Stage Ledger'!P217=1,'Stage Ledger'!Q217=1),MIN('Stage Ledger'!F217,'Stage Ledger'!M217,'Stage Ledger'!R216),0))&lt;0.000001,'Stage Ledger'!S217=IF('Stage Ledger'!R217&gt;='Stage Ledger'!F217,"ADMITTED","NOT ADMITTED")),1,0)</x:f>
        <x:v>1</x:v>
      </x:c>
      <x:c r="F1125" s="21" t="n">
        <x:v>1</x:v>
      </x:c>
      <x:c r="G1125" s="23" t="str">
        <x:f>IF(E1125=F1125,"PASS","FAIL")</x:f>
        <x:v>PASS</x:v>
      </x:c>
    </x:row>
    <x:row r="1126">
      <x:c r="B1126" s="21" t="str">
        <x:v>A01120</x:v>
      </x:c>
      <x:c r="C1126" s="21" t="str">
        <x:v>stage</x:v>
      </x:c>
      <x:c r="D1126" s="21" t="str">
        <x:v>stage 212 planned conservation</x:v>
      </x:c>
      <x:c r="E1126" s="21" t="n">
        <x:f>IF(ABS('Stage Ledger'!J218-MIN('Stage Ledger'!F218,'Stage Ledger'!H218,'Stage Ledger'!I218))&lt;0.000001,1,0)</x:f>
        <x:v>1</x:v>
      </x:c>
      <x:c r="F1126" s="21" t="n">
        <x:v>1</x:v>
      </x:c>
      <x:c r="G1126" s="23" t="str">
        <x:f>IF(E1126=F1126,"PASS","FAIL")</x:f>
        <x:v>PASS</x:v>
      </x:c>
    </x:row>
    <x:row r="1127">
      <x:c r="B1127" s="21" t="str">
        <x:v>A01121</x:v>
      </x:c>
      <x:c r="C1127" s="21" t="str">
        <x:v>stage</x:v>
      </x:c>
      <x:c r="D1127" s="21" t="str">
        <x:v>stage 212 observed conservation</x:v>
      </x:c>
      <x:c r="E1127" s="21" t="n">
        <x:f>IF(AND(ABS('Stage Ledger'!R218-IF(AND('Stage Ledger'!P218=1,'Stage Ledger'!Q218=1),MIN('Stage Ledger'!F218,'Stage Ledger'!M218,'Stage Ledger'!R217),0))&lt;0.000001,'Stage Ledger'!S218=IF('Stage Ledger'!R218&gt;='Stage Ledger'!F218,"ADMITTED","NOT ADMITTED")),1,0)</x:f>
        <x:v>1</x:v>
      </x:c>
      <x:c r="F1127" s="21" t="n">
        <x:v>1</x:v>
      </x:c>
      <x:c r="G1127" s="23" t="str">
        <x:f>IF(E1127=F1127,"PASS","FAIL")</x:f>
        <x:v>PASS</x:v>
      </x:c>
    </x:row>
    <x:row r="1128">
      <x:c r="B1128" s="21" t="str">
        <x:v>A01122</x:v>
      </x:c>
      <x:c r="C1128" s="21" t="str">
        <x:v>stage</x:v>
      </x:c>
      <x:c r="D1128" s="21" t="str">
        <x:v>stage 213 planned conservation</x:v>
      </x:c>
      <x:c r="E1128" s="21" t="n">
        <x:f>IF(ABS('Stage Ledger'!J219-MIN('Stage Ledger'!F219,'Stage Ledger'!H219,'Stage Ledger'!I219))&lt;0.000001,1,0)</x:f>
        <x:v>1</x:v>
      </x:c>
      <x:c r="F1128" s="21" t="n">
        <x:v>1</x:v>
      </x:c>
      <x:c r="G1128" s="23" t="str">
        <x:f>IF(E1128=F1128,"PASS","FAIL")</x:f>
        <x:v>PASS</x:v>
      </x:c>
    </x:row>
    <x:row r="1129">
      <x:c r="B1129" s="21" t="str">
        <x:v>A01123</x:v>
      </x:c>
      <x:c r="C1129" s="21" t="str">
        <x:v>stage</x:v>
      </x:c>
      <x:c r="D1129" s="21" t="str">
        <x:v>stage 213 observed conservation</x:v>
      </x:c>
      <x:c r="E1129" s="21" t="n">
        <x:f>IF(AND(ABS('Stage Ledger'!R219-IF(AND('Stage Ledger'!P219=1,'Stage Ledger'!Q219=1),MIN('Stage Ledger'!F219,'Stage Ledger'!M219,'Stage Ledger'!R218),0))&lt;0.000001,'Stage Ledger'!S219=IF('Stage Ledger'!R219&gt;='Stage Ledger'!F219,"ADMITTED","NOT ADMITTED")),1,0)</x:f>
        <x:v>1</x:v>
      </x:c>
      <x:c r="F1129" s="21" t="n">
        <x:v>1</x:v>
      </x:c>
      <x:c r="G1129" s="23" t="str">
        <x:f>IF(E1129=F1129,"PASS","FAIL")</x:f>
        <x:v>PASS</x:v>
      </x:c>
    </x:row>
    <x:row r="1130">
      <x:c r="B1130" s="21" t="str">
        <x:v>A01124</x:v>
      </x:c>
      <x:c r="C1130" s="21" t="str">
        <x:v>stage</x:v>
      </x:c>
      <x:c r="D1130" s="21" t="str">
        <x:v>stage 214 planned conservation</x:v>
      </x:c>
      <x:c r="E1130" s="21" t="n">
        <x:f>IF(ABS('Stage Ledger'!J220-MIN('Stage Ledger'!F220,'Stage Ledger'!H220,'Stage Ledger'!I220))&lt;0.000001,1,0)</x:f>
        <x:v>1</x:v>
      </x:c>
      <x:c r="F1130" s="21" t="n">
        <x:v>1</x:v>
      </x:c>
      <x:c r="G1130" s="23" t="str">
        <x:f>IF(E1130=F1130,"PASS","FAIL")</x:f>
        <x:v>PASS</x:v>
      </x:c>
    </x:row>
    <x:row r="1131">
      <x:c r="B1131" s="21" t="str">
        <x:v>A01125</x:v>
      </x:c>
      <x:c r="C1131" s="21" t="str">
        <x:v>stage</x:v>
      </x:c>
      <x:c r="D1131" s="21" t="str">
        <x:v>stage 214 observed conservation</x:v>
      </x:c>
      <x:c r="E1131" s="21" t="n">
        <x:f>IF(AND(ABS('Stage Ledger'!R220-IF(AND('Stage Ledger'!P220=1,'Stage Ledger'!Q220=1),MIN('Stage Ledger'!F220,'Stage Ledger'!M220,'Stage Ledger'!R219),0))&lt;0.000001,'Stage Ledger'!S220=IF('Stage Ledger'!R220&gt;='Stage Ledger'!F220,"ADMITTED","NOT ADMITTED")),1,0)</x:f>
        <x:v>1</x:v>
      </x:c>
      <x:c r="F1131" s="21" t="n">
        <x:v>1</x:v>
      </x:c>
      <x:c r="G1131" s="23" t="str">
        <x:f>IF(E1131=F1131,"PASS","FAIL")</x:f>
        <x:v>PASS</x:v>
      </x:c>
    </x:row>
    <x:row r="1132">
      <x:c r="B1132" s="21" t="str">
        <x:v>A01126</x:v>
      </x:c>
      <x:c r="C1132" s="21" t="str">
        <x:v>stage</x:v>
      </x:c>
      <x:c r="D1132" s="21" t="str">
        <x:v>stage 215 planned conservation</x:v>
      </x:c>
      <x:c r="E1132" s="21" t="n">
        <x:f>IF(ABS('Stage Ledger'!J221-MIN('Stage Ledger'!F221,'Stage Ledger'!H221,'Stage Ledger'!I221))&lt;0.000001,1,0)</x:f>
        <x:v>1</x:v>
      </x:c>
      <x:c r="F1132" s="21" t="n">
        <x:v>1</x:v>
      </x:c>
      <x:c r="G1132" s="23" t="str">
        <x:f>IF(E1132=F1132,"PASS","FAIL")</x:f>
        <x:v>PASS</x:v>
      </x:c>
    </x:row>
    <x:row r="1133">
      <x:c r="B1133" s="21" t="str">
        <x:v>A01127</x:v>
      </x:c>
      <x:c r="C1133" s="21" t="str">
        <x:v>stage</x:v>
      </x:c>
      <x:c r="D1133" s="21" t="str">
        <x:v>stage 215 observed conservation</x:v>
      </x:c>
      <x:c r="E1133" s="21" t="n">
        <x:f>IF(AND(ABS('Stage Ledger'!R221-IF(AND('Stage Ledger'!P221=1,'Stage Ledger'!Q221=1),MIN('Stage Ledger'!F221,'Stage Ledger'!M221,'Stage Ledger'!R220),0))&lt;0.000001,'Stage Ledger'!S221=IF('Stage Ledger'!R221&gt;='Stage Ledger'!F221,"ADMITTED","NOT ADMITTED")),1,0)</x:f>
        <x:v>1</x:v>
      </x:c>
      <x:c r="F1133" s="21" t="n">
        <x:v>1</x:v>
      </x:c>
      <x:c r="G1133" s="23" t="str">
        <x:f>IF(E1133=F1133,"PASS","FAIL")</x:f>
        <x:v>PASS</x:v>
      </x:c>
    </x:row>
    <x:row r="1134">
      <x:c r="B1134" s="21" t="str">
        <x:v>A01128</x:v>
      </x:c>
      <x:c r="C1134" s="21" t="str">
        <x:v>stage</x:v>
      </x:c>
      <x:c r="D1134" s="21" t="str">
        <x:v>stage 216 planned conservation</x:v>
      </x:c>
      <x:c r="E1134" s="21" t="n">
        <x:f>IF(ABS('Stage Ledger'!J222-MIN('Stage Ledger'!F222,'Stage Ledger'!H222,'Stage Ledger'!I222))&lt;0.000001,1,0)</x:f>
        <x:v>1</x:v>
      </x:c>
      <x:c r="F1134" s="21" t="n">
        <x:v>1</x:v>
      </x:c>
      <x:c r="G1134" s="23" t="str">
        <x:f>IF(E1134=F1134,"PASS","FAIL")</x:f>
        <x:v>PASS</x:v>
      </x:c>
    </x:row>
    <x:row r="1135">
      <x:c r="B1135" s="21" t="str">
        <x:v>A01129</x:v>
      </x:c>
      <x:c r="C1135" s="21" t="str">
        <x:v>stage</x:v>
      </x:c>
      <x:c r="D1135" s="21" t="str">
        <x:v>stage 216 observed conservation</x:v>
      </x:c>
      <x:c r="E1135" s="21" t="n">
        <x:f>IF(AND(ABS('Stage Ledger'!R222-IF(AND('Stage Ledger'!P222=1,'Stage Ledger'!Q222=1),MIN('Stage Ledger'!F222,'Stage Ledger'!M222,'Stage Ledger'!R221),0))&lt;0.000001,'Stage Ledger'!S222=IF('Stage Ledger'!R222&gt;='Stage Ledger'!F222,"ADMITTED","NOT ADMITTED")),1,0)</x:f>
        <x:v>1</x:v>
      </x:c>
      <x:c r="F1135" s="21" t="n">
        <x:v>1</x:v>
      </x:c>
      <x:c r="G1135" s="23" t="str">
        <x:f>IF(E1135=F1135,"PASS","FAIL")</x:f>
        <x:v>PASS</x:v>
      </x:c>
    </x:row>
    <x:row r="1136">
      <x:c r="B1136" s="21" t="str">
        <x:v>A01130</x:v>
      </x:c>
      <x:c r="C1136" s="21" t="str">
        <x:v>stage</x:v>
      </x:c>
      <x:c r="D1136" s="21" t="str">
        <x:v>stage 217 planned conservation</x:v>
      </x:c>
      <x:c r="E1136" s="21" t="n">
        <x:f>IF(ABS('Stage Ledger'!J223-MIN('Stage Ledger'!F223,'Stage Ledger'!H223,'Stage Ledger'!I223))&lt;0.000001,1,0)</x:f>
        <x:v>1</x:v>
      </x:c>
      <x:c r="F1136" s="21" t="n">
        <x:v>1</x:v>
      </x:c>
      <x:c r="G1136" s="23" t="str">
        <x:f>IF(E1136=F1136,"PASS","FAIL")</x:f>
        <x:v>PASS</x:v>
      </x:c>
    </x:row>
    <x:row r="1137">
      <x:c r="B1137" s="21" t="str">
        <x:v>A01131</x:v>
      </x:c>
      <x:c r="C1137" s="21" t="str">
        <x:v>stage</x:v>
      </x:c>
      <x:c r="D1137" s="21" t="str">
        <x:v>stage 217 observed conservation</x:v>
      </x:c>
      <x:c r="E1137" s="21" t="n">
        <x:f>IF(AND(ABS('Stage Ledger'!R223-IF(AND('Stage Ledger'!P223=1,'Stage Ledger'!Q223=1),MIN('Stage Ledger'!F223,'Stage Ledger'!M223),0))&lt;0.000001,'Stage Ledger'!S223=IF('Stage Ledger'!R223&gt;='Stage Ledger'!F223,"ADMITTED","NOT ADMITTED")),1,0)</x:f>
        <x:v>1</x:v>
      </x:c>
      <x:c r="F1137" s="21" t="n">
        <x:v>1</x:v>
      </x:c>
      <x:c r="G1137" s="23" t="str">
        <x:f>IF(E1137=F1137,"PASS","FAIL")</x:f>
        <x:v>PASS</x:v>
      </x:c>
    </x:row>
    <x:row r="1138">
      <x:c r="B1138" s="21" t="str">
        <x:v>A01132</x:v>
      </x:c>
      <x:c r="C1138" s="21" t="str">
        <x:v>stage</x:v>
      </x:c>
      <x:c r="D1138" s="21" t="str">
        <x:v>stage 218 planned conservation</x:v>
      </x:c>
      <x:c r="E1138" s="21" t="n">
        <x:f>IF(ABS('Stage Ledger'!J224-MIN('Stage Ledger'!F224,'Stage Ledger'!H224,'Stage Ledger'!I224))&lt;0.000001,1,0)</x:f>
        <x:v>1</x:v>
      </x:c>
      <x:c r="F1138" s="21" t="n">
        <x:v>1</x:v>
      </x:c>
      <x:c r="G1138" s="23" t="str">
        <x:f>IF(E1138=F1138,"PASS","FAIL")</x:f>
        <x:v>PASS</x:v>
      </x:c>
    </x:row>
    <x:row r="1139">
      <x:c r="B1139" s="21" t="str">
        <x:v>A01133</x:v>
      </x:c>
      <x:c r="C1139" s="21" t="str">
        <x:v>stage</x:v>
      </x:c>
      <x:c r="D1139" s="21" t="str">
        <x:v>stage 218 observed conservation</x:v>
      </x:c>
      <x:c r="E1139" s="21" t="n">
        <x:f>IF(AND(ABS('Stage Ledger'!R224-IF(AND('Stage Ledger'!P224=1,'Stage Ledger'!Q224=1),MIN('Stage Ledger'!F224,'Stage Ledger'!M224,'Stage Ledger'!R223),0))&lt;0.000001,'Stage Ledger'!S224=IF('Stage Ledger'!R224&gt;='Stage Ledger'!F224,"ADMITTED","NOT ADMITTED")),1,0)</x:f>
        <x:v>1</x:v>
      </x:c>
      <x:c r="F1139" s="21" t="n">
        <x:v>1</x:v>
      </x:c>
      <x:c r="G1139" s="23" t="str">
        <x:f>IF(E1139=F1139,"PASS","FAIL")</x:f>
        <x:v>PASS</x:v>
      </x:c>
    </x:row>
    <x:row r="1140">
      <x:c r="B1140" s="21" t="str">
        <x:v>A01134</x:v>
      </x:c>
      <x:c r="C1140" s="21" t="str">
        <x:v>stage</x:v>
      </x:c>
      <x:c r="D1140" s="21" t="str">
        <x:v>stage 219 planned conservation</x:v>
      </x:c>
      <x:c r="E1140" s="21" t="n">
        <x:f>IF(ABS('Stage Ledger'!J225-MIN('Stage Ledger'!F225,'Stage Ledger'!H225,'Stage Ledger'!I225))&lt;0.000001,1,0)</x:f>
        <x:v>1</x:v>
      </x:c>
      <x:c r="F1140" s="21" t="n">
        <x:v>1</x:v>
      </x:c>
      <x:c r="G1140" s="23" t="str">
        <x:f>IF(E1140=F1140,"PASS","FAIL")</x:f>
        <x:v>PASS</x:v>
      </x:c>
    </x:row>
    <x:row r="1141">
      <x:c r="B1141" s="21" t="str">
        <x:v>A01135</x:v>
      </x:c>
      <x:c r="C1141" s="21" t="str">
        <x:v>stage</x:v>
      </x:c>
      <x:c r="D1141" s="21" t="str">
        <x:v>stage 219 observed conservation</x:v>
      </x:c>
      <x:c r="E1141" s="21" t="n">
        <x:f>IF(AND(ABS('Stage Ledger'!R225-IF(AND('Stage Ledger'!P225=1,'Stage Ledger'!Q225=1),MIN('Stage Ledger'!F225,'Stage Ledger'!M225,'Stage Ledger'!R224),0))&lt;0.000001,'Stage Ledger'!S225=IF('Stage Ledger'!R225&gt;='Stage Ledger'!F225,"ADMITTED","NOT ADMITTED")),1,0)</x:f>
        <x:v>1</x:v>
      </x:c>
      <x:c r="F1141" s="21" t="n">
        <x:v>1</x:v>
      </x:c>
      <x:c r="G1141" s="23" t="str">
        <x:f>IF(E1141=F1141,"PASS","FAIL")</x:f>
        <x:v>PASS</x:v>
      </x:c>
    </x:row>
    <x:row r="1142">
      <x:c r="B1142" s="21" t="str">
        <x:v>A01136</x:v>
      </x:c>
      <x:c r="C1142" s="21" t="str">
        <x:v>stage</x:v>
      </x:c>
      <x:c r="D1142" s="21" t="str">
        <x:v>stage 220 planned conservation</x:v>
      </x:c>
      <x:c r="E1142" s="21" t="n">
        <x:f>IF(ABS('Stage Ledger'!J226-MIN('Stage Ledger'!F226,'Stage Ledger'!H226,'Stage Ledger'!I226))&lt;0.000001,1,0)</x:f>
        <x:v>1</x:v>
      </x:c>
      <x:c r="F1142" s="21" t="n">
        <x:v>1</x:v>
      </x:c>
      <x:c r="G1142" s="23" t="str">
        <x:f>IF(E1142=F1142,"PASS","FAIL")</x:f>
        <x:v>PASS</x:v>
      </x:c>
    </x:row>
    <x:row r="1143">
      <x:c r="B1143" s="21" t="str">
        <x:v>A01137</x:v>
      </x:c>
      <x:c r="C1143" s="21" t="str">
        <x:v>stage</x:v>
      </x:c>
      <x:c r="D1143" s="21" t="str">
        <x:v>stage 220 observed conservation</x:v>
      </x:c>
      <x:c r="E1143" s="21" t="n">
        <x:f>IF(AND(ABS('Stage Ledger'!R226-IF(AND('Stage Ledger'!P226=1,'Stage Ledger'!Q226=1),MIN('Stage Ledger'!F226,'Stage Ledger'!M226,'Stage Ledger'!R225),0))&lt;0.000001,'Stage Ledger'!S226=IF('Stage Ledger'!R226&gt;='Stage Ledger'!F226,"ADMITTED","NOT ADMITTED")),1,0)</x:f>
        <x:v>1</x:v>
      </x:c>
      <x:c r="F1143" s="21" t="n">
        <x:v>1</x:v>
      </x:c>
      <x:c r="G1143" s="23" t="str">
        <x:f>IF(E1143=F1143,"PASS","FAIL")</x:f>
        <x:v>PASS</x:v>
      </x:c>
    </x:row>
    <x:row r="1144">
      <x:c r="B1144" s="21" t="str">
        <x:v>A01138</x:v>
      </x:c>
      <x:c r="C1144" s="21" t="str">
        <x:v>stage</x:v>
      </x:c>
      <x:c r="D1144" s="21" t="str">
        <x:v>stage 221 planned conservation</x:v>
      </x:c>
      <x:c r="E1144" s="21" t="n">
        <x:f>IF(ABS('Stage Ledger'!J227-MIN('Stage Ledger'!F227,'Stage Ledger'!H227,'Stage Ledger'!I227))&lt;0.000001,1,0)</x:f>
        <x:v>1</x:v>
      </x:c>
      <x:c r="F1144" s="21" t="n">
        <x:v>1</x:v>
      </x:c>
      <x:c r="G1144" s="23" t="str">
        <x:f>IF(E1144=F1144,"PASS","FAIL")</x:f>
        <x:v>PASS</x:v>
      </x:c>
    </x:row>
    <x:row r="1145">
      <x:c r="B1145" s="21" t="str">
        <x:v>A01139</x:v>
      </x:c>
      <x:c r="C1145" s="21" t="str">
        <x:v>stage</x:v>
      </x:c>
      <x:c r="D1145" s="21" t="str">
        <x:v>stage 221 observed conservation</x:v>
      </x:c>
      <x:c r="E1145" s="21" t="n">
        <x:f>IF(AND(ABS('Stage Ledger'!R227-IF(AND('Stage Ledger'!P227=1,'Stage Ledger'!Q227=1),MIN('Stage Ledger'!F227,'Stage Ledger'!M227,'Stage Ledger'!R226),0))&lt;0.000001,'Stage Ledger'!S227=IF('Stage Ledger'!R227&gt;='Stage Ledger'!F227,"ADMITTED","NOT ADMITTED")),1,0)</x:f>
        <x:v>1</x:v>
      </x:c>
      <x:c r="F1145" s="21" t="n">
        <x:v>1</x:v>
      </x:c>
      <x:c r="G1145" s="23" t="str">
        <x:f>IF(E1145=F1145,"PASS","FAIL")</x:f>
        <x:v>PASS</x:v>
      </x:c>
    </x:row>
    <x:row r="1146">
      <x:c r="B1146" s="21" t="str">
        <x:v>A01140</x:v>
      </x:c>
      <x:c r="C1146" s="21" t="str">
        <x:v>stage</x:v>
      </x:c>
      <x:c r="D1146" s="21" t="str">
        <x:v>stage 222 planned conservation</x:v>
      </x:c>
      <x:c r="E1146" s="21" t="n">
        <x:f>IF(ABS('Stage Ledger'!J228-MIN('Stage Ledger'!F228,'Stage Ledger'!H228,'Stage Ledger'!I228))&lt;0.000001,1,0)</x:f>
        <x:v>1</x:v>
      </x:c>
      <x:c r="F1146" s="21" t="n">
        <x:v>1</x:v>
      </x:c>
      <x:c r="G1146" s="23" t="str">
        <x:f>IF(E1146=F1146,"PASS","FAIL")</x:f>
        <x:v>PASS</x:v>
      </x:c>
    </x:row>
    <x:row r="1147">
      <x:c r="B1147" s="21" t="str">
        <x:v>A01141</x:v>
      </x:c>
      <x:c r="C1147" s="21" t="str">
        <x:v>stage</x:v>
      </x:c>
      <x:c r="D1147" s="21" t="str">
        <x:v>stage 222 observed conservation</x:v>
      </x:c>
      <x:c r="E1147" s="21" t="n">
        <x:f>IF(AND(ABS('Stage Ledger'!R228-IF(AND('Stage Ledger'!P228=1,'Stage Ledger'!Q228=1),MIN('Stage Ledger'!F228,'Stage Ledger'!M228,'Stage Ledger'!R227),0))&lt;0.000001,'Stage Ledger'!S228=IF('Stage Ledger'!R228&gt;='Stage Ledger'!F228,"ADMITTED","NOT ADMITTED")),1,0)</x:f>
        <x:v>1</x:v>
      </x:c>
      <x:c r="F1147" s="21" t="n">
        <x:v>1</x:v>
      </x:c>
      <x:c r="G1147" s="23" t="str">
        <x:f>IF(E1147=F1147,"PASS","FAIL")</x:f>
        <x:v>PASS</x:v>
      </x:c>
    </x:row>
    <x:row r="1148">
      <x:c r="B1148" s="21" t="str">
        <x:v>A01142</x:v>
      </x:c>
      <x:c r="C1148" s="21" t="str">
        <x:v>stage</x:v>
      </x:c>
      <x:c r="D1148" s="21" t="str">
        <x:v>stage 223 planned conservation</x:v>
      </x:c>
      <x:c r="E1148" s="21" t="n">
        <x:f>IF(ABS('Stage Ledger'!J229-MIN('Stage Ledger'!F229,'Stage Ledger'!H229,'Stage Ledger'!I229))&lt;0.000001,1,0)</x:f>
        <x:v>1</x:v>
      </x:c>
      <x:c r="F1148" s="21" t="n">
        <x:v>1</x:v>
      </x:c>
      <x:c r="G1148" s="23" t="str">
        <x:f>IF(E1148=F1148,"PASS","FAIL")</x:f>
        <x:v>PASS</x:v>
      </x:c>
    </x:row>
    <x:row r="1149">
      <x:c r="B1149" s="21" t="str">
        <x:v>A01143</x:v>
      </x:c>
      <x:c r="C1149" s="21" t="str">
        <x:v>stage</x:v>
      </x:c>
      <x:c r="D1149" s="21" t="str">
        <x:v>stage 223 observed conservation</x:v>
      </x:c>
      <x:c r="E1149" s="21" t="n">
        <x:f>IF(AND(ABS('Stage Ledger'!R229-IF(AND('Stage Ledger'!P229=1,'Stage Ledger'!Q229=1),MIN('Stage Ledger'!F229,'Stage Ledger'!M229,'Stage Ledger'!R228),0))&lt;0.000001,'Stage Ledger'!S229=IF('Stage Ledger'!R229&gt;='Stage Ledger'!F229,"ADMITTED","NOT ADMITTED")),1,0)</x:f>
        <x:v>1</x:v>
      </x:c>
      <x:c r="F1149" s="21" t="n">
        <x:v>1</x:v>
      </x:c>
      <x:c r="G1149" s="23" t="str">
        <x:f>IF(E1149=F1149,"PASS","FAIL")</x:f>
        <x:v>PASS</x:v>
      </x:c>
    </x:row>
    <x:row r="1150">
      <x:c r="B1150" s="21" t="str">
        <x:v>A01144</x:v>
      </x:c>
      <x:c r="C1150" s="21" t="str">
        <x:v>stage</x:v>
      </x:c>
      <x:c r="D1150" s="21" t="str">
        <x:v>stage 224 planned conservation</x:v>
      </x:c>
      <x:c r="E1150" s="21" t="n">
        <x:f>IF(ABS('Stage Ledger'!J230-MIN('Stage Ledger'!F230,'Stage Ledger'!H230,'Stage Ledger'!I230))&lt;0.000001,1,0)</x:f>
        <x:v>1</x:v>
      </x:c>
      <x:c r="F1150" s="21" t="n">
        <x:v>1</x:v>
      </x:c>
      <x:c r="G1150" s="23" t="str">
        <x:f>IF(E1150=F1150,"PASS","FAIL")</x:f>
        <x:v>PASS</x:v>
      </x:c>
    </x:row>
    <x:row r="1151">
      <x:c r="B1151" s="21" t="str">
        <x:v>A01145</x:v>
      </x:c>
      <x:c r="C1151" s="21" t="str">
        <x:v>stage</x:v>
      </x:c>
      <x:c r="D1151" s="21" t="str">
        <x:v>stage 224 observed conservation</x:v>
      </x:c>
      <x:c r="E1151" s="21" t="n">
        <x:f>IF(AND(ABS('Stage Ledger'!R230-IF(AND('Stage Ledger'!P230=1,'Stage Ledger'!Q230=1),MIN('Stage Ledger'!F230,'Stage Ledger'!M230,'Stage Ledger'!R229),0))&lt;0.000001,'Stage Ledger'!S230=IF('Stage Ledger'!R230&gt;='Stage Ledger'!F230,"ADMITTED","NOT ADMITTED")),1,0)</x:f>
        <x:v>1</x:v>
      </x:c>
      <x:c r="F1151" s="21" t="n">
        <x:v>1</x:v>
      </x:c>
      <x:c r="G1151" s="23" t="str">
        <x:f>IF(E1151=F1151,"PASS","FAIL")</x:f>
        <x:v>PASS</x:v>
      </x:c>
    </x:row>
    <x:row r="1152">
      <x:c r="B1152" s="21" t="str">
        <x:v>A01146</x:v>
      </x:c>
      <x:c r="C1152" s="21" t="str">
        <x:v>stage</x:v>
      </x:c>
      <x:c r="D1152" s="21" t="str">
        <x:v>stage 225 planned conservation</x:v>
      </x:c>
      <x:c r="E1152" s="21" t="n">
        <x:f>IF(ABS('Stage Ledger'!J231-MIN('Stage Ledger'!F231,'Stage Ledger'!H231,'Stage Ledger'!I231))&lt;0.000001,1,0)</x:f>
        <x:v>1</x:v>
      </x:c>
      <x:c r="F1152" s="21" t="n">
        <x:v>1</x:v>
      </x:c>
      <x:c r="G1152" s="23" t="str">
        <x:f>IF(E1152=F1152,"PASS","FAIL")</x:f>
        <x:v>PASS</x:v>
      </x:c>
    </x:row>
    <x:row r="1153">
      <x:c r="B1153" s="21" t="str">
        <x:v>A01147</x:v>
      </x:c>
      <x:c r="C1153" s="21" t="str">
        <x:v>stage</x:v>
      </x:c>
      <x:c r="D1153" s="21" t="str">
        <x:v>stage 225 observed conservation</x:v>
      </x:c>
      <x:c r="E1153" s="21" t="n">
        <x:f>IF(AND(ABS('Stage Ledger'!R231-IF(AND('Stage Ledger'!P231=1,'Stage Ledger'!Q231=1),MIN('Stage Ledger'!F231,'Stage Ledger'!M231,'Stage Ledger'!R230),0))&lt;0.000001,'Stage Ledger'!S231=IF('Stage Ledger'!R231&gt;='Stage Ledger'!F231,"ADMITTED","NOT ADMITTED")),1,0)</x:f>
        <x:v>1</x:v>
      </x:c>
      <x:c r="F1153" s="21" t="n">
        <x:v>1</x:v>
      </x:c>
      <x:c r="G1153" s="23" t="str">
        <x:f>IF(E1153=F1153,"PASS","FAIL")</x:f>
        <x:v>PASS</x:v>
      </x:c>
    </x:row>
    <x:row r="1154">
      <x:c r="B1154" s="21" t="str">
        <x:v>A01148</x:v>
      </x:c>
      <x:c r="C1154" s="21" t="str">
        <x:v>stage</x:v>
      </x:c>
      <x:c r="D1154" s="21" t="str">
        <x:v>stage 226 planned conservation</x:v>
      </x:c>
      <x:c r="E1154" s="21" t="n">
        <x:f>IF(ABS('Stage Ledger'!J232-MIN('Stage Ledger'!F232,'Stage Ledger'!H232,'Stage Ledger'!I232))&lt;0.000001,1,0)</x:f>
        <x:v>1</x:v>
      </x:c>
      <x:c r="F1154" s="21" t="n">
        <x:v>1</x:v>
      </x:c>
      <x:c r="G1154" s="23" t="str">
        <x:f>IF(E1154=F1154,"PASS","FAIL")</x:f>
        <x:v>PASS</x:v>
      </x:c>
    </x:row>
    <x:row r="1155">
      <x:c r="B1155" s="21" t="str">
        <x:v>A01149</x:v>
      </x:c>
      <x:c r="C1155" s="21" t="str">
        <x:v>stage</x:v>
      </x:c>
      <x:c r="D1155" s="21" t="str">
        <x:v>stage 226 observed conservation</x:v>
      </x:c>
      <x:c r="E1155" s="21" t="n">
        <x:f>IF(AND(ABS('Stage Ledger'!R232-IF(AND('Stage Ledger'!P232=1,'Stage Ledger'!Q232=1),MIN('Stage Ledger'!F232,'Stage Ledger'!M232,'Stage Ledger'!R231),0))&lt;0.000001,'Stage Ledger'!S232=IF('Stage Ledger'!R232&gt;='Stage Ledger'!F232,"ADMITTED","NOT ADMITTED")),1,0)</x:f>
        <x:v>1</x:v>
      </x:c>
      <x:c r="F1155" s="21" t="n">
        <x:v>1</x:v>
      </x:c>
      <x:c r="G1155" s="23" t="str">
        <x:f>IF(E1155=F1155,"PASS","FAIL")</x:f>
        <x:v>PASS</x:v>
      </x:c>
    </x:row>
    <x:row r="1156">
      <x:c r="B1156" s="21" t="str">
        <x:v>A01150</x:v>
      </x:c>
      <x:c r="C1156" s="21" t="str">
        <x:v>stage</x:v>
      </x:c>
      <x:c r="D1156" s="21" t="str">
        <x:v>stage 227 planned conservation</x:v>
      </x:c>
      <x:c r="E1156" s="21" t="n">
        <x:f>IF(ABS('Stage Ledger'!J233-MIN('Stage Ledger'!F233,'Stage Ledger'!H233,'Stage Ledger'!I233))&lt;0.000001,1,0)</x:f>
        <x:v>1</x:v>
      </x:c>
      <x:c r="F1156" s="21" t="n">
        <x:v>1</x:v>
      </x:c>
      <x:c r="G1156" s="23" t="str">
        <x:f>IF(E1156=F1156,"PASS","FAIL")</x:f>
        <x:v>PASS</x:v>
      </x:c>
    </x:row>
    <x:row r="1157">
      <x:c r="B1157" s="21" t="str">
        <x:v>A01151</x:v>
      </x:c>
      <x:c r="C1157" s="21" t="str">
        <x:v>stage</x:v>
      </x:c>
      <x:c r="D1157" s="21" t="str">
        <x:v>stage 227 observed conservation</x:v>
      </x:c>
      <x:c r="E1157" s="21" t="n">
        <x:f>IF(AND(ABS('Stage Ledger'!R233-IF(AND('Stage Ledger'!P233=1,'Stage Ledger'!Q233=1),MIN('Stage Ledger'!F233,'Stage Ledger'!M233,'Stage Ledger'!R232),0))&lt;0.000001,'Stage Ledger'!S233=IF('Stage Ledger'!R233&gt;='Stage Ledger'!F233,"ADMITTED","NOT ADMITTED")),1,0)</x:f>
        <x:v>1</x:v>
      </x:c>
      <x:c r="F1157" s="21" t="n">
        <x:v>1</x:v>
      </x:c>
      <x:c r="G1157" s="23" t="str">
        <x:f>IF(E1157=F1157,"PASS","FAIL")</x:f>
        <x:v>PASS</x:v>
      </x:c>
    </x:row>
    <x:row r="1158">
      <x:c r="B1158" s="21" t="str">
        <x:v>A01152</x:v>
      </x:c>
      <x:c r="C1158" s="21" t="str">
        <x:v>stage</x:v>
      </x:c>
      <x:c r="D1158" s="21" t="str">
        <x:v>stage 228 planned conservation</x:v>
      </x:c>
      <x:c r="E1158" s="21" t="n">
        <x:f>IF(ABS('Stage Ledger'!J234-MIN('Stage Ledger'!F234,'Stage Ledger'!H234,'Stage Ledger'!I234))&lt;0.000001,1,0)</x:f>
        <x:v>1</x:v>
      </x:c>
      <x:c r="F1158" s="21" t="n">
        <x:v>1</x:v>
      </x:c>
      <x:c r="G1158" s="23" t="str">
        <x:f>IF(E1158=F1158,"PASS","FAIL")</x:f>
        <x:v>PASS</x:v>
      </x:c>
    </x:row>
    <x:row r="1159">
      <x:c r="B1159" s="21" t="str">
        <x:v>A01153</x:v>
      </x:c>
      <x:c r="C1159" s="21" t="str">
        <x:v>stage</x:v>
      </x:c>
      <x:c r="D1159" s="21" t="str">
        <x:v>stage 228 observed conservation</x:v>
      </x:c>
      <x:c r="E1159" s="21" t="n">
        <x:f>IF(AND(ABS('Stage Ledger'!R234-IF(AND('Stage Ledger'!P234=1,'Stage Ledger'!Q234=1),MIN('Stage Ledger'!F234,'Stage Ledger'!M234,'Stage Ledger'!R233),0))&lt;0.000001,'Stage Ledger'!S234=IF('Stage Ledger'!R234&gt;='Stage Ledger'!F234,"ADMITTED","NOT ADMITTED")),1,0)</x:f>
        <x:v>1</x:v>
      </x:c>
      <x:c r="F1159" s="21" t="n">
        <x:v>1</x:v>
      </x:c>
      <x:c r="G1159" s="23" t="str">
        <x:f>IF(E1159=F1159,"PASS","FAIL")</x:f>
        <x:v>PASS</x:v>
      </x:c>
    </x:row>
    <x:row r="1160">
      <x:c r="B1160" s="21" t="str">
        <x:v>A01154</x:v>
      </x:c>
      <x:c r="C1160" s="21" t="str">
        <x:v>stage</x:v>
      </x:c>
      <x:c r="D1160" s="21" t="str">
        <x:v>stage 229 planned conservation</x:v>
      </x:c>
      <x:c r="E1160" s="21" t="n">
        <x:f>IF(ABS('Stage Ledger'!J235-MIN('Stage Ledger'!F235,'Stage Ledger'!H235,'Stage Ledger'!I235))&lt;0.000001,1,0)</x:f>
        <x:v>1</x:v>
      </x:c>
      <x:c r="F1160" s="21" t="n">
        <x:v>1</x:v>
      </x:c>
      <x:c r="G1160" s="23" t="str">
        <x:f>IF(E1160=F1160,"PASS","FAIL")</x:f>
        <x:v>PASS</x:v>
      </x:c>
    </x:row>
    <x:row r="1161">
      <x:c r="B1161" s="21" t="str">
        <x:v>A01155</x:v>
      </x:c>
      <x:c r="C1161" s="21" t="str">
        <x:v>stage</x:v>
      </x:c>
      <x:c r="D1161" s="21" t="str">
        <x:v>stage 229 observed conservation</x:v>
      </x:c>
      <x:c r="E1161" s="21" t="n">
        <x:f>IF(AND(ABS('Stage Ledger'!R235-IF(AND('Stage Ledger'!P235=1,'Stage Ledger'!Q235=1),MIN('Stage Ledger'!F235,'Stage Ledger'!M235),0))&lt;0.000001,'Stage Ledger'!S235=IF('Stage Ledger'!R235&gt;='Stage Ledger'!F235,"ADMITTED","NOT ADMITTED")),1,0)</x:f>
        <x:v>1</x:v>
      </x:c>
      <x:c r="F1161" s="21" t="n">
        <x:v>1</x:v>
      </x:c>
      <x:c r="G1161" s="23" t="str">
        <x:f>IF(E1161=F1161,"PASS","FAIL")</x:f>
        <x:v>PASS</x:v>
      </x:c>
    </x:row>
    <x:row r="1162">
      <x:c r="B1162" s="21" t="str">
        <x:v>A01156</x:v>
      </x:c>
      <x:c r="C1162" s="21" t="str">
        <x:v>stage</x:v>
      </x:c>
      <x:c r="D1162" s="21" t="str">
        <x:v>stage 230 planned conservation</x:v>
      </x:c>
      <x:c r="E1162" s="21" t="n">
        <x:f>IF(ABS('Stage Ledger'!J236-MIN('Stage Ledger'!F236,'Stage Ledger'!H236,'Stage Ledger'!I236))&lt;0.000001,1,0)</x:f>
        <x:v>1</x:v>
      </x:c>
      <x:c r="F1162" s="21" t="n">
        <x:v>1</x:v>
      </x:c>
      <x:c r="G1162" s="23" t="str">
        <x:f>IF(E1162=F1162,"PASS","FAIL")</x:f>
        <x:v>PASS</x:v>
      </x:c>
    </x:row>
    <x:row r="1163">
      <x:c r="B1163" s="21" t="str">
        <x:v>A01157</x:v>
      </x:c>
      <x:c r="C1163" s="21" t="str">
        <x:v>stage</x:v>
      </x:c>
      <x:c r="D1163" s="21" t="str">
        <x:v>stage 230 observed conservation</x:v>
      </x:c>
      <x:c r="E1163" s="21" t="n">
        <x:f>IF(AND(ABS('Stage Ledger'!R236-IF(AND('Stage Ledger'!P236=1,'Stage Ledger'!Q236=1),MIN('Stage Ledger'!F236,'Stage Ledger'!M236,'Stage Ledger'!R235),0))&lt;0.000001,'Stage Ledger'!S236=IF('Stage Ledger'!R236&gt;='Stage Ledger'!F236,"ADMITTED","NOT ADMITTED")),1,0)</x:f>
        <x:v>1</x:v>
      </x:c>
      <x:c r="F1163" s="21" t="n">
        <x:v>1</x:v>
      </x:c>
      <x:c r="G1163" s="23" t="str">
        <x:f>IF(E1163=F1163,"PASS","FAIL")</x:f>
        <x:v>PASS</x:v>
      </x:c>
    </x:row>
    <x:row r="1164">
      <x:c r="B1164" s="21" t="str">
        <x:v>A01158</x:v>
      </x:c>
      <x:c r="C1164" s="21" t="str">
        <x:v>stage</x:v>
      </x:c>
      <x:c r="D1164" s="21" t="str">
        <x:v>stage 231 planned conservation</x:v>
      </x:c>
      <x:c r="E1164" s="21" t="n">
        <x:f>IF(ABS('Stage Ledger'!J237-MIN('Stage Ledger'!F237,'Stage Ledger'!H237,'Stage Ledger'!I237))&lt;0.000001,1,0)</x:f>
        <x:v>1</x:v>
      </x:c>
      <x:c r="F1164" s="21" t="n">
        <x:v>1</x:v>
      </x:c>
      <x:c r="G1164" s="23" t="str">
        <x:f>IF(E1164=F1164,"PASS","FAIL")</x:f>
        <x:v>PASS</x:v>
      </x:c>
    </x:row>
    <x:row r="1165">
      <x:c r="B1165" s="21" t="str">
        <x:v>A01159</x:v>
      </x:c>
      <x:c r="C1165" s="21" t="str">
        <x:v>stage</x:v>
      </x:c>
      <x:c r="D1165" s="21" t="str">
        <x:v>stage 231 observed conservation</x:v>
      </x:c>
      <x:c r="E1165" s="21" t="n">
        <x:f>IF(AND(ABS('Stage Ledger'!R237-IF(AND('Stage Ledger'!P237=1,'Stage Ledger'!Q237=1),MIN('Stage Ledger'!F237,'Stage Ledger'!M237,'Stage Ledger'!R236),0))&lt;0.000001,'Stage Ledger'!S237=IF('Stage Ledger'!R237&gt;='Stage Ledger'!F237,"ADMITTED","NOT ADMITTED")),1,0)</x:f>
        <x:v>1</x:v>
      </x:c>
      <x:c r="F1165" s="21" t="n">
        <x:v>1</x:v>
      </x:c>
      <x:c r="G1165" s="23" t="str">
        <x:f>IF(E1165=F1165,"PASS","FAIL")</x:f>
        <x:v>PASS</x:v>
      </x:c>
    </x:row>
    <x:row r="1166">
      <x:c r="B1166" s="21" t="str">
        <x:v>A01160</x:v>
      </x:c>
      <x:c r="C1166" s="21" t="str">
        <x:v>stage</x:v>
      </x:c>
      <x:c r="D1166" s="21" t="str">
        <x:v>stage 232 planned conservation</x:v>
      </x:c>
      <x:c r="E1166" s="21" t="n">
        <x:f>IF(ABS('Stage Ledger'!J238-MIN('Stage Ledger'!F238,'Stage Ledger'!H238,'Stage Ledger'!I238))&lt;0.000001,1,0)</x:f>
        <x:v>1</x:v>
      </x:c>
      <x:c r="F1166" s="21" t="n">
        <x:v>1</x:v>
      </x:c>
      <x:c r="G1166" s="23" t="str">
        <x:f>IF(E1166=F1166,"PASS","FAIL")</x:f>
        <x:v>PASS</x:v>
      </x:c>
    </x:row>
    <x:row r="1167">
      <x:c r="B1167" s="21" t="str">
        <x:v>A01161</x:v>
      </x:c>
      <x:c r="C1167" s="21" t="str">
        <x:v>stage</x:v>
      </x:c>
      <x:c r="D1167" s="21" t="str">
        <x:v>stage 232 observed conservation</x:v>
      </x:c>
      <x:c r="E1167" s="21" t="n">
        <x:f>IF(AND(ABS('Stage Ledger'!R238-IF(AND('Stage Ledger'!P238=1,'Stage Ledger'!Q238=1),MIN('Stage Ledger'!F238,'Stage Ledger'!M238,'Stage Ledger'!R237),0))&lt;0.000001,'Stage Ledger'!S238=IF('Stage Ledger'!R238&gt;='Stage Ledger'!F238,"ADMITTED","NOT ADMITTED")),1,0)</x:f>
        <x:v>1</x:v>
      </x:c>
      <x:c r="F1167" s="21" t="n">
        <x:v>1</x:v>
      </x:c>
      <x:c r="G1167" s="23" t="str">
        <x:f>IF(E1167=F1167,"PASS","FAIL")</x:f>
        <x:v>PASS</x:v>
      </x:c>
    </x:row>
    <x:row r="1168">
      <x:c r="B1168" s="21" t="str">
        <x:v>A01162</x:v>
      </x:c>
      <x:c r="C1168" s="21" t="str">
        <x:v>stage</x:v>
      </x:c>
      <x:c r="D1168" s="21" t="str">
        <x:v>stage 233 planned conservation</x:v>
      </x:c>
      <x:c r="E1168" s="21" t="n">
        <x:f>IF(ABS('Stage Ledger'!J239-MIN('Stage Ledger'!F239,'Stage Ledger'!H239,'Stage Ledger'!I239))&lt;0.000001,1,0)</x:f>
        <x:v>1</x:v>
      </x:c>
      <x:c r="F1168" s="21" t="n">
        <x:v>1</x:v>
      </x:c>
      <x:c r="G1168" s="23" t="str">
        <x:f>IF(E1168=F1168,"PASS","FAIL")</x:f>
        <x:v>PASS</x:v>
      </x:c>
    </x:row>
    <x:row r="1169">
      <x:c r="B1169" s="21" t="str">
        <x:v>A01163</x:v>
      </x:c>
      <x:c r="C1169" s="21" t="str">
        <x:v>stage</x:v>
      </x:c>
      <x:c r="D1169" s="21" t="str">
        <x:v>stage 233 observed conservation</x:v>
      </x:c>
      <x:c r="E1169" s="21" t="n">
        <x:f>IF(AND(ABS('Stage Ledger'!R239-IF(AND('Stage Ledger'!P239=1,'Stage Ledger'!Q239=1),MIN('Stage Ledger'!F239,'Stage Ledger'!M239,'Stage Ledger'!R238),0))&lt;0.000001,'Stage Ledger'!S239=IF('Stage Ledger'!R239&gt;='Stage Ledger'!F239,"ADMITTED","NOT ADMITTED")),1,0)</x:f>
        <x:v>1</x:v>
      </x:c>
      <x:c r="F1169" s="21" t="n">
        <x:v>1</x:v>
      </x:c>
      <x:c r="G1169" s="23" t="str">
        <x:f>IF(E1169=F1169,"PASS","FAIL")</x:f>
        <x:v>PASS</x:v>
      </x:c>
    </x:row>
    <x:row r="1170">
      <x:c r="B1170" s="21" t="str">
        <x:v>A01164</x:v>
      </x:c>
      <x:c r="C1170" s="21" t="str">
        <x:v>stage</x:v>
      </x:c>
      <x:c r="D1170" s="21" t="str">
        <x:v>stage 234 planned conservation</x:v>
      </x:c>
      <x:c r="E1170" s="21" t="n">
        <x:f>IF(ABS('Stage Ledger'!J240-MIN('Stage Ledger'!F240,'Stage Ledger'!H240,'Stage Ledger'!I240))&lt;0.000001,1,0)</x:f>
        <x:v>1</x:v>
      </x:c>
      <x:c r="F1170" s="21" t="n">
        <x:v>1</x:v>
      </x:c>
      <x:c r="G1170" s="23" t="str">
        <x:f>IF(E1170=F1170,"PASS","FAIL")</x:f>
        <x:v>PASS</x:v>
      </x:c>
    </x:row>
    <x:row r="1171">
      <x:c r="B1171" s="21" t="str">
        <x:v>A01165</x:v>
      </x:c>
      <x:c r="C1171" s="21" t="str">
        <x:v>stage</x:v>
      </x:c>
      <x:c r="D1171" s="21" t="str">
        <x:v>stage 234 observed conservation</x:v>
      </x:c>
      <x:c r="E1171" s="21" t="n">
        <x:f>IF(AND(ABS('Stage Ledger'!R240-IF(AND('Stage Ledger'!P240=1,'Stage Ledger'!Q240=1),MIN('Stage Ledger'!F240,'Stage Ledger'!M240,'Stage Ledger'!R239),0))&lt;0.000001,'Stage Ledger'!S240=IF('Stage Ledger'!R240&gt;='Stage Ledger'!F240,"ADMITTED","NOT ADMITTED")),1,0)</x:f>
        <x:v>1</x:v>
      </x:c>
      <x:c r="F1171" s="21" t="n">
        <x:v>1</x:v>
      </x:c>
      <x:c r="G1171" s="23" t="str">
        <x:f>IF(E1171=F1171,"PASS","FAIL")</x:f>
        <x:v>PASS</x:v>
      </x:c>
    </x:row>
    <x:row r="1172">
      <x:c r="B1172" s="21" t="str">
        <x:v>A01166</x:v>
      </x:c>
      <x:c r="C1172" s="21" t="str">
        <x:v>stage</x:v>
      </x:c>
      <x:c r="D1172" s="21" t="str">
        <x:v>stage 235 planned conservation</x:v>
      </x:c>
      <x:c r="E1172" s="21" t="n">
        <x:f>IF(ABS('Stage Ledger'!J241-MIN('Stage Ledger'!F241,'Stage Ledger'!H241,'Stage Ledger'!I241))&lt;0.000001,1,0)</x:f>
        <x:v>1</x:v>
      </x:c>
      <x:c r="F1172" s="21" t="n">
        <x:v>1</x:v>
      </x:c>
      <x:c r="G1172" s="23" t="str">
        <x:f>IF(E1172=F1172,"PASS","FAIL")</x:f>
        <x:v>PASS</x:v>
      </x:c>
    </x:row>
    <x:row r="1173">
      <x:c r="B1173" s="21" t="str">
        <x:v>A01167</x:v>
      </x:c>
      <x:c r="C1173" s="21" t="str">
        <x:v>stage</x:v>
      </x:c>
      <x:c r="D1173" s="21" t="str">
        <x:v>stage 235 observed conservation</x:v>
      </x:c>
      <x:c r="E1173" s="21" t="n">
        <x:f>IF(AND(ABS('Stage Ledger'!R241-IF(AND('Stage Ledger'!P241=1,'Stage Ledger'!Q241=1),MIN('Stage Ledger'!F241,'Stage Ledger'!M241,'Stage Ledger'!R240),0))&lt;0.000001,'Stage Ledger'!S241=IF('Stage Ledger'!R241&gt;='Stage Ledger'!F241,"ADMITTED","NOT ADMITTED")),1,0)</x:f>
        <x:v>1</x:v>
      </x:c>
      <x:c r="F1173" s="21" t="n">
        <x:v>1</x:v>
      </x:c>
      <x:c r="G1173" s="23" t="str">
        <x:f>IF(E1173=F1173,"PASS","FAIL")</x:f>
        <x:v>PASS</x:v>
      </x:c>
    </x:row>
    <x:row r="1174">
      <x:c r="B1174" s="21" t="str">
        <x:v>A01168</x:v>
      </x:c>
      <x:c r="C1174" s="21" t="str">
        <x:v>stage</x:v>
      </x:c>
      <x:c r="D1174" s="21" t="str">
        <x:v>stage 236 planned conservation</x:v>
      </x:c>
      <x:c r="E1174" s="21" t="n">
        <x:f>IF(ABS('Stage Ledger'!J242-MIN('Stage Ledger'!F242,'Stage Ledger'!H242,'Stage Ledger'!I242))&lt;0.000001,1,0)</x:f>
        <x:v>1</x:v>
      </x:c>
      <x:c r="F1174" s="21" t="n">
        <x:v>1</x:v>
      </x:c>
      <x:c r="G1174" s="23" t="str">
        <x:f>IF(E1174=F1174,"PASS","FAIL")</x:f>
        <x:v>PASS</x:v>
      </x:c>
    </x:row>
    <x:row r="1175">
      <x:c r="B1175" s="21" t="str">
        <x:v>A01169</x:v>
      </x:c>
      <x:c r="C1175" s="21" t="str">
        <x:v>stage</x:v>
      </x:c>
      <x:c r="D1175" s="21" t="str">
        <x:v>stage 236 observed conservation</x:v>
      </x:c>
      <x:c r="E1175" s="21" t="n">
        <x:f>IF(AND(ABS('Stage Ledger'!R242-IF(AND('Stage Ledger'!P242=1,'Stage Ledger'!Q242=1),MIN('Stage Ledger'!F242,'Stage Ledger'!M242,'Stage Ledger'!R241),0))&lt;0.000001,'Stage Ledger'!S242=IF('Stage Ledger'!R242&gt;='Stage Ledger'!F242,"ADMITTED","NOT ADMITTED")),1,0)</x:f>
        <x:v>1</x:v>
      </x:c>
      <x:c r="F1175" s="21" t="n">
        <x:v>1</x:v>
      </x:c>
      <x:c r="G1175" s="23" t="str">
        <x:f>IF(E1175=F1175,"PASS","FAIL")</x:f>
        <x:v>PASS</x:v>
      </x:c>
    </x:row>
    <x:row r="1176">
      <x:c r="B1176" s="21" t="str">
        <x:v>A01170</x:v>
      </x:c>
      <x:c r="C1176" s="21" t="str">
        <x:v>stage</x:v>
      </x:c>
      <x:c r="D1176" s="21" t="str">
        <x:v>stage 237 planned conservation</x:v>
      </x:c>
      <x:c r="E1176" s="21" t="n">
        <x:f>IF(ABS('Stage Ledger'!J243-MIN('Stage Ledger'!F243,'Stage Ledger'!H243,'Stage Ledger'!I243))&lt;0.000001,1,0)</x:f>
        <x:v>1</x:v>
      </x:c>
      <x:c r="F1176" s="21" t="n">
        <x:v>1</x:v>
      </x:c>
      <x:c r="G1176" s="23" t="str">
        <x:f>IF(E1176=F1176,"PASS","FAIL")</x:f>
        <x:v>PASS</x:v>
      </x:c>
    </x:row>
    <x:row r="1177">
      <x:c r="B1177" s="21" t="str">
        <x:v>A01171</x:v>
      </x:c>
      <x:c r="C1177" s="21" t="str">
        <x:v>stage</x:v>
      </x:c>
      <x:c r="D1177" s="21" t="str">
        <x:v>stage 237 observed conservation</x:v>
      </x:c>
      <x:c r="E1177" s="21" t="n">
        <x:f>IF(AND(ABS('Stage Ledger'!R243-IF(AND('Stage Ledger'!P243=1,'Stage Ledger'!Q243=1),MIN('Stage Ledger'!F243,'Stage Ledger'!M243,'Stage Ledger'!R242),0))&lt;0.000001,'Stage Ledger'!S243=IF('Stage Ledger'!R243&gt;='Stage Ledger'!F243,"ADMITTED","NOT ADMITTED")),1,0)</x:f>
        <x:v>1</x:v>
      </x:c>
      <x:c r="F1177" s="21" t="n">
        <x:v>1</x:v>
      </x:c>
      <x:c r="G1177" s="23" t="str">
        <x:f>IF(E1177=F1177,"PASS","FAIL")</x:f>
        <x:v>PASS</x:v>
      </x:c>
    </x:row>
    <x:row r="1178">
      <x:c r="B1178" s="21" t="str">
        <x:v>A01172</x:v>
      </x:c>
      <x:c r="C1178" s="21" t="str">
        <x:v>stage</x:v>
      </x:c>
      <x:c r="D1178" s="21" t="str">
        <x:v>stage 238 planned conservation</x:v>
      </x:c>
      <x:c r="E1178" s="21" t="n">
        <x:f>IF(ABS('Stage Ledger'!J244-MIN('Stage Ledger'!F244,'Stage Ledger'!H244,'Stage Ledger'!I244))&lt;0.000001,1,0)</x:f>
        <x:v>1</x:v>
      </x:c>
      <x:c r="F1178" s="21" t="n">
        <x:v>1</x:v>
      </x:c>
      <x:c r="G1178" s="23" t="str">
        <x:f>IF(E1178=F1178,"PASS","FAIL")</x:f>
        <x:v>PASS</x:v>
      </x:c>
    </x:row>
    <x:row r="1179">
      <x:c r="B1179" s="21" t="str">
        <x:v>A01173</x:v>
      </x:c>
      <x:c r="C1179" s="21" t="str">
        <x:v>stage</x:v>
      </x:c>
      <x:c r="D1179" s="21" t="str">
        <x:v>stage 238 observed conservation</x:v>
      </x:c>
      <x:c r="E1179" s="21" t="n">
        <x:f>IF(AND(ABS('Stage Ledger'!R244-IF(AND('Stage Ledger'!P244=1,'Stage Ledger'!Q244=1),MIN('Stage Ledger'!F244,'Stage Ledger'!M244,'Stage Ledger'!R243),0))&lt;0.000001,'Stage Ledger'!S244=IF('Stage Ledger'!R244&gt;='Stage Ledger'!F244,"ADMITTED","NOT ADMITTED")),1,0)</x:f>
        <x:v>1</x:v>
      </x:c>
      <x:c r="F1179" s="21" t="n">
        <x:v>1</x:v>
      </x:c>
      <x:c r="G1179" s="23" t="str">
        <x:f>IF(E1179=F1179,"PASS","FAIL")</x:f>
        <x:v>PASS</x:v>
      </x:c>
    </x:row>
    <x:row r="1180">
      <x:c r="B1180" s="21" t="str">
        <x:v>A01174</x:v>
      </x:c>
      <x:c r="C1180" s="21" t="str">
        <x:v>stage</x:v>
      </x:c>
      <x:c r="D1180" s="21" t="str">
        <x:v>stage 239 planned conservation</x:v>
      </x:c>
      <x:c r="E1180" s="21" t="n">
        <x:f>IF(ABS('Stage Ledger'!J245-MIN('Stage Ledger'!F245,'Stage Ledger'!H245,'Stage Ledger'!I245))&lt;0.000001,1,0)</x:f>
        <x:v>1</x:v>
      </x:c>
      <x:c r="F1180" s="21" t="n">
        <x:v>1</x:v>
      </x:c>
      <x:c r="G1180" s="23" t="str">
        <x:f>IF(E1180=F1180,"PASS","FAIL")</x:f>
        <x:v>PASS</x:v>
      </x:c>
    </x:row>
    <x:row r="1181">
      <x:c r="B1181" s="21" t="str">
        <x:v>A01175</x:v>
      </x:c>
      <x:c r="C1181" s="21" t="str">
        <x:v>stage</x:v>
      </x:c>
      <x:c r="D1181" s="21" t="str">
        <x:v>stage 239 observed conservation</x:v>
      </x:c>
      <x:c r="E1181" s="21" t="n">
        <x:f>IF(AND(ABS('Stage Ledger'!R245-IF(AND('Stage Ledger'!P245=1,'Stage Ledger'!Q245=1),MIN('Stage Ledger'!F245,'Stage Ledger'!M245,'Stage Ledger'!R244),0))&lt;0.000001,'Stage Ledger'!S245=IF('Stage Ledger'!R245&gt;='Stage Ledger'!F245,"ADMITTED","NOT ADMITTED")),1,0)</x:f>
        <x:v>1</x:v>
      </x:c>
      <x:c r="F1181" s="21" t="n">
        <x:v>1</x:v>
      </x:c>
      <x:c r="G1181" s="23" t="str">
        <x:f>IF(E1181=F1181,"PASS","FAIL")</x:f>
        <x:v>PASS</x:v>
      </x:c>
    </x:row>
    <x:row r="1182">
      <x:c r="B1182" s="21" t="str">
        <x:v>A01176</x:v>
      </x:c>
      <x:c r="C1182" s="21" t="str">
        <x:v>stage</x:v>
      </x:c>
      <x:c r="D1182" s="21" t="str">
        <x:v>stage 240 planned conservation</x:v>
      </x:c>
      <x:c r="E1182" s="21" t="n">
        <x:f>IF(ABS('Stage Ledger'!J246-MIN('Stage Ledger'!F246,'Stage Ledger'!H246,'Stage Ledger'!I246))&lt;0.000001,1,0)</x:f>
        <x:v>1</x:v>
      </x:c>
      <x:c r="F1182" s="21" t="n">
        <x:v>1</x:v>
      </x:c>
      <x:c r="G1182" s="23" t="str">
        <x:f>IF(E1182=F1182,"PASS","FAIL")</x:f>
        <x:v>PASS</x:v>
      </x:c>
    </x:row>
    <x:row r="1183">
      <x:c r="B1183" s="21" t="str">
        <x:v>A01177</x:v>
      </x:c>
      <x:c r="C1183" s="21" t="str">
        <x:v>stage</x:v>
      </x:c>
      <x:c r="D1183" s="21" t="str">
        <x:v>stage 240 observed conservation</x:v>
      </x:c>
      <x:c r="E1183" s="21" t="n">
        <x:f>IF(AND(ABS('Stage Ledger'!R246-IF(AND('Stage Ledger'!P246=1,'Stage Ledger'!Q246=1),MIN('Stage Ledger'!F246,'Stage Ledger'!M246,'Stage Ledger'!R245),0))&lt;0.000001,'Stage Ledger'!S246=IF('Stage Ledger'!R246&gt;='Stage Ledger'!F246,"ADMITTED","NOT ADMITTED")),1,0)</x:f>
        <x:v>1</x:v>
      </x:c>
      <x:c r="F1183" s="21" t="n">
        <x:v>1</x:v>
      </x:c>
      <x:c r="G1183" s="23" t="str">
        <x:f>IF(E1183=F1183,"PASS","FAIL")</x:f>
        <x:v>PASS</x:v>
      </x:c>
    </x:row>
    <x:row r="1184">
      <x:c r="B1184" s="21" t="str">
        <x:v>A01178</x:v>
      </x:c>
      <x:c r="C1184" s="21" t="str">
        <x:v>stage</x:v>
      </x:c>
      <x:c r="D1184" s="21" t="str">
        <x:v>stage 241 planned conservation</x:v>
      </x:c>
      <x:c r="E1184" s="21" t="n">
        <x:f>IF(ABS('Stage Ledger'!J247-MIN('Stage Ledger'!F247,'Stage Ledger'!H247,'Stage Ledger'!I247))&lt;0.000001,1,0)</x:f>
        <x:v>1</x:v>
      </x:c>
      <x:c r="F1184" s="21" t="n">
        <x:v>1</x:v>
      </x:c>
      <x:c r="G1184" s="23" t="str">
        <x:f>IF(E1184=F1184,"PASS","FAIL")</x:f>
        <x:v>PASS</x:v>
      </x:c>
    </x:row>
    <x:row r="1185">
      <x:c r="B1185" s="21" t="str">
        <x:v>A01179</x:v>
      </x:c>
      <x:c r="C1185" s="21" t="str">
        <x:v>stage</x:v>
      </x:c>
      <x:c r="D1185" s="21" t="str">
        <x:v>stage 241 observed conservation</x:v>
      </x:c>
      <x:c r="E1185" s="21" t="n">
        <x:f>IF(AND(ABS('Stage Ledger'!R247-IF(AND('Stage Ledger'!P247=1,'Stage Ledger'!Q247=1),MIN('Stage Ledger'!F247,'Stage Ledger'!M247),0))&lt;0.000001,'Stage Ledger'!S247=IF('Stage Ledger'!R247&gt;='Stage Ledger'!F247,"ADMITTED","NOT ADMITTED")),1,0)</x:f>
        <x:v>1</x:v>
      </x:c>
      <x:c r="F1185" s="21" t="n">
        <x:v>1</x:v>
      </x:c>
      <x:c r="G1185" s="23" t="str">
        <x:f>IF(E1185=F1185,"PASS","FAIL")</x:f>
        <x:v>PASS</x:v>
      </x:c>
    </x:row>
    <x:row r="1186">
      <x:c r="B1186" s="21" t="str">
        <x:v>A01180</x:v>
      </x:c>
      <x:c r="C1186" s="21" t="str">
        <x:v>stage</x:v>
      </x:c>
      <x:c r="D1186" s="21" t="str">
        <x:v>stage 242 planned conservation</x:v>
      </x:c>
      <x:c r="E1186" s="21" t="n">
        <x:f>IF(ABS('Stage Ledger'!J248-MIN('Stage Ledger'!F248,'Stage Ledger'!H248,'Stage Ledger'!I248))&lt;0.000001,1,0)</x:f>
        <x:v>1</x:v>
      </x:c>
      <x:c r="F1186" s="21" t="n">
        <x:v>1</x:v>
      </x:c>
      <x:c r="G1186" s="23" t="str">
        <x:f>IF(E1186=F1186,"PASS","FAIL")</x:f>
        <x:v>PASS</x:v>
      </x:c>
    </x:row>
    <x:row r="1187">
      <x:c r="B1187" s="21" t="str">
        <x:v>A01181</x:v>
      </x:c>
      <x:c r="C1187" s="21" t="str">
        <x:v>stage</x:v>
      </x:c>
      <x:c r="D1187" s="21" t="str">
        <x:v>stage 242 observed conservation</x:v>
      </x:c>
      <x:c r="E1187" s="21" t="n">
        <x:f>IF(AND(ABS('Stage Ledger'!R248-IF(AND('Stage Ledger'!P248=1,'Stage Ledger'!Q248=1),MIN('Stage Ledger'!F248,'Stage Ledger'!M248,'Stage Ledger'!R247),0))&lt;0.000001,'Stage Ledger'!S248=IF('Stage Ledger'!R248&gt;='Stage Ledger'!F248,"ADMITTED","NOT ADMITTED")),1,0)</x:f>
        <x:v>1</x:v>
      </x:c>
      <x:c r="F1187" s="21" t="n">
        <x:v>1</x:v>
      </x:c>
      <x:c r="G1187" s="23" t="str">
        <x:f>IF(E1187=F1187,"PASS","FAIL")</x:f>
        <x:v>PASS</x:v>
      </x:c>
    </x:row>
    <x:row r="1188">
      <x:c r="B1188" s="21" t="str">
        <x:v>A01182</x:v>
      </x:c>
      <x:c r="C1188" s="21" t="str">
        <x:v>stage</x:v>
      </x:c>
      <x:c r="D1188" s="21" t="str">
        <x:v>stage 243 planned conservation</x:v>
      </x:c>
      <x:c r="E1188" s="21" t="n">
        <x:f>IF(ABS('Stage Ledger'!J249-MIN('Stage Ledger'!F249,'Stage Ledger'!H249,'Stage Ledger'!I249))&lt;0.000001,1,0)</x:f>
        <x:v>1</x:v>
      </x:c>
      <x:c r="F1188" s="21" t="n">
        <x:v>1</x:v>
      </x:c>
      <x:c r="G1188" s="23" t="str">
        <x:f>IF(E1188=F1188,"PASS","FAIL")</x:f>
        <x:v>PASS</x:v>
      </x:c>
    </x:row>
    <x:row r="1189">
      <x:c r="B1189" s="21" t="str">
        <x:v>A01183</x:v>
      </x:c>
      <x:c r="C1189" s="21" t="str">
        <x:v>stage</x:v>
      </x:c>
      <x:c r="D1189" s="21" t="str">
        <x:v>stage 243 observed conservation</x:v>
      </x:c>
      <x:c r="E1189" s="21" t="n">
        <x:f>IF(AND(ABS('Stage Ledger'!R249-IF(AND('Stage Ledger'!P249=1,'Stage Ledger'!Q249=1),MIN('Stage Ledger'!F249,'Stage Ledger'!M249,'Stage Ledger'!R248),0))&lt;0.000001,'Stage Ledger'!S249=IF('Stage Ledger'!R249&gt;='Stage Ledger'!F249,"ADMITTED","NOT ADMITTED")),1,0)</x:f>
        <x:v>1</x:v>
      </x:c>
      <x:c r="F1189" s="21" t="n">
        <x:v>1</x:v>
      </x:c>
      <x:c r="G1189" s="23" t="str">
        <x:f>IF(E1189=F1189,"PASS","FAIL")</x:f>
        <x:v>PASS</x:v>
      </x:c>
    </x:row>
    <x:row r="1190">
      <x:c r="B1190" s="21" t="str">
        <x:v>A01184</x:v>
      </x:c>
      <x:c r="C1190" s="21" t="str">
        <x:v>stage</x:v>
      </x:c>
      <x:c r="D1190" s="21" t="str">
        <x:v>stage 244 planned conservation</x:v>
      </x:c>
      <x:c r="E1190" s="21" t="n">
        <x:f>IF(ABS('Stage Ledger'!J250-MIN('Stage Ledger'!F250,'Stage Ledger'!H250,'Stage Ledger'!I250))&lt;0.000001,1,0)</x:f>
        <x:v>1</x:v>
      </x:c>
      <x:c r="F1190" s="21" t="n">
        <x:v>1</x:v>
      </x:c>
      <x:c r="G1190" s="23" t="str">
        <x:f>IF(E1190=F1190,"PASS","FAIL")</x:f>
        <x:v>PASS</x:v>
      </x:c>
    </x:row>
    <x:row r="1191">
      <x:c r="B1191" s="21" t="str">
        <x:v>A01185</x:v>
      </x:c>
      <x:c r="C1191" s="21" t="str">
        <x:v>stage</x:v>
      </x:c>
      <x:c r="D1191" s="21" t="str">
        <x:v>stage 244 observed conservation</x:v>
      </x:c>
      <x:c r="E1191" s="21" t="n">
        <x:f>IF(AND(ABS('Stage Ledger'!R250-IF(AND('Stage Ledger'!P250=1,'Stage Ledger'!Q250=1),MIN('Stage Ledger'!F250,'Stage Ledger'!M250,'Stage Ledger'!R249),0))&lt;0.000001,'Stage Ledger'!S250=IF('Stage Ledger'!R250&gt;='Stage Ledger'!F250,"ADMITTED","NOT ADMITTED")),1,0)</x:f>
        <x:v>1</x:v>
      </x:c>
      <x:c r="F1191" s="21" t="n">
        <x:v>1</x:v>
      </x:c>
      <x:c r="G1191" s="23" t="str">
        <x:f>IF(E1191=F1191,"PASS","FAIL")</x:f>
        <x:v>PASS</x:v>
      </x:c>
    </x:row>
    <x:row r="1192">
      <x:c r="B1192" s="21" t="str">
        <x:v>A01186</x:v>
      </x:c>
      <x:c r="C1192" s="21" t="str">
        <x:v>stage</x:v>
      </x:c>
      <x:c r="D1192" s="21" t="str">
        <x:v>stage 245 planned conservation</x:v>
      </x:c>
      <x:c r="E1192" s="21" t="n">
        <x:f>IF(ABS('Stage Ledger'!J251-MIN('Stage Ledger'!F251,'Stage Ledger'!H251,'Stage Ledger'!I251))&lt;0.000001,1,0)</x:f>
        <x:v>1</x:v>
      </x:c>
      <x:c r="F1192" s="21" t="n">
        <x:v>1</x:v>
      </x:c>
      <x:c r="G1192" s="23" t="str">
        <x:f>IF(E1192=F1192,"PASS","FAIL")</x:f>
        <x:v>PASS</x:v>
      </x:c>
    </x:row>
    <x:row r="1193">
      <x:c r="B1193" s="21" t="str">
        <x:v>A01187</x:v>
      </x:c>
      <x:c r="C1193" s="21" t="str">
        <x:v>stage</x:v>
      </x:c>
      <x:c r="D1193" s="21" t="str">
        <x:v>stage 245 observed conservation</x:v>
      </x:c>
      <x:c r="E1193" s="21" t="n">
        <x:f>IF(AND(ABS('Stage Ledger'!R251-IF(AND('Stage Ledger'!P251=1,'Stage Ledger'!Q251=1),MIN('Stage Ledger'!F251,'Stage Ledger'!M251,'Stage Ledger'!R250),0))&lt;0.000001,'Stage Ledger'!S251=IF('Stage Ledger'!R251&gt;='Stage Ledger'!F251,"ADMITTED","NOT ADMITTED")),1,0)</x:f>
        <x:v>1</x:v>
      </x:c>
      <x:c r="F1193" s="21" t="n">
        <x:v>1</x:v>
      </x:c>
      <x:c r="G1193" s="23" t="str">
        <x:f>IF(E1193=F1193,"PASS","FAIL")</x:f>
        <x:v>PASS</x:v>
      </x:c>
    </x:row>
    <x:row r="1194">
      <x:c r="B1194" s="21" t="str">
        <x:v>A01188</x:v>
      </x:c>
      <x:c r="C1194" s="21" t="str">
        <x:v>stage</x:v>
      </x:c>
      <x:c r="D1194" s="21" t="str">
        <x:v>stage 246 planned conservation</x:v>
      </x:c>
      <x:c r="E1194" s="21" t="n">
        <x:f>IF(ABS('Stage Ledger'!J252-MIN('Stage Ledger'!F252,'Stage Ledger'!H252,'Stage Ledger'!I252))&lt;0.000001,1,0)</x:f>
        <x:v>1</x:v>
      </x:c>
      <x:c r="F1194" s="21" t="n">
        <x:v>1</x:v>
      </x:c>
      <x:c r="G1194" s="23" t="str">
        <x:f>IF(E1194=F1194,"PASS","FAIL")</x:f>
        <x:v>PASS</x:v>
      </x:c>
    </x:row>
    <x:row r="1195">
      <x:c r="B1195" s="21" t="str">
        <x:v>A01189</x:v>
      </x:c>
      <x:c r="C1195" s="21" t="str">
        <x:v>stage</x:v>
      </x:c>
      <x:c r="D1195" s="21" t="str">
        <x:v>stage 246 observed conservation</x:v>
      </x:c>
      <x:c r="E1195" s="21" t="n">
        <x:f>IF(AND(ABS('Stage Ledger'!R252-IF(AND('Stage Ledger'!P252=1,'Stage Ledger'!Q252=1),MIN('Stage Ledger'!F252,'Stage Ledger'!M252,'Stage Ledger'!R251),0))&lt;0.000001,'Stage Ledger'!S252=IF('Stage Ledger'!R252&gt;='Stage Ledger'!F252,"ADMITTED","NOT ADMITTED")),1,0)</x:f>
        <x:v>1</x:v>
      </x:c>
      <x:c r="F1195" s="21" t="n">
        <x:v>1</x:v>
      </x:c>
      <x:c r="G1195" s="23" t="str">
        <x:f>IF(E1195=F1195,"PASS","FAIL")</x:f>
        <x:v>PASS</x:v>
      </x:c>
    </x:row>
    <x:row r="1196">
      <x:c r="B1196" s="21" t="str">
        <x:v>A01190</x:v>
      </x:c>
      <x:c r="C1196" s="21" t="str">
        <x:v>stage</x:v>
      </x:c>
      <x:c r="D1196" s="21" t="str">
        <x:v>stage 247 planned conservation</x:v>
      </x:c>
      <x:c r="E1196" s="21" t="n">
        <x:f>IF(ABS('Stage Ledger'!J253-MIN('Stage Ledger'!F253,'Stage Ledger'!H253,'Stage Ledger'!I253))&lt;0.000001,1,0)</x:f>
        <x:v>1</x:v>
      </x:c>
      <x:c r="F1196" s="21" t="n">
        <x:v>1</x:v>
      </x:c>
      <x:c r="G1196" s="23" t="str">
        <x:f>IF(E1196=F1196,"PASS","FAIL")</x:f>
        <x:v>PASS</x:v>
      </x:c>
    </x:row>
    <x:row r="1197">
      <x:c r="B1197" s="21" t="str">
        <x:v>A01191</x:v>
      </x:c>
      <x:c r="C1197" s="21" t="str">
        <x:v>stage</x:v>
      </x:c>
      <x:c r="D1197" s="21" t="str">
        <x:v>stage 247 observed conservation</x:v>
      </x:c>
      <x:c r="E1197" s="21" t="n">
        <x:f>IF(AND(ABS('Stage Ledger'!R253-IF(AND('Stage Ledger'!P253=1,'Stage Ledger'!Q253=1),MIN('Stage Ledger'!F253,'Stage Ledger'!M253,'Stage Ledger'!R252),0))&lt;0.000001,'Stage Ledger'!S253=IF('Stage Ledger'!R253&gt;='Stage Ledger'!F253,"ADMITTED","NOT ADMITTED")),1,0)</x:f>
        <x:v>1</x:v>
      </x:c>
      <x:c r="F1197" s="21" t="n">
        <x:v>1</x:v>
      </x:c>
      <x:c r="G1197" s="23" t="str">
        <x:f>IF(E1197=F1197,"PASS","FAIL")</x:f>
        <x:v>PASS</x:v>
      </x:c>
    </x:row>
    <x:row r="1198">
      <x:c r="B1198" s="21" t="str">
        <x:v>A01192</x:v>
      </x:c>
      <x:c r="C1198" s="21" t="str">
        <x:v>stage</x:v>
      </x:c>
      <x:c r="D1198" s="21" t="str">
        <x:v>stage 248 planned conservation</x:v>
      </x:c>
      <x:c r="E1198" s="21" t="n">
        <x:f>IF(ABS('Stage Ledger'!J254-MIN('Stage Ledger'!F254,'Stage Ledger'!H254,'Stage Ledger'!I254))&lt;0.000001,1,0)</x:f>
        <x:v>1</x:v>
      </x:c>
      <x:c r="F1198" s="21" t="n">
        <x:v>1</x:v>
      </x:c>
      <x:c r="G1198" s="23" t="str">
        <x:f>IF(E1198=F1198,"PASS","FAIL")</x:f>
        <x:v>PASS</x:v>
      </x:c>
    </x:row>
    <x:row r="1199">
      <x:c r="B1199" s="21" t="str">
        <x:v>A01193</x:v>
      </x:c>
      <x:c r="C1199" s="21" t="str">
        <x:v>stage</x:v>
      </x:c>
      <x:c r="D1199" s="21" t="str">
        <x:v>stage 248 observed conservation</x:v>
      </x:c>
      <x:c r="E1199" s="21" t="n">
        <x:f>IF(AND(ABS('Stage Ledger'!R254-IF(AND('Stage Ledger'!P254=1,'Stage Ledger'!Q254=1),MIN('Stage Ledger'!F254,'Stage Ledger'!M254,'Stage Ledger'!R253),0))&lt;0.000001,'Stage Ledger'!S254=IF('Stage Ledger'!R254&gt;='Stage Ledger'!F254,"ADMITTED","NOT ADMITTED")),1,0)</x:f>
        <x:v>1</x:v>
      </x:c>
      <x:c r="F1199" s="21" t="n">
        <x:v>1</x:v>
      </x:c>
      <x:c r="G1199" s="23" t="str">
        <x:f>IF(E1199=F1199,"PASS","FAIL")</x:f>
        <x:v>PASS</x:v>
      </x:c>
    </x:row>
    <x:row r="1200">
      <x:c r="B1200" s="21" t="str">
        <x:v>A01194</x:v>
      </x:c>
      <x:c r="C1200" s="21" t="str">
        <x:v>stage</x:v>
      </x:c>
      <x:c r="D1200" s="21" t="str">
        <x:v>stage 249 planned conservation</x:v>
      </x:c>
      <x:c r="E1200" s="21" t="n">
        <x:f>IF(ABS('Stage Ledger'!J255-MIN('Stage Ledger'!F255,'Stage Ledger'!H255,'Stage Ledger'!I255))&lt;0.000001,1,0)</x:f>
        <x:v>1</x:v>
      </x:c>
      <x:c r="F1200" s="21" t="n">
        <x:v>1</x:v>
      </x:c>
      <x:c r="G1200" s="23" t="str">
        <x:f>IF(E1200=F1200,"PASS","FAIL")</x:f>
        <x:v>PASS</x:v>
      </x:c>
    </x:row>
    <x:row r="1201">
      <x:c r="B1201" s="21" t="str">
        <x:v>A01195</x:v>
      </x:c>
      <x:c r="C1201" s="21" t="str">
        <x:v>stage</x:v>
      </x:c>
      <x:c r="D1201" s="21" t="str">
        <x:v>stage 249 observed conservation</x:v>
      </x:c>
      <x:c r="E1201" s="21" t="n">
        <x:f>IF(AND(ABS('Stage Ledger'!R255-IF(AND('Stage Ledger'!P255=1,'Stage Ledger'!Q255=1),MIN('Stage Ledger'!F255,'Stage Ledger'!M255,'Stage Ledger'!R254),0))&lt;0.000001,'Stage Ledger'!S255=IF('Stage Ledger'!R255&gt;='Stage Ledger'!F255,"ADMITTED","NOT ADMITTED")),1,0)</x:f>
        <x:v>1</x:v>
      </x:c>
      <x:c r="F1201" s="21" t="n">
        <x:v>1</x:v>
      </x:c>
      <x:c r="G1201" s="23" t="str">
        <x:f>IF(E1201=F1201,"PASS","FAIL")</x:f>
        <x:v>PASS</x:v>
      </x:c>
    </x:row>
    <x:row r="1202">
      <x:c r="B1202" s="21" t="str">
        <x:v>A01196</x:v>
      </x:c>
      <x:c r="C1202" s="21" t="str">
        <x:v>stage</x:v>
      </x:c>
      <x:c r="D1202" s="21" t="str">
        <x:v>stage 250 planned conservation</x:v>
      </x:c>
      <x:c r="E1202" s="21" t="n">
        <x:f>IF(ABS('Stage Ledger'!J256-MIN('Stage Ledger'!F256,'Stage Ledger'!H256,'Stage Ledger'!I256))&lt;0.000001,1,0)</x:f>
        <x:v>1</x:v>
      </x:c>
      <x:c r="F1202" s="21" t="n">
        <x:v>1</x:v>
      </x:c>
      <x:c r="G1202" s="23" t="str">
        <x:f>IF(E1202=F1202,"PASS","FAIL")</x:f>
        <x:v>PASS</x:v>
      </x:c>
    </x:row>
    <x:row r="1203">
      <x:c r="B1203" s="21" t="str">
        <x:v>A01197</x:v>
      </x:c>
      <x:c r="C1203" s="21" t="str">
        <x:v>stage</x:v>
      </x:c>
      <x:c r="D1203" s="21" t="str">
        <x:v>stage 250 observed conservation</x:v>
      </x:c>
      <x:c r="E1203" s="21" t="n">
        <x:f>IF(AND(ABS('Stage Ledger'!R256-IF(AND('Stage Ledger'!P256=1,'Stage Ledger'!Q256=1),MIN('Stage Ledger'!F256,'Stage Ledger'!M256,'Stage Ledger'!R255),0))&lt;0.000001,'Stage Ledger'!S256=IF('Stage Ledger'!R256&gt;='Stage Ledger'!F256,"ADMITTED","NOT ADMITTED")),1,0)</x:f>
        <x:v>1</x:v>
      </x:c>
      <x:c r="F1203" s="21" t="n">
        <x:v>1</x:v>
      </x:c>
      <x:c r="G1203" s="23" t="str">
        <x:f>IF(E1203=F1203,"PASS","FAIL")</x:f>
        <x:v>PASS</x:v>
      </x:c>
    </x:row>
    <x:row r="1204">
      <x:c r="B1204" s="21" t="str">
        <x:v>A01198</x:v>
      </x:c>
      <x:c r="C1204" s="21" t="str">
        <x:v>stage</x:v>
      </x:c>
      <x:c r="D1204" s="21" t="str">
        <x:v>stage 251 planned conservation</x:v>
      </x:c>
      <x:c r="E1204" s="21" t="n">
        <x:f>IF(ABS('Stage Ledger'!J257-MIN('Stage Ledger'!F257,'Stage Ledger'!H257,'Stage Ledger'!I257))&lt;0.000001,1,0)</x:f>
        <x:v>1</x:v>
      </x:c>
      <x:c r="F1204" s="21" t="n">
        <x:v>1</x:v>
      </x:c>
      <x:c r="G1204" s="23" t="str">
        <x:f>IF(E1204=F1204,"PASS","FAIL")</x:f>
        <x:v>PASS</x:v>
      </x:c>
    </x:row>
    <x:row r="1205">
      <x:c r="B1205" s="21" t="str">
        <x:v>A01199</x:v>
      </x:c>
      <x:c r="C1205" s="21" t="str">
        <x:v>stage</x:v>
      </x:c>
      <x:c r="D1205" s="21" t="str">
        <x:v>stage 251 observed conservation</x:v>
      </x:c>
      <x:c r="E1205" s="21" t="n">
        <x:f>IF(AND(ABS('Stage Ledger'!R257-IF(AND('Stage Ledger'!P257=1,'Stage Ledger'!Q257=1),MIN('Stage Ledger'!F257,'Stage Ledger'!M257,'Stage Ledger'!R256),0))&lt;0.000001,'Stage Ledger'!S257=IF('Stage Ledger'!R257&gt;='Stage Ledger'!F257,"ADMITTED","NOT ADMITTED")),1,0)</x:f>
        <x:v>1</x:v>
      </x:c>
      <x:c r="F1205" s="21" t="n">
        <x:v>1</x:v>
      </x:c>
      <x:c r="G1205" s="23" t="str">
        <x:f>IF(E1205=F1205,"PASS","FAIL")</x:f>
        <x:v>PASS</x:v>
      </x:c>
    </x:row>
    <x:row r="1206">
      <x:c r="B1206" s="21" t="str">
        <x:v>A01200</x:v>
      </x:c>
      <x:c r="C1206" s="21" t="str">
        <x:v>stage</x:v>
      </x:c>
      <x:c r="D1206" s="21" t="str">
        <x:v>stage 252 planned conservation</x:v>
      </x:c>
      <x:c r="E1206" s="21" t="n">
        <x:f>IF(ABS('Stage Ledger'!J258-MIN('Stage Ledger'!F258,'Stage Ledger'!H258,'Stage Ledger'!I258))&lt;0.000001,1,0)</x:f>
        <x:v>1</x:v>
      </x:c>
      <x:c r="F1206" s="21" t="n">
        <x:v>1</x:v>
      </x:c>
      <x:c r="G1206" s="23" t="str">
        <x:f>IF(E1206=F1206,"PASS","FAIL")</x:f>
        <x:v>PASS</x:v>
      </x:c>
    </x:row>
    <x:row r="1207">
      <x:c r="B1207" s="21" t="str">
        <x:v>A01201</x:v>
      </x:c>
      <x:c r="C1207" s="21" t="str">
        <x:v>stage</x:v>
      </x:c>
      <x:c r="D1207" s="21" t="str">
        <x:v>stage 252 observed conservation</x:v>
      </x:c>
      <x:c r="E1207" s="21" t="n">
        <x:f>IF(AND(ABS('Stage Ledger'!R258-IF(AND('Stage Ledger'!P258=1,'Stage Ledger'!Q258=1),MIN('Stage Ledger'!F258,'Stage Ledger'!M258,'Stage Ledger'!R257),0))&lt;0.000001,'Stage Ledger'!S258=IF('Stage Ledger'!R258&gt;='Stage Ledger'!F258,"ADMITTED","NOT ADMITTED")),1,0)</x:f>
        <x:v>1</x:v>
      </x:c>
      <x:c r="F1207" s="21" t="n">
        <x:v>1</x:v>
      </x:c>
      <x:c r="G1207" s="23" t="str">
        <x:f>IF(E1207=F1207,"PASS","FAIL")</x:f>
        <x:v>PASS</x:v>
      </x:c>
    </x:row>
    <x:row r="1208">
      <x:c r="B1208" s="21" t="str">
        <x:v>A01202</x:v>
      </x:c>
      <x:c r="C1208" s="21" t="str">
        <x:v>stage</x:v>
      </x:c>
      <x:c r="D1208" s="21" t="str">
        <x:v>stage 253 planned conservation</x:v>
      </x:c>
      <x:c r="E1208" s="21" t="n">
        <x:f>IF(ABS('Stage Ledger'!J259-MIN('Stage Ledger'!F259,'Stage Ledger'!H259,'Stage Ledger'!I259))&lt;0.000001,1,0)</x:f>
        <x:v>1</x:v>
      </x:c>
      <x:c r="F1208" s="21" t="n">
        <x:v>1</x:v>
      </x:c>
      <x:c r="G1208" s="23" t="str">
        <x:f>IF(E1208=F1208,"PASS","FAIL")</x:f>
        <x:v>PASS</x:v>
      </x:c>
    </x:row>
    <x:row r="1209">
      <x:c r="B1209" s="21" t="str">
        <x:v>A01203</x:v>
      </x:c>
      <x:c r="C1209" s="21" t="str">
        <x:v>stage</x:v>
      </x:c>
      <x:c r="D1209" s="21" t="str">
        <x:v>stage 253 observed conservation</x:v>
      </x:c>
      <x:c r="E1209" s="21" t="n">
        <x:f>IF(AND(ABS('Stage Ledger'!R259-IF(AND('Stage Ledger'!P259=1,'Stage Ledger'!Q259=1),MIN('Stage Ledger'!F259,'Stage Ledger'!M259),0))&lt;0.000001,'Stage Ledger'!S259=IF('Stage Ledger'!R259&gt;='Stage Ledger'!F259,"ADMITTED","NOT ADMITTED")),1,0)</x:f>
        <x:v>1</x:v>
      </x:c>
      <x:c r="F1209" s="21" t="n">
        <x:v>1</x:v>
      </x:c>
      <x:c r="G1209" s="23" t="str">
        <x:f>IF(E1209=F1209,"PASS","FAIL")</x:f>
        <x:v>PASS</x:v>
      </x:c>
    </x:row>
    <x:row r="1210">
      <x:c r="B1210" s="21" t="str">
        <x:v>A01204</x:v>
      </x:c>
      <x:c r="C1210" s="21" t="str">
        <x:v>stage</x:v>
      </x:c>
      <x:c r="D1210" s="21" t="str">
        <x:v>stage 254 planned conservation</x:v>
      </x:c>
      <x:c r="E1210" s="21" t="n">
        <x:f>IF(ABS('Stage Ledger'!J260-MIN('Stage Ledger'!F260,'Stage Ledger'!H260,'Stage Ledger'!I260))&lt;0.000001,1,0)</x:f>
        <x:v>1</x:v>
      </x:c>
      <x:c r="F1210" s="21" t="n">
        <x:v>1</x:v>
      </x:c>
      <x:c r="G1210" s="23" t="str">
        <x:f>IF(E1210=F1210,"PASS","FAIL")</x:f>
        <x:v>PASS</x:v>
      </x:c>
    </x:row>
    <x:row r="1211">
      <x:c r="B1211" s="21" t="str">
        <x:v>A01205</x:v>
      </x:c>
      <x:c r="C1211" s="21" t="str">
        <x:v>stage</x:v>
      </x:c>
      <x:c r="D1211" s="21" t="str">
        <x:v>stage 254 observed conservation</x:v>
      </x:c>
      <x:c r="E1211" s="21" t="n">
        <x:f>IF(AND(ABS('Stage Ledger'!R260-IF(AND('Stage Ledger'!P260=1,'Stage Ledger'!Q260=1),MIN('Stage Ledger'!F260,'Stage Ledger'!M260,'Stage Ledger'!R259),0))&lt;0.000001,'Stage Ledger'!S260=IF('Stage Ledger'!R260&gt;='Stage Ledger'!F260,"ADMITTED","NOT ADMITTED")),1,0)</x:f>
        <x:v>1</x:v>
      </x:c>
      <x:c r="F1211" s="21" t="n">
        <x:v>1</x:v>
      </x:c>
      <x:c r="G1211" s="23" t="str">
        <x:f>IF(E1211=F1211,"PASS","FAIL")</x:f>
        <x:v>PASS</x:v>
      </x:c>
    </x:row>
    <x:row r="1212">
      <x:c r="B1212" s="21" t="str">
        <x:v>A01206</x:v>
      </x:c>
      <x:c r="C1212" s="21" t="str">
        <x:v>stage</x:v>
      </x:c>
      <x:c r="D1212" s="21" t="str">
        <x:v>stage 255 planned conservation</x:v>
      </x:c>
      <x:c r="E1212" s="21" t="n">
        <x:f>IF(ABS('Stage Ledger'!J261-MIN('Stage Ledger'!F261,'Stage Ledger'!H261,'Stage Ledger'!I261))&lt;0.000001,1,0)</x:f>
        <x:v>1</x:v>
      </x:c>
      <x:c r="F1212" s="21" t="n">
        <x:v>1</x:v>
      </x:c>
      <x:c r="G1212" s="23" t="str">
        <x:f>IF(E1212=F1212,"PASS","FAIL")</x:f>
        <x:v>PASS</x:v>
      </x:c>
    </x:row>
    <x:row r="1213">
      <x:c r="B1213" s="21" t="str">
        <x:v>A01207</x:v>
      </x:c>
      <x:c r="C1213" s="21" t="str">
        <x:v>stage</x:v>
      </x:c>
      <x:c r="D1213" s="21" t="str">
        <x:v>stage 255 observed conservation</x:v>
      </x:c>
      <x:c r="E1213" s="21" t="n">
        <x:f>IF(AND(ABS('Stage Ledger'!R261-IF(AND('Stage Ledger'!P261=1,'Stage Ledger'!Q261=1),MIN('Stage Ledger'!F261,'Stage Ledger'!M261,'Stage Ledger'!R260),0))&lt;0.000001,'Stage Ledger'!S261=IF('Stage Ledger'!R261&gt;='Stage Ledger'!F261,"ADMITTED","NOT ADMITTED")),1,0)</x:f>
        <x:v>1</x:v>
      </x:c>
      <x:c r="F1213" s="21" t="n">
        <x:v>1</x:v>
      </x:c>
      <x:c r="G1213" s="23" t="str">
        <x:f>IF(E1213=F1213,"PASS","FAIL")</x:f>
        <x:v>PASS</x:v>
      </x:c>
    </x:row>
    <x:row r="1214">
      <x:c r="B1214" s="21" t="str">
        <x:v>A01208</x:v>
      </x:c>
      <x:c r="C1214" s="21" t="str">
        <x:v>stage</x:v>
      </x:c>
      <x:c r="D1214" s="21" t="str">
        <x:v>stage 256 planned conservation</x:v>
      </x:c>
      <x:c r="E1214" s="21" t="n">
        <x:f>IF(ABS('Stage Ledger'!J262-MIN('Stage Ledger'!F262,'Stage Ledger'!H262,'Stage Ledger'!I262))&lt;0.000001,1,0)</x:f>
        <x:v>1</x:v>
      </x:c>
      <x:c r="F1214" s="21" t="n">
        <x:v>1</x:v>
      </x:c>
      <x:c r="G1214" s="23" t="str">
        <x:f>IF(E1214=F1214,"PASS","FAIL")</x:f>
        <x:v>PASS</x:v>
      </x:c>
    </x:row>
    <x:row r="1215">
      <x:c r="B1215" s="21" t="str">
        <x:v>A01209</x:v>
      </x:c>
      <x:c r="C1215" s="21" t="str">
        <x:v>stage</x:v>
      </x:c>
      <x:c r="D1215" s="21" t="str">
        <x:v>stage 256 observed conservation</x:v>
      </x:c>
      <x:c r="E1215" s="21" t="n">
        <x:f>IF(AND(ABS('Stage Ledger'!R262-IF(AND('Stage Ledger'!P262=1,'Stage Ledger'!Q262=1),MIN('Stage Ledger'!F262,'Stage Ledger'!M262,'Stage Ledger'!R261),0))&lt;0.000001,'Stage Ledger'!S262=IF('Stage Ledger'!R262&gt;='Stage Ledger'!F262,"ADMITTED","NOT ADMITTED")),1,0)</x:f>
        <x:v>1</x:v>
      </x:c>
      <x:c r="F1215" s="21" t="n">
        <x:v>1</x:v>
      </x:c>
      <x:c r="G1215" s="23" t="str">
        <x:f>IF(E1215=F1215,"PASS","FAIL")</x:f>
        <x:v>PASS</x:v>
      </x:c>
    </x:row>
    <x:row r="1216">
      <x:c r="B1216" s="21" t="str">
        <x:v>A01210</x:v>
      </x:c>
      <x:c r="C1216" s="21" t="str">
        <x:v>stage</x:v>
      </x:c>
      <x:c r="D1216" s="21" t="str">
        <x:v>stage 257 planned conservation</x:v>
      </x:c>
      <x:c r="E1216" s="21" t="n">
        <x:f>IF(ABS('Stage Ledger'!J263-MIN('Stage Ledger'!F263,'Stage Ledger'!H263,'Stage Ledger'!I263))&lt;0.000001,1,0)</x:f>
        <x:v>1</x:v>
      </x:c>
      <x:c r="F1216" s="21" t="n">
        <x:v>1</x:v>
      </x:c>
      <x:c r="G1216" s="23" t="str">
        <x:f>IF(E1216=F1216,"PASS","FAIL")</x:f>
        <x:v>PASS</x:v>
      </x:c>
    </x:row>
    <x:row r="1217">
      <x:c r="B1217" s="21" t="str">
        <x:v>A01211</x:v>
      </x:c>
      <x:c r="C1217" s="21" t="str">
        <x:v>stage</x:v>
      </x:c>
      <x:c r="D1217" s="21" t="str">
        <x:v>stage 257 observed conservation</x:v>
      </x:c>
      <x:c r="E1217" s="21" t="n">
        <x:f>IF(AND(ABS('Stage Ledger'!R263-IF(AND('Stage Ledger'!P263=1,'Stage Ledger'!Q263=1),MIN('Stage Ledger'!F263,'Stage Ledger'!M263,'Stage Ledger'!R262),0))&lt;0.000001,'Stage Ledger'!S263=IF('Stage Ledger'!R263&gt;='Stage Ledger'!F263,"ADMITTED","NOT ADMITTED")),1,0)</x:f>
        <x:v>1</x:v>
      </x:c>
      <x:c r="F1217" s="21" t="n">
        <x:v>1</x:v>
      </x:c>
      <x:c r="G1217" s="23" t="str">
        <x:f>IF(E1217=F1217,"PASS","FAIL")</x:f>
        <x:v>PASS</x:v>
      </x:c>
    </x:row>
    <x:row r="1218">
      <x:c r="B1218" s="21" t="str">
        <x:v>A01212</x:v>
      </x:c>
      <x:c r="C1218" s="21" t="str">
        <x:v>stage</x:v>
      </x:c>
      <x:c r="D1218" s="21" t="str">
        <x:v>stage 258 planned conservation</x:v>
      </x:c>
      <x:c r="E1218" s="21" t="n">
        <x:f>IF(ABS('Stage Ledger'!J264-MIN('Stage Ledger'!F264,'Stage Ledger'!H264,'Stage Ledger'!I264))&lt;0.000001,1,0)</x:f>
        <x:v>1</x:v>
      </x:c>
      <x:c r="F1218" s="21" t="n">
        <x:v>1</x:v>
      </x:c>
      <x:c r="G1218" s="23" t="str">
        <x:f>IF(E1218=F1218,"PASS","FAIL")</x:f>
        <x:v>PASS</x:v>
      </x:c>
    </x:row>
    <x:row r="1219">
      <x:c r="B1219" s="21" t="str">
        <x:v>A01213</x:v>
      </x:c>
      <x:c r="C1219" s="21" t="str">
        <x:v>stage</x:v>
      </x:c>
      <x:c r="D1219" s="21" t="str">
        <x:v>stage 258 observed conservation</x:v>
      </x:c>
      <x:c r="E1219" s="21" t="n">
        <x:f>IF(AND(ABS('Stage Ledger'!R264-IF(AND('Stage Ledger'!P264=1,'Stage Ledger'!Q264=1),MIN('Stage Ledger'!F264,'Stage Ledger'!M264,'Stage Ledger'!R263),0))&lt;0.000001,'Stage Ledger'!S264=IF('Stage Ledger'!R264&gt;='Stage Ledger'!F264,"ADMITTED","NOT ADMITTED")),1,0)</x:f>
        <x:v>1</x:v>
      </x:c>
      <x:c r="F1219" s="21" t="n">
        <x:v>1</x:v>
      </x:c>
      <x:c r="G1219" s="23" t="str">
        <x:f>IF(E1219=F1219,"PASS","FAIL")</x:f>
        <x:v>PASS</x:v>
      </x:c>
    </x:row>
    <x:row r="1220">
      <x:c r="B1220" s="21" t="str">
        <x:v>A01214</x:v>
      </x:c>
      <x:c r="C1220" s="21" t="str">
        <x:v>stage</x:v>
      </x:c>
      <x:c r="D1220" s="21" t="str">
        <x:v>stage 259 planned conservation</x:v>
      </x:c>
      <x:c r="E1220" s="21" t="n">
        <x:f>IF(ABS('Stage Ledger'!J265-MIN('Stage Ledger'!F265,'Stage Ledger'!H265,'Stage Ledger'!I265))&lt;0.000001,1,0)</x:f>
        <x:v>1</x:v>
      </x:c>
      <x:c r="F1220" s="21" t="n">
        <x:v>1</x:v>
      </x:c>
      <x:c r="G1220" s="23" t="str">
        <x:f>IF(E1220=F1220,"PASS","FAIL")</x:f>
        <x:v>PASS</x:v>
      </x:c>
    </x:row>
    <x:row r="1221">
      <x:c r="B1221" s="21" t="str">
        <x:v>A01215</x:v>
      </x:c>
      <x:c r="C1221" s="21" t="str">
        <x:v>stage</x:v>
      </x:c>
      <x:c r="D1221" s="21" t="str">
        <x:v>stage 259 observed conservation</x:v>
      </x:c>
      <x:c r="E1221" s="21" t="n">
        <x:f>IF(AND(ABS('Stage Ledger'!R265-IF(AND('Stage Ledger'!P265=1,'Stage Ledger'!Q265=1),MIN('Stage Ledger'!F265,'Stage Ledger'!M265,'Stage Ledger'!R264),0))&lt;0.000001,'Stage Ledger'!S265=IF('Stage Ledger'!R265&gt;='Stage Ledger'!F265,"ADMITTED","NOT ADMITTED")),1,0)</x:f>
        <x:v>1</x:v>
      </x:c>
      <x:c r="F1221" s="21" t="n">
        <x:v>1</x:v>
      </x:c>
      <x:c r="G1221" s="23" t="str">
        <x:f>IF(E1221=F1221,"PASS","FAIL")</x:f>
        <x:v>PASS</x:v>
      </x:c>
    </x:row>
    <x:row r="1222">
      <x:c r="B1222" s="21" t="str">
        <x:v>A01216</x:v>
      </x:c>
      <x:c r="C1222" s="21" t="str">
        <x:v>stage</x:v>
      </x:c>
      <x:c r="D1222" s="21" t="str">
        <x:v>stage 260 planned conservation</x:v>
      </x:c>
      <x:c r="E1222" s="21" t="n">
        <x:f>IF(ABS('Stage Ledger'!J266-MIN('Stage Ledger'!F266,'Stage Ledger'!H266,'Stage Ledger'!I266))&lt;0.000001,1,0)</x:f>
        <x:v>1</x:v>
      </x:c>
      <x:c r="F1222" s="21" t="n">
        <x:v>1</x:v>
      </x:c>
      <x:c r="G1222" s="23" t="str">
        <x:f>IF(E1222=F1222,"PASS","FAIL")</x:f>
        <x:v>PASS</x:v>
      </x:c>
    </x:row>
    <x:row r="1223">
      <x:c r="B1223" s="21" t="str">
        <x:v>A01217</x:v>
      </x:c>
      <x:c r="C1223" s="21" t="str">
        <x:v>stage</x:v>
      </x:c>
      <x:c r="D1223" s="21" t="str">
        <x:v>stage 260 observed conservation</x:v>
      </x:c>
      <x:c r="E1223" s="21" t="n">
        <x:f>IF(AND(ABS('Stage Ledger'!R266-IF(AND('Stage Ledger'!P266=1,'Stage Ledger'!Q266=1),MIN('Stage Ledger'!F266,'Stage Ledger'!M266,'Stage Ledger'!R265),0))&lt;0.000001,'Stage Ledger'!S266=IF('Stage Ledger'!R266&gt;='Stage Ledger'!F266,"ADMITTED","NOT ADMITTED")),1,0)</x:f>
        <x:v>1</x:v>
      </x:c>
      <x:c r="F1223" s="21" t="n">
        <x:v>1</x:v>
      </x:c>
      <x:c r="G1223" s="23" t="str">
        <x:f>IF(E1223=F1223,"PASS","FAIL")</x:f>
        <x:v>PASS</x:v>
      </x:c>
    </x:row>
    <x:row r="1224">
      <x:c r="B1224" s="21" t="str">
        <x:v>A01218</x:v>
      </x:c>
      <x:c r="C1224" s="21" t="str">
        <x:v>stage</x:v>
      </x:c>
      <x:c r="D1224" s="21" t="str">
        <x:v>stage 261 planned conservation</x:v>
      </x:c>
      <x:c r="E1224" s="21" t="n">
        <x:f>IF(ABS('Stage Ledger'!J267-MIN('Stage Ledger'!F267,'Stage Ledger'!H267,'Stage Ledger'!I267))&lt;0.000001,1,0)</x:f>
        <x:v>1</x:v>
      </x:c>
      <x:c r="F1224" s="21" t="n">
        <x:v>1</x:v>
      </x:c>
      <x:c r="G1224" s="23" t="str">
        <x:f>IF(E1224=F1224,"PASS","FAIL")</x:f>
        <x:v>PASS</x:v>
      </x:c>
    </x:row>
    <x:row r="1225">
      <x:c r="B1225" s="21" t="str">
        <x:v>A01219</x:v>
      </x:c>
      <x:c r="C1225" s="21" t="str">
        <x:v>stage</x:v>
      </x:c>
      <x:c r="D1225" s="21" t="str">
        <x:v>stage 261 observed conservation</x:v>
      </x:c>
      <x:c r="E1225" s="21" t="n">
        <x:f>IF(AND(ABS('Stage Ledger'!R267-IF(AND('Stage Ledger'!P267=1,'Stage Ledger'!Q267=1),MIN('Stage Ledger'!F267,'Stage Ledger'!M267,'Stage Ledger'!R266),0))&lt;0.000001,'Stage Ledger'!S267=IF('Stage Ledger'!R267&gt;='Stage Ledger'!F267,"ADMITTED","NOT ADMITTED")),1,0)</x:f>
        <x:v>1</x:v>
      </x:c>
      <x:c r="F1225" s="21" t="n">
        <x:v>1</x:v>
      </x:c>
      <x:c r="G1225" s="23" t="str">
        <x:f>IF(E1225=F1225,"PASS","FAIL")</x:f>
        <x:v>PASS</x:v>
      </x:c>
    </x:row>
    <x:row r="1226">
      <x:c r="B1226" s="21" t="str">
        <x:v>A01220</x:v>
      </x:c>
      <x:c r="C1226" s="21" t="str">
        <x:v>stage</x:v>
      </x:c>
      <x:c r="D1226" s="21" t="str">
        <x:v>stage 262 planned conservation</x:v>
      </x:c>
      <x:c r="E1226" s="21" t="n">
        <x:f>IF(ABS('Stage Ledger'!J268-MIN('Stage Ledger'!F268,'Stage Ledger'!H268,'Stage Ledger'!I268))&lt;0.000001,1,0)</x:f>
        <x:v>1</x:v>
      </x:c>
      <x:c r="F1226" s="21" t="n">
        <x:v>1</x:v>
      </x:c>
      <x:c r="G1226" s="23" t="str">
        <x:f>IF(E1226=F1226,"PASS","FAIL")</x:f>
        <x:v>PASS</x:v>
      </x:c>
    </x:row>
    <x:row r="1227">
      <x:c r="B1227" s="21" t="str">
        <x:v>A01221</x:v>
      </x:c>
      <x:c r="C1227" s="21" t="str">
        <x:v>stage</x:v>
      </x:c>
      <x:c r="D1227" s="21" t="str">
        <x:v>stage 262 observed conservation</x:v>
      </x:c>
      <x:c r="E1227" s="21" t="n">
        <x:f>IF(AND(ABS('Stage Ledger'!R268-IF(AND('Stage Ledger'!P268=1,'Stage Ledger'!Q268=1),MIN('Stage Ledger'!F268,'Stage Ledger'!M268,'Stage Ledger'!R267),0))&lt;0.000001,'Stage Ledger'!S268=IF('Stage Ledger'!R268&gt;='Stage Ledger'!F268,"ADMITTED","NOT ADMITTED")),1,0)</x:f>
        <x:v>1</x:v>
      </x:c>
      <x:c r="F1227" s="21" t="n">
        <x:v>1</x:v>
      </x:c>
      <x:c r="G1227" s="23" t="str">
        <x:f>IF(E1227=F1227,"PASS","FAIL")</x:f>
        <x:v>PASS</x:v>
      </x:c>
    </x:row>
    <x:row r="1228">
      <x:c r="B1228" s="21" t="str">
        <x:v>A01222</x:v>
      </x:c>
      <x:c r="C1228" s="21" t="str">
        <x:v>stage</x:v>
      </x:c>
      <x:c r="D1228" s="21" t="str">
        <x:v>stage 263 planned conservation</x:v>
      </x:c>
      <x:c r="E1228" s="21" t="n">
        <x:f>IF(ABS('Stage Ledger'!J269-MIN('Stage Ledger'!F269,'Stage Ledger'!H269,'Stage Ledger'!I269))&lt;0.000001,1,0)</x:f>
        <x:v>1</x:v>
      </x:c>
      <x:c r="F1228" s="21" t="n">
        <x:v>1</x:v>
      </x:c>
      <x:c r="G1228" s="23" t="str">
        <x:f>IF(E1228=F1228,"PASS","FAIL")</x:f>
        <x:v>PASS</x:v>
      </x:c>
    </x:row>
    <x:row r="1229">
      <x:c r="B1229" s="21" t="str">
        <x:v>A01223</x:v>
      </x:c>
      <x:c r="C1229" s="21" t="str">
        <x:v>stage</x:v>
      </x:c>
      <x:c r="D1229" s="21" t="str">
        <x:v>stage 263 observed conservation</x:v>
      </x:c>
      <x:c r="E1229" s="21" t="n">
        <x:f>IF(AND(ABS('Stage Ledger'!R269-IF(AND('Stage Ledger'!P269=1,'Stage Ledger'!Q269=1),MIN('Stage Ledger'!F269,'Stage Ledger'!M269,'Stage Ledger'!R268),0))&lt;0.000001,'Stage Ledger'!S269=IF('Stage Ledger'!R269&gt;='Stage Ledger'!F269,"ADMITTED","NOT ADMITTED")),1,0)</x:f>
        <x:v>1</x:v>
      </x:c>
      <x:c r="F1229" s="21" t="n">
        <x:v>1</x:v>
      </x:c>
      <x:c r="G1229" s="23" t="str">
        <x:f>IF(E1229=F1229,"PASS","FAIL")</x:f>
        <x:v>PASS</x:v>
      </x:c>
    </x:row>
    <x:row r="1230">
      <x:c r="B1230" s="21" t="str">
        <x:v>A01224</x:v>
      </x:c>
      <x:c r="C1230" s="21" t="str">
        <x:v>stage</x:v>
      </x:c>
      <x:c r="D1230" s="21" t="str">
        <x:v>stage 264 planned conservation</x:v>
      </x:c>
      <x:c r="E1230" s="21" t="n">
        <x:f>IF(ABS('Stage Ledger'!J270-MIN('Stage Ledger'!F270,'Stage Ledger'!H270,'Stage Ledger'!I270))&lt;0.000001,1,0)</x:f>
        <x:v>1</x:v>
      </x:c>
      <x:c r="F1230" s="21" t="n">
        <x:v>1</x:v>
      </x:c>
      <x:c r="G1230" s="23" t="str">
        <x:f>IF(E1230=F1230,"PASS","FAIL")</x:f>
        <x:v>PASS</x:v>
      </x:c>
    </x:row>
    <x:row r="1231">
      <x:c r="B1231" s="21" t="str">
        <x:v>A01225</x:v>
      </x:c>
      <x:c r="C1231" s="21" t="str">
        <x:v>stage</x:v>
      </x:c>
      <x:c r="D1231" s="21" t="str">
        <x:v>stage 264 observed conservation</x:v>
      </x:c>
      <x:c r="E1231" s="21" t="n">
        <x:f>IF(AND(ABS('Stage Ledger'!R270-IF(AND('Stage Ledger'!P270=1,'Stage Ledger'!Q270=1),MIN('Stage Ledger'!F270,'Stage Ledger'!M270,'Stage Ledger'!R269),0))&lt;0.000001,'Stage Ledger'!S270=IF('Stage Ledger'!R270&gt;='Stage Ledger'!F270,"ADMITTED","NOT ADMITTED")),1,0)</x:f>
        <x:v>1</x:v>
      </x:c>
      <x:c r="F1231" s="21" t="n">
        <x:v>1</x:v>
      </x:c>
      <x:c r="G1231" s="23" t="str">
        <x:f>IF(E1231=F1231,"PASS","FAIL")</x:f>
        <x:v>PASS</x:v>
      </x:c>
    </x:row>
    <x:row r="1232">
      <x:c r="B1232" s="21" t="str">
        <x:v>A01226</x:v>
      </x:c>
      <x:c r="C1232" s="21" t="str">
        <x:v>stage</x:v>
      </x:c>
      <x:c r="D1232" s="21" t="str">
        <x:v>stage 265 planned conservation</x:v>
      </x:c>
      <x:c r="E1232" s="21" t="n">
        <x:f>IF(ABS('Stage Ledger'!J271-MIN('Stage Ledger'!F271,'Stage Ledger'!H271,'Stage Ledger'!I271))&lt;0.000001,1,0)</x:f>
        <x:v>1</x:v>
      </x:c>
      <x:c r="F1232" s="21" t="n">
        <x:v>1</x:v>
      </x:c>
      <x:c r="G1232" s="23" t="str">
        <x:f>IF(E1232=F1232,"PASS","FAIL")</x:f>
        <x:v>PASS</x:v>
      </x:c>
    </x:row>
    <x:row r="1233">
      <x:c r="B1233" s="21" t="str">
        <x:v>A01227</x:v>
      </x:c>
      <x:c r="C1233" s="21" t="str">
        <x:v>stage</x:v>
      </x:c>
      <x:c r="D1233" s="21" t="str">
        <x:v>stage 265 observed conservation</x:v>
      </x:c>
      <x:c r="E1233" s="21" t="n">
        <x:f>IF(AND(ABS('Stage Ledger'!R271-IF(AND('Stage Ledger'!P271=1,'Stage Ledger'!Q271=1),MIN('Stage Ledger'!F271,'Stage Ledger'!M271),0))&lt;0.000001,'Stage Ledger'!S271=IF('Stage Ledger'!R271&gt;='Stage Ledger'!F271,"ADMITTED","NOT ADMITTED")),1,0)</x:f>
        <x:v>1</x:v>
      </x:c>
      <x:c r="F1233" s="21" t="n">
        <x:v>1</x:v>
      </x:c>
      <x:c r="G1233" s="23" t="str">
        <x:f>IF(E1233=F1233,"PASS","FAIL")</x:f>
        <x:v>PASS</x:v>
      </x:c>
    </x:row>
    <x:row r="1234">
      <x:c r="B1234" s="21" t="str">
        <x:v>A01228</x:v>
      </x:c>
      <x:c r="C1234" s="21" t="str">
        <x:v>stage</x:v>
      </x:c>
      <x:c r="D1234" s="21" t="str">
        <x:v>stage 266 planned conservation</x:v>
      </x:c>
      <x:c r="E1234" s="21" t="n">
        <x:f>IF(ABS('Stage Ledger'!J272-MIN('Stage Ledger'!F272,'Stage Ledger'!H272,'Stage Ledger'!I272))&lt;0.000001,1,0)</x:f>
        <x:v>1</x:v>
      </x:c>
      <x:c r="F1234" s="21" t="n">
        <x:v>1</x:v>
      </x:c>
      <x:c r="G1234" s="23" t="str">
        <x:f>IF(E1234=F1234,"PASS","FAIL")</x:f>
        <x:v>PASS</x:v>
      </x:c>
    </x:row>
    <x:row r="1235">
      <x:c r="B1235" s="21" t="str">
        <x:v>A01229</x:v>
      </x:c>
      <x:c r="C1235" s="21" t="str">
        <x:v>stage</x:v>
      </x:c>
      <x:c r="D1235" s="21" t="str">
        <x:v>stage 266 observed conservation</x:v>
      </x:c>
      <x:c r="E1235" s="21" t="n">
        <x:f>IF(AND(ABS('Stage Ledger'!R272-IF(AND('Stage Ledger'!P272=1,'Stage Ledger'!Q272=1),MIN('Stage Ledger'!F272,'Stage Ledger'!M272,'Stage Ledger'!R271),0))&lt;0.000001,'Stage Ledger'!S272=IF('Stage Ledger'!R272&gt;='Stage Ledger'!F272,"ADMITTED","NOT ADMITTED")),1,0)</x:f>
        <x:v>1</x:v>
      </x:c>
      <x:c r="F1235" s="21" t="n">
        <x:v>1</x:v>
      </x:c>
      <x:c r="G1235" s="23" t="str">
        <x:f>IF(E1235=F1235,"PASS","FAIL")</x:f>
        <x:v>PASS</x:v>
      </x:c>
    </x:row>
    <x:row r="1236">
      <x:c r="B1236" s="21" t="str">
        <x:v>A01230</x:v>
      </x:c>
      <x:c r="C1236" s="21" t="str">
        <x:v>stage</x:v>
      </x:c>
      <x:c r="D1236" s="21" t="str">
        <x:v>stage 267 planned conservation</x:v>
      </x:c>
      <x:c r="E1236" s="21" t="n">
        <x:f>IF(ABS('Stage Ledger'!J273-MIN('Stage Ledger'!F273,'Stage Ledger'!H273,'Stage Ledger'!I273))&lt;0.000001,1,0)</x:f>
        <x:v>1</x:v>
      </x:c>
      <x:c r="F1236" s="21" t="n">
        <x:v>1</x:v>
      </x:c>
      <x:c r="G1236" s="23" t="str">
        <x:f>IF(E1236=F1236,"PASS","FAIL")</x:f>
        <x:v>PASS</x:v>
      </x:c>
    </x:row>
    <x:row r="1237">
      <x:c r="B1237" s="21" t="str">
        <x:v>A01231</x:v>
      </x:c>
      <x:c r="C1237" s="21" t="str">
        <x:v>stage</x:v>
      </x:c>
      <x:c r="D1237" s="21" t="str">
        <x:v>stage 267 observed conservation</x:v>
      </x:c>
      <x:c r="E1237" s="21" t="n">
        <x:f>IF(AND(ABS('Stage Ledger'!R273-IF(AND('Stage Ledger'!P273=1,'Stage Ledger'!Q273=1),MIN('Stage Ledger'!F273,'Stage Ledger'!M273,'Stage Ledger'!R272),0))&lt;0.000001,'Stage Ledger'!S273=IF('Stage Ledger'!R273&gt;='Stage Ledger'!F273,"ADMITTED","NOT ADMITTED")),1,0)</x:f>
        <x:v>1</x:v>
      </x:c>
      <x:c r="F1237" s="21" t="n">
        <x:v>1</x:v>
      </x:c>
      <x:c r="G1237" s="23" t="str">
        <x:f>IF(E1237=F1237,"PASS","FAIL")</x:f>
        <x:v>PASS</x:v>
      </x:c>
    </x:row>
    <x:row r="1238">
      <x:c r="B1238" s="21" t="str">
        <x:v>A01232</x:v>
      </x:c>
      <x:c r="C1238" s="21" t="str">
        <x:v>stage</x:v>
      </x:c>
      <x:c r="D1238" s="21" t="str">
        <x:v>stage 268 planned conservation</x:v>
      </x:c>
      <x:c r="E1238" s="21" t="n">
        <x:f>IF(ABS('Stage Ledger'!J274-MIN('Stage Ledger'!F274,'Stage Ledger'!H274,'Stage Ledger'!I274))&lt;0.000001,1,0)</x:f>
        <x:v>1</x:v>
      </x:c>
      <x:c r="F1238" s="21" t="n">
        <x:v>1</x:v>
      </x:c>
      <x:c r="G1238" s="23" t="str">
        <x:f>IF(E1238=F1238,"PASS","FAIL")</x:f>
        <x:v>PASS</x:v>
      </x:c>
    </x:row>
    <x:row r="1239">
      <x:c r="B1239" s="21" t="str">
        <x:v>A01233</x:v>
      </x:c>
      <x:c r="C1239" s="21" t="str">
        <x:v>stage</x:v>
      </x:c>
      <x:c r="D1239" s="21" t="str">
        <x:v>stage 268 observed conservation</x:v>
      </x:c>
      <x:c r="E1239" s="21" t="n">
        <x:f>IF(AND(ABS('Stage Ledger'!R274-IF(AND('Stage Ledger'!P274=1,'Stage Ledger'!Q274=1),MIN('Stage Ledger'!F274,'Stage Ledger'!M274,'Stage Ledger'!R273),0))&lt;0.000001,'Stage Ledger'!S274=IF('Stage Ledger'!R274&gt;='Stage Ledger'!F274,"ADMITTED","NOT ADMITTED")),1,0)</x:f>
        <x:v>1</x:v>
      </x:c>
      <x:c r="F1239" s="21" t="n">
        <x:v>1</x:v>
      </x:c>
      <x:c r="G1239" s="23" t="str">
        <x:f>IF(E1239=F1239,"PASS","FAIL")</x:f>
        <x:v>PASS</x:v>
      </x:c>
    </x:row>
    <x:row r="1240">
      <x:c r="B1240" s="21" t="str">
        <x:v>A01234</x:v>
      </x:c>
      <x:c r="C1240" s="21" t="str">
        <x:v>stage</x:v>
      </x:c>
      <x:c r="D1240" s="21" t="str">
        <x:v>stage 269 planned conservation</x:v>
      </x:c>
      <x:c r="E1240" s="21" t="n">
        <x:f>IF(ABS('Stage Ledger'!J275-MIN('Stage Ledger'!F275,'Stage Ledger'!H275,'Stage Ledger'!I275))&lt;0.000001,1,0)</x:f>
        <x:v>1</x:v>
      </x:c>
      <x:c r="F1240" s="21" t="n">
        <x:v>1</x:v>
      </x:c>
      <x:c r="G1240" s="23" t="str">
        <x:f>IF(E1240=F1240,"PASS","FAIL")</x:f>
        <x:v>PASS</x:v>
      </x:c>
    </x:row>
    <x:row r="1241">
      <x:c r="B1241" s="21" t="str">
        <x:v>A01235</x:v>
      </x:c>
      <x:c r="C1241" s="21" t="str">
        <x:v>stage</x:v>
      </x:c>
      <x:c r="D1241" s="21" t="str">
        <x:v>stage 269 observed conservation</x:v>
      </x:c>
      <x:c r="E1241" s="21" t="n">
        <x:f>IF(AND(ABS('Stage Ledger'!R275-IF(AND('Stage Ledger'!P275=1,'Stage Ledger'!Q275=1),MIN('Stage Ledger'!F275,'Stage Ledger'!M275,'Stage Ledger'!R274),0))&lt;0.000001,'Stage Ledger'!S275=IF('Stage Ledger'!R275&gt;='Stage Ledger'!F275,"ADMITTED","NOT ADMITTED")),1,0)</x:f>
        <x:v>1</x:v>
      </x:c>
      <x:c r="F1241" s="21" t="n">
        <x:v>1</x:v>
      </x:c>
      <x:c r="G1241" s="23" t="str">
        <x:f>IF(E1241=F1241,"PASS","FAIL")</x:f>
        <x:v>PASS</x:v>
      </x:c>
    </x:row>
    <x:row r="1242">
      <x:c r="B1242" s="21" t="str">
        <x:v>A01236</x:v>
      </x:c>
      <x:c r="C1242" s="21" t="str">
        <x:v>stage</x:v>
      </x:c>
      <x:c r="D1242" s="21" t="str">
        <x:v>stage 270 planned conservation</x:v>
      </x:c>
      <x:c r="E1242" s="21" t="n">
        <x:f>IF(ABS('Stage Ledger'!J276-MIN('Stage Ledger'!F276,'Stage Ledger'!H276,'Stage Ledger'!I276))&lt;0.000001,1,0)</x:f>
        <x:v>1</x:v>
      </x:c>
      <x:c r="F1242" s="21" t="n">
        <x:v>1</x:v>
      </x:c>
      <x:c r="G1242" s="23" t="str">
        <x:f>IF(E1242=F1242,"PASS","FAIL")</x:f>
        <x:v>PASS</x:v>
      </x:c>
    </x:row>
    <x:row r="1243">
      <x:c r="B1243" s="21" t="str">
        <x:v>A01237</x:v>
      </x:c>
      <x:c r="C1243" s="21" t="str">
        <x:v>stage</x:v>
      </x:c>
      <x:c r="D1243" s="21" t="str">
        <x:v>stage 270 observed conservation</x:v>
      </x:c>
      <x:c r="E1243" s="21" t="n">
        <x:f>IF(AND(ABS('Stage Ledger'!R276-IF(AND('Stage Ledger'!P276=1,'Stage Ledger'!Q276=1),MIN('Stage Ledger'!F276,'Stage Ledger'!M276,'Stage Ledger'!R275),0))&lt;0.000001,'Stage Ledger'!S276=IF('Stage Ledger'!R276&gt;='Stage Ledger'!F276,"ADMITTED","NOT ADMITTED")),1,0)</x:f>
        <x:v>1</x:v>
      </x:c>
      <x:c r="F1243" s="21" t="n">
        <x:v>1</x:v>
      </x:c>
      <x:c r="G1243" s="23" t="str">
        <x:f>IF(E1243=F1243,"PASS","FAIL")</x:f>
        <x:v>PASS</x:v>
      </x:c>
    </x:row>
    <x:row r="1244">
      <x:c r="B1244" s="21" t="str">
        <x:v>A01238</x:v>
      </x:c>
      <x:c r="C1244" s="21" t="str">
        <x:v>stage</x:v>
      </x:c>
      <x:c r="D1244" s="21" t="str">
        <x:v>stage 271 planned conservation</x:v>
      </x:c>
      <x:c r="E1244" s="21" t="n">
        <x:f>IF(ABS('Stage Ledger'!J277-MIN('Stage Ledger'!F277,'Stage Ledger'!H277,'Stage Ledger'!I277))&lt;0.000001,1,0)</x:f>
        <x:v>1</x:v>
      </x:c>
      <x:c r="F1244" s="21" t="n">
        <x:v>1</x:v>
      </x:c>
      <x:c r="G1244" s="23" t="str">
        <x:f>IF(E1244=F1244,"PASS","FAIL")</x:f>
        <x:v>PASS</x:v>
      </x:c>
    </x:row>
    <x:row r="1245">
      <x:c r="B1245" s="21" t="str">
        <x:v>A01239</x:v>
      </x:c>
      <x:c r="C1245" s="21" t="str">
        <x:v>stage</x:v>
      </x:c>
      <x:c r="D1245" s="21" t="str">
        <x:v>stage 271 observed conservation</x:v>
      </x:c>
      <x:c r="E1245" s="21" t="n">
        <x:f>IF(AND(ABS('Stage Ledger'!R277-IF(AND('Stage Ledger'!P277=1,'Stage Ledger'!Q277=1),MIN('Stage Ledger'!F277,'Stage Ledger'!M277,'Stage Ledger'!R276),0))&lt;0.000001,'Stage Ledger'!S277=IF('Stage Ledger'!R277&gt;='Stage Ledger'!F277,"ADMITTED","NOT ADMITTED")),1,0)</x:f>
        <x:v>1</x:v>
      </x:c>
      <x:c r="F1245" s="21" t="n">
        <x:v>1</x:v>
      </x:c>
      <x:c r="G1245" s="23" t="str">
        <x:f>IF(E1245=F1245,"PASS","FAIL")</x:f>
        <x:v>PASS</x:v>
      </x:c>
    </x:row>
    <x:row r="1246">
      <x:c r="B1246" s="21" t="str">
        <x:v>A01240</x:v>
      </x:c>
      <x:c r="C1246" s="21" t="str">
        <x:v>stage</x:v>
      </x:c>
      <x:c r="D1246" s="21" t="str">
        <x:v>stage 272 planned conservation</x:v>
      </x:c>
      <x:c r="E1246" s="21" t="n">
        <x:f>IF(ABS('Stage Ledger'!J278-MIN('Stage Ledger'!F278,'Stage Ledger'!H278,'Stage Ledger'!I278))&lt;0.000001,1,0)</x:f>
        <x:v>1</x:v>
      </x:c>
      <x:c r="F1246" s="21" t="n">
        <x:v>1</x:v>
      </x:c>
      <x:c r="G1246" s="23" t="str">
        <x:f>IF(E1246=F1246,"PASS","FAIL")</x:f>
        <x:v>PASS</x:v>
      </x:c>
    </x:row>
    <x:row r="1247">
      <x:c r="B1247" s="21" t="str">
        <x:v>A01241</x:v>
      </x:c>
      <x:c r="C1247" s="21" t="str">
        <x:v>stage</x:v>
      </x:c>
      <x:c r="D1247" s="21" t="str">
        <x:v>stage 272 observed conservation</x:v>
      </x:c>
      <x:c r="E1247" s="21" t="n">
        <x:f>IF(AND(ABS('Stage Ledger'!R278-IF(AND('Stage Ledger'!P278=1,'Stage Ledger'!Q278=1),MIN('Stage Ledger'!F278,'Stage Ledger'!M278,'Stage Ledger'!R277),0))&lt;0.000001,'Stage Ledger'!S278=IF('Stage Ledger'!R278&gt;='Stage Ledger'!F278,"ADMITTED","NOT ADMITTED")),1,0)</x:f>
        <x:v>1</x:v>
      </x:c>
      <x:c r="F1247" s="21" t="n">
        <x:v>1</x:v>
      </x:c>
      <x:c r="G1247" s="23" t="str">
        <x:f>IF(E1247=F1247,"PASS","FAIL")</x:f>
        <x:v>PASS</x:v>
      </x:c>
    </x:row>
    <x:row r="1248">
      <x:c r="B1248" s="21" t="str">
        <x:v>A01242</x:v>
      </x:c>
      <x:c r="C1248" s="21" t="str">
        <x:v>stage</x:v>
      </x:c>
      <x:c r="D1248" s="21" t="str">
        <x:v>stage 273 planned conservation</x:v>
      </x:c>
      <x:c r="E1248" s="21" t="n">
        <x:f>IF(ABS('Stage Ledger'!J279-MIN('Stage Ledger'!F279,'Stage Ledger'!H279,'Stage Ledger'!I279))&lt;0.000001,1,0)</x:f>
        <x:v>1</x:v>
      </x:c>
      <x:c r="F1248" s="21" t="n">
        <x:v>1</x:v>
      </x:c>
      <x:c r="G1248" s="23" t="str">
        <x:f>IF(E1248=F1248,"PASS","FAIL")</x:f>
        <x:v>PASS</x:v>
      </x:c>
    </x:row>
    <x:row r="1249">
      <x:c r="B1249" s="21" t="str">
        <x:v>A01243</x:v>
      </x:c>
      <x:c r="C1249" s="21" t="str">
        <x:v>stage</x:v>
      </x:c>
      <x:c r="D1249" s="21" t="str">
        <x:v>stage 273 observed conservation</x:v>
      </x:c>
      <x:c r="E1249" s="21" t="n">
        <x:f>IF(AND(ABS('Stage Ledger'!R279-IF(AND('Stage Ledger'!P279=1,'Stage Ledger'!Q279=1),MIN('Stage Ledger'!F279,'Stage Ledger'!M279,'Stage Ledger'!R278),0))&lt;0.000001,'Stage Ledger'!S279=IF('Stage Ledger'!R279&gt;='Stage Ledger'!F279,"ADMITTED","NOT ADMITTED")),1,0)</x:f>
        <x:v>1</x:v>
      </x:c>
      <x:c r="F1249" s="21" t="n">
        <x:v>1</x:v>
      </x:c>
      <x:c r="G1249" s="23" t="str">
        <x:f>IF(E1249=F1249,"PASS","FAIL")</x:f>
        <x:v>PASS</x:v>
      </x:c>
    </x:row>
    <x:row r="1250">
      <x:c r="B1250" s="21" t="str">
        <x:v>A01244</x:v>
      </x:c>
      <x:c r="C1250" s="21" t="str">
        <x:v>stage</x:v>
      </x:c>
      <x:c r="D1250" s="21" t="str">
        <x:v>stage 274 planned conservation</x:v>
      </x:c>
      <x:c r="E1250" s="21" t="n">
        <x:f>IF(ABS('Stage Ledger'!J280-MIN('Stage Ledger'!F280,'Stage Ledger'!H280,'Stage Ledger'!I280))&lt;0.000001,1,0)</x:f>
        <x:v>1</x:v>
      </x:c>
      <x:c r="F1250" s="21" t="n">
        <x:v>1</x:v>
      </x:c>
      <x:c r="G1250" s="23" t="str">
        <x:f>IF(E1250=F1250,"PASS","FAIL")</x:f>
        <x:v>PASS</x:v>
      </x:c>
    </x:row>
    <x:row r="1251">
      <x:c r="B1251" s="21" t="str">
        <x:v>A01245</x:v>
      </x:c>
      <x:c r="C1251" s="21" t="str">
        <x:v>stage</x:v>
      </x:c>
      <x:c r="D1251" s="21" t="str">
        <x:v>stage 274 observed conservation</x:v>
      </x:c>
      <x:c r="E1251" s="21" t="n">
        <x:f>IF(AND(ABS('Stage Ledger'!R280-IF(AND('Stage Ledger'!P280=1,'Stage Ledger'!Q280=1),MIN('Stage Ledger'!F280,'Stage Ledger'!M280,'Stage Ledger'!R279),0))&lt;0.000001,'Stage Ledger'!S280=IF('Stage Ledger'!R280&gt;='Stage Ledger'!F280,"ADMITTED","NOT ADMITTED")),1,0)</x:f>
        <x:v>1</x:v>
      </x:c>
      <x:c r="F1251" s="21" t="n">
        <x:v>1</x:v>
      </x:c>
      <x:c r="G1251" s="23" t="str">
        <x:f>IF(E1251=F1251,"PASS","FAIL")</x:f>
        <x:v>PASS</x:v>
      </x:c>
    </x:row>
    <x:row r="1252">
      <x:c r="B1252" s="21" t="str">
        <x:v>A01246</x:v>
      </x:c>
      <x:c r="C1252" s="21" t="str">
        <x:v>stage</x:v>
      </x:c>
      <x:c r="D1252" s="21" t="str">
        <x:v>stage 275 planned conservation</x:v>
      </x:c>
      <x:c r="E1252" s="21" t="n">
        <x:f>IF(ABS('Stage Ledger'!J281-MIN('Stage Ledger'!F281,'Stage Ledger'!H281,'Stage Ledger'!I281))&lt;0.000001,1,0)</x:f>
        <x:v>1</x:v>
      </x:c>
      <x:c r="F1252" s="21" t="n">
        <x:v>1</x:v>
      </x:c>
      <x:c r="G1252" s="23" t="str">
        <x:f>IF(E1252=F1252,"PASS","FAIL")</x:f>
        <x:v>PASS</x:v>
      </x:c>
    </x:row>
    <x:row r="1253">
      <x:c r="B1253" s="21" t="str">
        <x:v>A01247</x:v>
      </x:c>
      <x:c r="C1253" s="21" t="str">
        <x:v>stage</x:v>
      </x:c>
      <x:c r="D1253" s="21" t="str">
        <x:v>stage 275 observed conservation</x:v>
      </x:c>
      <x:c r="E1253" s="21" t="n">
        <x:f>IF(AND(ABS('Stage Ledger'!R281-IF(AND('Stage Ledger'!P281=1,'Stage Ledger'!Q281=1),MIN('Stage Ledger'!F281,'Stage Ledger'!M281,'Stage Ledger'!R280),0))&lt;0.000001,'Stage Ledger'!S281=IF('Stage Ledger'!R281&gt;='Stage Ledger'!F281,"ADMITTED","NOT ADMITTED")),1,0)</x:f>
        <x:v>1</x:v>
      </x:c>
      <x:c r="F1253" s="21" t="n">
        <x:v>1</x:v>
      </x:c>
      <x:c r="G1253" s="23" t="str">
        <x:f>IF(E1253=F1253,"PASS","FAIL")</x:f>
        <x:v>PASS</x:v>
      </x:c>
    </x:row>
    <x:row r="1254">
      <x:c r="B1254" s="21" t="str">
        <x:v>A01248</x:v>
      </x:c>
      <x:c r="C1254" s="21" t="str">
        <x:v>stage</x:v>
      </x:c>
      <x:c r="D1254" s="21" t="str">
        <x:v>stage 276 planned conservation</x:v>
      </x:c>
      <x:c r="E1254" s="21" t="n">
        <x:f>IF(ABS('Stage Ledger'!J282-MIN('Stage Ledger'!F282,'Stage Ledger'!H282,'Stage Ledger'!I282))&lt;0.000001,1,0)</x:f>
        <x:v>1</x:v>
      </x:c>
      <x:c r="F1254" s="21" t="n">
        <x:v>1</x:v>
      </x:c>
      <x:c r="G1254" s="23" t="str">
        <x:f>IF(E1254=F1254,"PASS","FAIL")</x:f>
        <x:v>PASS</x:v>
      </x:c>
    </x:row>
    <x:row r="1255">
      <x:c r="B1255" s="21" t="str">
        <x:v>A01249</x:v>
      </x:c>
      <x:c r="C1255" s="21" t="str">
        <x:v>stage</x:v>
      </x:c>
      <x:c r="D1255" s="21" t="str">
        <x:v>stage 276 observed conservation</x:v>
      </x:c>
      <x:c r="E1255" s="21" t="n">
        <x:f>IF(AND(ABS('Stage Ledger'!R282-IF(AND('Stage Ledger'!P282=1,'Stage Ledger'!Q282=1),MIN('Stage Ledger'!F282,'Stage Ledger'!M282,'Stage Ledger'!R281),0))&lt;0.000001,'Stage Ledger'!S282=IF('Stage Ledger'!R282&gt;='Stage Ledger'!F282,"ADMITTED","NOT ADMITTED")),1,0)</x:f>
        <x:v>1</x:v>
      </x:c>
      <x:c r="F1255" s="21" t="n">
        <x:v>1</x:v>
      </x:c>
      <x:c r="G1255" s="23" t="str">
        <x:f>IF(E1255=F1255,"PASS","FAIL")</x:f>
        <x:v>PASS</x:v>
      </x:c>
    </x:row>
    <x:row r="1256">
      <x:c r="B1256" s="21" t="str">
        <x:v>A01250</x:v>
      </x:c>
      <x:c r="C1256" s="21" t="str">
        <x:v>stage</x:v>
      </x:c>
      <x:c r="D1256" s="21" t="str">
        <x:v>stage 277 planned conservation</x:v>
      </x:c>
      <x:c r="E1256" s="21" t="n">
        <x:f>IF(ABS('Stage Ledger'!J283-MIN('Stage Ledger'!F283,'Stage Ledger'!H283,'Stage Ledger'!I283))&lt;0.000001,1,0)</x:f>
        <x:v>1</x:v>
      </x:c>
      <x:c r="F1256" s="21" t="n">
        <x:v>1</x:v>
      </x:c>
      <x:c r="G1256" s="23" t="str">
        <x:f>IF(E1256=F1256,"PASS","FAIL")</x:f>
        <x:v>PASS</x:v>
      </x:c>
    </x:row>
    <x:row r="1257">
      <x:c r="B1257" s="21" t="str">
        <x:v>A01251</x:v>
      </x:c>
      <x:c r="C1257" s="21" t="str">
        <x:v>stage</x:v>
      </x:c>
      <x:c r="D1257" s="21" t="str">
        <x:v>stage 277 observed conservation</x:v>
      </x:c>
      <x:c r="E1257" s="21" t="n">
        <x:f>IF(AND(ABS('Stage Ledger'!R283-IF(AND('Stage Ledger'!P283=1,'Stage Ledger'!Q283=1),MIN('Stage Ledger'!F283,'Stage Ledger'!M283),0))&lt;0.000001,'Stage Ledger'!S283=IF('Stage Ledger'!R283&gt;='Stage Ledger'!F283,"ADMITTED","NOT ADMITTED")),1,0)</x:f>
        <x:v>1</x:v>
      </x:c>
      <x:c r="F1257" s="21" t="n">
        <x:v>1</x:v>
      </x:c>
      <x:c r="G1257" s="23" t="str">
        <x:f>IF(E1257=F1257,"PASS","FAIL")</x:f>
        <x:v>PASS</x:v>
      </x:c>
    </x:row>
    <x:row r="1258">
      <x:c r="B1258" s="21" t="str">
        <x:v>A01252</x:v>
      </x:c>
      <x:c r="C1258" s="21" t="str">
        <x:v>stage</x:v>
      </x:c>
      <x:c r="D1258" s="21" t="str">
        <x:v>stage 278 planned conservation</x:v>
      </x:c>
      <x:c r="E1258" s="21" t="n">
        <x:f>IF(ABS('Stage Ledger'!J284-MIN('Stage Ledger'!F284,'Stage Ledger'!H284,'Stage Ledger'!I284))&lt;0.000001,1,0)</x:f>
        <x:v>1</x:v>
      </x:c>
      <x:c r="F1258" s="21" t="n">
        <x:v>1</x:v>
      </x:c>
      <x:c r="G1258" s="23" t="str">
        <x:f>IF(E1258=F1258,"PASS","FAIL")</x:f>
        <x:v>PASS</x:v>
      </x:c>
    </x:row>
    <x:row r="1259">
      <x:c r="B1259" s="21" t="str">
        <x:v>A01253</x:v>
      </x:c>
      <x:c r="C1259" s="21" t="str">
        <x:v>stage</x:v>
      </x:c>
      <x:c r="D1259" s="21" t="str">
        <x:v>stage 278 observed conservation</x:v>
      </x:c>
      <x:c r="E1259" s="21" t="n">
        <x:f>IF(AND(ABS('Stage Ledger'!R284-IF(AND('Stage Ledger'!P284=1,'Stage Ledger'!Q284=1),MIN('Stage Ledger'!F284,'Stage Ledger'!M284,'Stage Ledger'!R283),0))&lt;0.000001,'Stage Ledger'!S284=IF('Stage Ledger'!R284&gt;='Stage Ledger'!F284,"ADMITTED","NOT ADMITTED")),1,0)</x:f>
        <x:v>1</x:v>
      </x:c>
      <x:c r="F1259" s="21" t="n">
        <x:v>1</x:v>
      </x:c>
      <x:c r="G1259" s="23" t="str">
        <x:f>IF(E1259=F1259,"PASS","FAIL")</x:f>
        <x:v>PASS</x:v>
      </x:c>
    </x:row>
    <x:row r="1260">
      <x:c r="B1260" s="21" t="str">
        <x:v>A01254</x:v>
      </x:c>
      <x:c r="C1260" s="21" t="str">
        <x:v>stage</x:v>
      </x:c>
      <x:c r="D1260" s="21" t="str">
        <x:v>stage 279 planned conservation</x:v>
      </x:c>
      <x:c r="E1260" s="21" t="n">
        <x:f>IF(ABS('Stage Ledger'!J285-MIN('Stage Ledger'!F285,'Stage Ledger'!H285,'Stage Ledger'!I285))&lt;0.000001,1,0)</x:f>
        <x:v>1</x:v>
      </x:c>
      <x:c r="F1260" s="21" t="n">
        <x:v>1</x:v>
      </x:c>
      <x:c r="G1260" s="23" t="str">
        <x:f>IF(E1260=F1260,"PASS","FAIL")</x:f>
        <x:v>PASS</x:v>
      </x:c>
    </x:row>
    <x:row r="1261">
      <x:c r="B1261" s="21" t="str">
        <x:v>A01255</x:v>
      </x:c>
      <x:c r="C1261" s="21" t="str">
        <x:v>stage</x:v>
      </x:c>
      <x:c r="D1261" s="21" t="str">
        <x:v>stage 279 observed conservation</x:v>
      </x:c>
      <x:c r="E1261" s="21" t="n">
        <x:f>IF(AND(ABS('Stage Ledger'!R285-IF(AND('Stage Ledger'!P285=1,'Stage Ledger'!Q285=1),MIN('Stage Ledger'!F285,'Stage Ledger'!M285,'Stage Ledger'!R284),0))&lt;0.000001,'Stage Ledger'!S285=IF('Stage Ledger'!R285&gt;='Stage Ledger'!F285,"ADMITTED","NOT ADMITTED")),1,0)</x:f>
        <x:v>1</x:v>
      </x:c>
      <x:c r="F1261" s="21" t="n">
        <x:v>1</x:v>
      </x:c>
      <x:c r="G1261" s="23" t="str">
        <x:f>IF(E1261=F1261,"PASS","FAIL")</x:f>
        <x:v>PASS</x:v>
      </x:c>
    </x:row>
    <x:row r="1262">
      <x:c r="B1262" s="21" t="str">
        <x:v>A01256</x:v>
      </x:c>
      <x:c r="C1262" s="21" t="str">
        <x:v>stage</x:v>
      </x:c>
      <x:c r="D1262" s="21" t="str">
        <x:v>stage 280 planned conservation</x:v>
      </x:c>
      <x:c r="E1262" s="21" t="n">
        <x:f>IF(ABS('Stage Ledger'!J286-MIN('Stage Ledger'!F286,'Stage Ledger'!H286,'Stage Ledger'!I286))&lt;0.000001,1,0)</x:f>
        <x:v>1</x:v>
      </x:c>
      <x:c r="F1262" s="21" t="n">
        <x:v>1</x:v>
      </x:c>
      <x:c r="G1262" s="23" t="str">
        <x:f>IF(E1262=F1262,"PASS","FAIL")</x:f>
        <x:v>PASS</x:v>
      </x:c>
    </x:row>
    <x:row r="1263">
      <x:c r="B1263" s="21" t="str">
        <x:v>A01257</x:v>
      </x:c>
      <x:c r="C1263" s="21" t="str">
        <x:v>stage</x:v>
      </x:c>
      <x:c r="D1263" s="21" t="str">
        <x:v>stage 280 observed conservation</x:v>
      </x:c>
      <x:c r="E1263" s="21" t="n">
        <x:f>IF(AND(ABS('Stage Ledger'!R286-IF(AND('Stage Ledger'!P286=1,'Stage Ledger'!Q286=1),MIN('Stage Ledger'!F286,'Stage Ledger'!M286,'Stage Ledger'!R285),0))&lt;0.000001,'Stage Ledger'!S286=IF('Stage Ledger'!R286&gt;='Stage Ledger'!F286,"ADMITTED","NOT ADMITTED")),1,0)</x:f>
        <x:v>1</x:v>
      </x:c>
      <x:c r="F1263" s="21" t="n">
        <x:v>1</x:v>
      </x:c>
      <x:c r="G1263" s="23" t="str">
        <x:f>IF(E1263=F1263,"PASS","FAIL")</x:f>
        <x:v>PASS</x:v>
      </x:c>
    </x:row>
    <x:row r="1264">
      <x:c r="B1264" s="21" t="str">
        <x:v>A01258</x:v>
      </x:c>
      <x:c r="C1264" s="21" t="str">
        <x:v>stage</x:v>
      </x:c>
      <x:c r="D1264" s="21" t="str">
        <x:v>stage 281 planned conservation</x:v>
      </x:c>
      <x:c r="E1264" s="21" t="n">
        <x:f>IF(ABS('Stage Ledger'!J287-MIN('Stage Ledger'!F287,'Stage Ledger'!H287,'Stage Ledger'!I287))&lt;0.000001,1,0)</x:f>
        <x:v>1</x:v>
      </x:c>
      <x:c r="F1264" s="21" t="n">
        <x:v>1</x:v>
      </x:c>
      <x:c r="G1264" s="23" t="str">
        <x:f>IF(E1264=F1264,"PASS","FAIL")</x:f>
        <x:v>PASS</x:v>
      </x:c>
    </x:row>
    <x:row r="1265">
      <x:c r="B1265" s="21" t="str">
        <x:v>A01259</x:v>
      </x:c>
      <x:c r="C1265" s="21" t="str">
        <x:v>stage</x:v>
      </x:c>
      <x:c r="D1265" s="21" t="str">
        <x:v>stage 281 observed conservation</x:v>
      </x:c>
      <x:c r="E1265" s="21" t="n">
        <x:f>IF(AND(ABS('Stage Ledger'!R287-IF(AND('Stage Ledger'!P287=1,'Stage Ledger'!Q287=1),MIN('Stage Ledger'!F287,'Stage Ledger'!M287,'Stage Ledger'!R286),0))&lt;0.000001,'Stage Ledger'!S287=IF('Stage Ledger'!R287&gt;='Stage Ledger'!F287,"ADMITTED","NOT ADMITTED")),1,0)</x:f>
        <x:v>1</x:v>
      </x:c>
      <x:c r="F1265" s="21" t="n">
        <x:v>1</x:v>
      </x:c>
      <x:c r="G1265" s="23" t="str">
        <x:f>IF(E1265=F1265,"PASS","FAIL")</x:f>
        <x:v>PASS</x:v>
      </x:c>
    </x:row>
    <x:row r="1266">
      <x:c r="B1266" s="21" t="str">
        <x:v>A01260</x:v>
      </x:c>
      <x:c r="C1266" s="21" t="str">
        <x:v>stage</x:v>
      </x:c>
      <x:c r="D1266" s="21" t="str">
        <x:v>stage 282 planned conservation</x:v>
      </x:c>
      <x:c r="E1266" s="21" t="n">
        <x:f>IF(ABS('Stage Ledger'!J288-MIN('Stage Ledger'!F288,'Stage Ledger'!H288,'Stage Ledger'!I288))&lt;0.000001,1,0)</x:f>
        <x:v>1</x:v>
      </x:c>
      <x:c r="F1266" s="21" t="n">
        <x:v>1</x:v>
      </x:c>
      <x:c r="G1266" s="23" t="str">
        <x:f>IF(E1266=F1266,"PASS","FAIL")</x:f>
        <x:v>PASS</x:v>
      </x:c>
    </x:row>
    <x:row r="1267">
      <x:c r="B1267" s="21" t="str">
        <x:v>A01261</x:v>
      </x:c>
      <x:c r="C1267" s="21" t="str">
        <x:v>stage</x:v>
      </x:c>
      <x:c r="D1267" s="21" t="str">
        <x:v>stage 282 observed conservation</x:v>
      </x:c>
      <x:c r="E1267" s="21" t="n">
        <x:f>IF(AND(ABS('Stage Ledger'!R288-IF(AND('Stage Ledger'!P288=1,'Stage Ledger'!Q288=1),MIN('Stage Ledger'!F288,'Stage Ledger'!M288,'Stage Ledger'!R287),0))&lt;0.000001,'Stage Ledger'!S288=IF('Stage Ledger'!R288&gt;='Stage Ledger'!F288,"ADMITTED","NOT ADMITTED")),1,0)</x:f>
        <x:v>1</x:v>
      </x:c>
      <x:c r="F1267" s="21" t="n">
        <x:v>1</x:v>
      </x:c>
      <x:c r="G1267" s="23" t="str">
        <x:f>IF(E1267=F1267,"PASS","FAIL")</x:f>
        <x:v>PASS</x:v>
      </x:c>
    </x:row>
    <x:row r="1268">
      <x:c r="B1268" s="21" t="str">
        <x:v>A01262</x:v>
      </x:c>
      <x:c r="C1268" s="21" t="str">
        <x:v>stage</x:v>
      </x:c>
      <x:c r="D1268" s="21" t="str">
        <x:v>stage 283 planned conservation</x:v>
      </x:c>
      <x:c r="E1268" s="21" t="n">
        <x:f>IF(ABS('Stage Ledger'!J289-MIN('Stage Ledger'!F289,'Stage Ledger'!H289,'Stage Ledger'!I289))&lt;0.000001,1,0)</x:f>
        <x:v>1</x:v>
      </x:c>
      <x:c r="F1268" s="21" t="n">
        <x:v>1</x:v>
      </x:c>
      <x:c r="G1268" s="23" t="str">
        <x:f>IF(E1268=F1268,"PASS","FAIL")</x:f>
        <x:v>PASS</x:v>
      </x:c>
    </x:row>
    <x:row r="1269">
      <x:c r="B1269" s="21" t="str">
        <x:v>A01263</x:v>
      </x:c>
      <x:c r="C1269" s="21" t="str">
        <x:v>stage</x:v>
      </x:c>
      <x:c r="D1269" s="21" t="str">
        <x:v>stage 283 observed conservation</x:v>
      </x:c>
      <x:c r="E1269" s="21" t="n">
        <x:f>IF(AND(ABS('Stage Ledger'!R289-IF(AND('Stage Ledger'!P289=1,'Stage Ledger'!Q289=1),MIN('Stage Ledger'!F289,'Stage Ledger'!M289,'Stage Ledger'!R288),0))&lt;0.000001,'Stage Ledger'!S289=IF('Stage Ledger'!R289&gt;='Stage Ledger'!F289,"ADMITTED","NOT ADMITTED")),1,0)</x:f>
        <x:v>1</x:v>
      </x:c>
      <x:c r="F1269" s="21" t="n">
        <x:v>1</x:v>
      </x:c>
      <x:c r="G1269" s="23" t="str">
        <x:f>IF(E1269=F1269,"PASS","FAIL")</x:f>
        <x:v>PASS</x:v>
      </x:c>
    </x:row>
    <x:row r="1270">
      <x:c r="B1270" s="21" t="str">
        <x:v>A01264</x:v>
      </x:c>
      <x:c r="C1270" s="21" t="str">
        <x:v>stage</x:v>
      </x:c>
      <x:c r="D1270" s="21" t="str">
        <x:v>stage 284 planned conservation</x:v>
      </x:c>
      <x:c r="E1270" s="21" t="n">
        <x:f>IF(ABS('Stage Ledger'!J290-MIN('Stage Ledger'!F290,'Stage Ledger'!H290,'Stage Ledger'!I290))&lt;0.000001,1,0)</x:f>
        <x:v>1</x:v>
      </x:c>
      <x:c r="F1270" s="21" t="n">
        <x:v>1</x:v>
      </x:c>
      <x:c r="G1270" s="23" t="str">
        <x:f>IF(E1270=F1270,"PASS","FAIL")</x:f>
        <x:v>PASS</x:v>
      </x:c>
    </x:row>
    <x:row r="1271">
      <x:c r="B1271" s="21" t="str">
        <x:v>A01265</x:v>
      </x:c>
      <x:c r="C1271" s="21" t="str">
        <x:v>stage</x:v>
      </x:c>
      <x:c r="D1271" s="21" t="str">
        <x:v>stage 284 observed conservation</x:v>
      </x:c>
      <x:c r="E1271" s="21" t="n">
        <x:f>IF(AND(ABS('Stage Ledger'!R290-IF(AND('Stage Ledger'!P290=1,'Stage Ledger'!Q290=1),MIN('Stage Ledger'!F290,'Stage Ledger'!M290,'Stage Ledger'!R289),0))&lt;0.000001,'Stage Ledger'!S290=IF('Stage Ledger'!R290&gt;='Stage Ledger'!F290,"ADMITTED","NOT ADMITTED")),1,0)</x:f>
        <x:v>1</x:v>
      </x:c>
      <x:c r="F1271" s="21" t="n">
        <x:v>1</x:v>
      </x:c>
      <x:c r="G1271" s="23" t="str">
        <x:f>IF(E1271=F1271,"PASS","FAIL")</x:f>
        <x:v>PASS</x:v>
      </x:c>
    </x:row>
    <x:row r="1272">
      <x:c r="B1272" s="21" t="str">
        <x:v>A01266</x:v>
      </x:c>
      <x:c r="C1272" s="21" t="str">
        <x:v>stage</x:v>
      </x:c>
      <x:c r="D1272" s="21" t="str">
        <x:v>stage 285 planned conservation</x:v>
      </x:c>
      <x:c r="E1272" s="21" t="n">
        <x:f>IF(ABS('Stage Ledger'!J291-MIN('Stage Ledger'!F291,'Stage Ledger'!H291,'Stage Ledger'!I291))&lt;0.000001,1,0)</x:f>
        <x:v>1</x:v>
      </x:c>
      <x:c r="F1272" s="21" t="n">
        <x:v>1</x:v>
      </x:c>
      <x:c r="G1272" s="23" t="str">
        <x:f>IF(E1272=F1272,"PASS","FAIL")</x:f>
        <x:v>PASS</x:v>
      </x:c>
    </x:row>
    <x:row r="1273">
      <x:c r="B1273" s="21" t="str">
        <x:v>A01267</x:v>
      </x:c>
      <x:c r="C1273" s="21" t="str">
        <x:v>stage</x:v>
      </x:c>
      <x:c r="D1273" s="21" t="str">
        <x:v>stage 285 observed conservation</x:v>
      </x:c>
      <x:c r="E1273" s="21" t="n">
        <x:f>IF(AND(ABS('Stage Ledger'!R291-IF(AND('Stage Ledger'!P291=1,'Stage Ledger'!Q291=1),MIN('Stage Ledger'!F291,'Stage Ledger'!M291,'Stage Ledger'!R290),0))&lt;0.000001,'Stage Ledger'!S291=IF('Stage Ledger'!R291&gt;='Stage Ledger'!F291,"ADMITTED","NOT ADMITTED")),1,0)</x:f>
        <x:v>1</x:v>
      </x:c>
      <x:c r="F1273" s="21" t="n">
        <x:v>1</x:v>
      </x:c>
      <x:c r="G1273" s="23" t="str">
        <x:f>IF(E1273=F1273,"PASS","FAIL")</x:f>
        <x:v>PASS</x:v>
      </x:c>
    </x:row>
    <x:row r="1274">
      <x:c r="B1274" s="21" t="str">
        <x:v>A01268</x:v>
      </x:c>
      <x:c r="C1274" s="21" t="str">
        <x:v>stage</x:v>
      </x:c>
      <x:c r="D1274" s="21" t="str">
        <x:v>stage 286 planned conservation</x:v>
      </x:c>
      <x:c r="E1274" s="21" t="n">
        <x:f>IF(ABS('Stage Ledger'!J292-MIN('Stage Ledger'!F292,'Stage Ledger'!H292,'Stage Ledger'!I292))&lt;0.000001,1,0)</x:f>
        <x:v>1</x:v>
      </x:c>
      <x:c r="F1274" s="21" t="n">
        <x:v>1</x:v>
      </x:c>
      <x:c r="G1274" s="23" t="str">
        <x:f>IF(E1274=F1274,"PASS","FAIL")</x:f>
        <x:v>PASS</x:v>
      </x:c>
    </x:row>
    <x:row r="1275">
      <x:c r="B1275" s="21" t="str">
        <x:v>A01269</x:v>
      </x:c>
      <x:c r="C1275" s="21" t="str">
        <x:v>stage</x:v>
      </x:c>
      <x:c r="D1275" s="21" t="str">
        <x:v>stage 286 observed conservation</x:v>
      </x:c>
      <x:c r="E1275" s="21" t="n">
        <x:f>IF(AND(ABS('Stage Ledger'!R292-IF(AND('Stage Ledger'!P292=1,'Stage Ledger'!Q292=1),MIN('Stage Ledger'!F292,'Stage Ledger'!M292,'Stage Ledger'!R291),0))&lt;0.000001,'Stage Ledger'!S292=IF('Stage Ledger'!R292&gt;='Stage Ledger'!F292,"ADMITTED","NOT ADMITTED")),1,0)</x:f>
        <x:v>1</x:v>
      </x:c>
      <x:c r="F1275" s="21" t="n">
        <x:v>1</x:v>
      </x:c>
      <x:c r="G1275" s="23" t="str">
        <x:f>IF(E1275=F1275,"PASS","FAIL")</x:f>
        <x:v>PASS</x:v>
      </x:c>
    </x:row>
    <x:row r="1276">
      <x:c r="B1276" s="21" t="str">
        <x:v>A01270</x:v>
      </x:c>
      <x:c r="C1276" s="21" t="str">
        <x:v>stage</x:v>
      </x:c>
      <x:c r="D1276" s="21" t="str">
        <x:v>stage 287 planned conservation</x:v>
      </x:c>
      <x:c r="E1276" s="21" t="n">
        <x:f>IF(ABS('Stage Ledger'!J293-MIN('Stage Ledger'!F293,'Stage Ledger'!H293,'Stage Ledger'!I293))&lt;0.000001,1,0)</x:f>
        <x:v>1</x:v>
      </x:c>
      <x:c r="F1276" s="21" t="n">
        <x:v>1</x:v>
      </x:c>
      <x:c r="G1276" s="23" t="str">
        <x:f>IF(E1276=F1276,"PASS","FAIL")</x:f>
        <x:v>PASS</x:v>
      </x:c>
    </x:row>
    <x:row r="1277">
      <x:c r="B1277" s="21" t="str">
        <x:v>A01271</x:v>
      </x:c>
      <x:c r="C1277" s="21" t="str">
        <x:v>stage</x:v>
      </x:c>
      <x:c r="D1277" s="21" t="str">
        <x:v>stage 287 observed conservation</x:v>
      </x:c>
      <x:c r="E1277" s="21" t="n">
        <x:f>IF(AND(ABS('Stage Ledger'!R293-IF(AND('Stage Ledger'!P293=1,'Stage Ledger'!Q293=1),MIN('Stage Ledger'!F293,'Stage Ledger'!M293,'Stage Ledger'!R292),0))&lt;0.000001,'Stage Ledger'!S293=IF('Stage Ledger'!R293&gt;='Stage Ledger'!F293,"ADMITTED","NOT ADMITTED")),1,0)</x:f>
        <x:v>1</x:v>
      </x:c>
      <x:c r="F1277" s="21" t="n">
        <x:v>1</x:v>
      </x:c>
      <x:c r="G1277" s="23" t="str">
        <x:f>IF(E1277=F1277,"PASS","FAIL")</x:f>
        <x:v>PASS</x:v>
      </x:c>
    </x:row>
    <x:row r="1278">
      <x:c r="B1278" s="21" t="str">
        <x:v>A01272</x:v>
      </x:c>
      <x:c r="C1278" s="21" t="str">
        <x:v>stage</x:v>
      </x:c>
      <x:c r="D1278" s="21" t="str">
        <x:v>stage 288 planned conservation</x:v>
      </x:c>
      <x:c r="E1278" s="21" t="n">
        <x:f>IF(ABS('Stage Ledger'!J294-MIN('Stage Ledger'!F294,'Stage Ledger'!H294,'Stage Ledger'!I294))&lt;0.000001,1,0)</x:f>
        <x:v>1</x:v>
      </x:c>
      <x:c r="F1278" s="21" t="n">
        <x:v>1</x:v>
      </x:c>
      <x:c r="G1278" s="23" t="str">
        <x:f>IF(E1278=F1278,"PASS","FAIL")</x:f>
        <x:v>PASS</x:v>
      </x:c>
    </x:row>
    <x:row r="1279">
      <x:c r="B1279" s="21" t="str">
        <x:v>A01273</x:v>
      </x:c>
      <x:c r="C1279" s="21" t="str">
        <x:v>stage</x:v>
      </x:c>
      <x:c r="D1279" s="21" t="str">
        <x:v>stage 288 observed conservation</x:v>
      </x:c>
      <x:c r="E1279" s="21" t="n">
        <x:f>IF(AND(ABS('Stage Ledger'!R294-IF(AND('Stage Ledger'!P294=1,'Stage Ledger'!Q294=1),MIN('Stage Ledger'!F294,'Stage Ledger'!M294,'Stage Ledger'!R293),0))&lt;0.000001,'Stage Ledger'!S294=IF('Stage Ledger'!R294&gt;='Stage Ledger'!F294,"ADMITTED","NOT ADMITTED")),1,0)</x:f>
        <x:v>1</x:v>
      </x:c>
      <x:c r="F1279" s="21" t="n">
        <x:v>1</x:v>
      </x:c>
      <x:c r="G1279" s="23" t="str">
        <x:f>IF(E1279=F1279,"PASS","FAIL")</x:f>
        <x:v>PASS</x:v>
      </x:c>
    </x:row>
    <x:row r="1280">
      <x:c r="B1280" s="21" t="str">
        <x:v>A01274</x:v>
      </x:c>
      <x:c r="C1280" s="21" t="str">
        <x:v>stage</x:v>
      </x:c>
      <x:c r="D1280" s="21" t="str">
        <x:v>stage 289 planned conservation</x:v>
      </x:c>
      <x:c r="E1280" s="21" t="n">
        <x:f>IF(ABS('Stage Ledger'!J295-MIN('Stage Ledger'!F295,'Stage Ledger'!H295,'Stage Ledger'!I295))&lt;0.000001,1,0)</x:f>
        <x:v>1</x:v>
      </x:c>
      <x:c r="F1280" s="21" t="n">
        <x:v>1</x:v>
      </x:c>
      <x:c r="G1280" s="23" t="str">
        <x:f>IF(E1280=F1280,"PASS","FAIL")</x:f>
        <x:v>PASS</x:v>
      </x:c>
    </x:row>
    <x:row r="1281">
      <x:c r="B1281" s="21" t="str">
        <x:v>A01275</x:v>
      </x:c>
      <x:c r="C1281" s="21" t="str">
        <x:v>stage</x:v>
      </x:c>
      <x:c r="D1281" s="21" t="str">
        <x:v>stage 289 observed conservation</x:v>
      </x:c>
      <x:c r="E1281" s="21" t="n">
        <x:f>IF(AND(ABS('Stage Ledger'!R295-IF(AND('Stage Ledger'!P295=1,'Stage Ledger'!Q295=1),MIN('Stage Ledger'!F295,'Stage Ledger'!M295),0))&lt;0.000001,'Stage Ledger'!S295=IF('Stage Ledger'!R295&gt;='Stage Ledger'!F295,"ADMITTED","NOT ADMITTED")),1,0)</x:f>
        <x:v>1</x:v>
      </x:c>
      <x:c r="F1281" s="21" t="n">
        <x:v>1</x:v>
      </x:c>
      <x:c r="G1281" s="23" t="str">
        <x:f>IF(E1281=F1281,"PASS","FAIL")</x:f>
        <x:v>PASS</x:v>
      </x:c>
    </x:row>
    <x:row r="1282">
      <x:c r="B1282" s="21" t="str">
        <x:v>A01276</x:v>
      </x:c>
      <x:c r="C1282" s="21" t="str">
        <x:v>stage</x:v>
      </x:c>
      <x:c r="D1282" s="21" t="str">
        <x:v>stage 290 planned conservation</x:v>
      </x:c>
      <x:c r="E1282" s="21" t="n">
        <x:f>IF(ABS('Stage Ledger'!J296-MIN('Stage Ledger'!F296,'Stage Ledger'!H296,'Stage Ledger'!I296))&lt;0.000001,1,0)</x:f>
        <x:v>1</x:v>
      </x:c>
      <x:c r="F1282" s="21" t="n">
        <x:v>1</x:v>
      </x:c>
      <x:c r="G1282" s="23" t="str">
        <x:f>IF(E1282=F1282,"PASS","FAIL")</x:f>
        <x:v>PASS</x:v>
      </x:c>
    </x:row>
    <x:row r="1283">
      <x:c r="B1283" s="21" t="str">
        <x:v>A01277</x:v>
      </x:c>
      <x:c r="C1283" s="21" t="str">
        <x:v>stage</x:v>
      </x:c>
      <x:c r="D1283" s="21" t="str">
        <x:v>stage 290 observed conservation</x:v>
      </x:c>
      <x:c r="E1283" s="21" t="n">
        <x:f>IF(AND(ABS('Stage Ledger'!R296-IF(AND('Stage Ledger'!P296=1,'Stage Ledger'!Q296=1),MIN('Stage Ledger'!F296,'Stage Ledger'!M296,'Stage Ledger'!R295),0))&lt;0.000001,'Stage Ledger'!S296=IF('Stage Ledger'!R296&gt;='Stage Ledger'!F296,"ADMITTED","NOT ADMITTED")),1,0)</x:f>
        <x:v>1</x:v>
      </x:c>
      <x:c r="F1283" s="21" t="n">
        <x:v>1</x:v>
      </x:c>
      <x:c r="G1283" s="23" t="str">
        <x:f>IF(E1283=F1283,"PASS","FAIL")</x:f>
        <x:v>PASS</x:v>
      </x:c>
    </x:row>
    <x:row r="1284">
      <x:c r="B1284" s="21" t="str">
        <x:v>A01278</x:v>
      </x:c>
      <x:c r="C1284" s="21" t="str">
        <x:v>stage</x:v>
      </x:c>
      <x:c r="D1284" s="21" t="str">
        <x:v>stage 291 planned conservation</x:v>
      </x:c>
      <x:c r="E1284" s="21" t="n">
        <x:f>IF(ABS('Stage Ledger'!J297-MIN('Stage Ledger'!F297,'Stage Ledger'!H297,'Stage Ledger'!I297))&lt;0.000001,1,0)</x:f>
        <x:v>1</x:v>
      </x:c>
      <x:c r="F1284" s="21" t="n">
        <x:v>1</x:v>
      </x:c>
      <x:c r="G1284" s="23" t="str">
        <x:f>IF(E1284=F1284,"PASS","FAIL")</x:f>
        <x:v>PASS</x:v>
      </x:c>
    </x:row>
    <x:row r="1285">
      <x:c r="B1285" s="21" t="str">
        <x:v>A01279</x:v>
      </x:c>
      <x:c r="C1285" s="21" t="str">
        <x:v>stage</x:v>
      </x:c>
      <x:c r="D1285" s="21" t="str">
        <x:v>stage 291 observed conservation</x:v>
      </x:c>
      <x:c r="E1285" s="21" t="n">
        <x:f>IF(AND(ABS('Stage Ledger'!R297-IF(AND('Stage Ledger'!P297=1,'Stage Ledger'!Q297=1),MIN('Stage Ledger'!F297,'Stage Ledger'!M297,'Stage Ledger'!R296),0))&lt;0.000001,'Stage Ledger'!S297=IF('Stage Ledger'!R297&gt;='Stage Ledger'!F297,"ADMITTED","NOT ADMITTED")),1,0)</x:f>
        <x:v>1</x:v>
      </x:c>
      <x:c r="F1285" s="21" t="n">
        <x:v>1</x:v>
      </x:c>
      <x:c r="G1285" s="23" t="str">
        <x:f>IF(E1285=F1285,"PASS","FAIL")</x:f>
        <x:v>PASS</x:v>
      </x:c>
    </x:row>
    <x:row r="1286">
      <x:c r="B1286" s="21" t="str">
        <x:v>A01280</x:v>
      </x:c>
      <x:c r="C1286" s="21" t="str">
        <x:v>stage</x:v>
      </x:c>
      <x:c r="D1286" s="21" t="str">
        <x:v>stage 292 planned conservation</x:v>
      </x:c>
      <x:c r="E1286" s="21" t="n">
        <x:f>IF(ABS('Stage Ledger'!J298-MIN('Stage Ledger'!F298,'Stage Ledger'!H298,'Stage Ledger'!I298))&lt;0.000001,1,0)</x:f>
        <x:v>1</x:v>
      </x:c>
      <x:c r="F1286" s="21" t="n">
        <x:v>1</x:v>
      </x:c>
      <x:c r="G1286" s="23" t="str">
        <x:f>IF(E1286=F1286,"PASS","FAIL")</x:f>
        <x:v>PASS</x:v>
      </x:c>
    </x:row>
    <x:row r="1287">
      <x:c r="B1287" s="21" t="str">
        <x:v>A01281</x:v>
      </x:c>
      <x:c r="C1287" s="21" t="str">
        <x:v>stage</x:v>
      </x:c>
      <x:c r="D1287" s="21" t="str">
        <x:v>stage 292 observed conservation</x:v>
      </x:c>
      <x:c r="E1287" s="21" t="n">
        <x:f>IF(AND(ABS('Stage Ledger'!R298-IF(AND('Stage Ledger'!P298=1,'Stage Ledger'!Q298=1),MIN('Stage Ledger'!F298,'Stage Ledger'!M298,'Stage Ledger'!R297),0))&lt;0.000001,'Stage Ledger'!S298=IF('Stage Ledger'!R298&gt;='Stage Ledger'!F298,"ADMITTED","NOT ADMITTED")),1,0)</x:f>
        <x:v>1</x:v>
      </x:c>
      <x:c r="F1287" s="21" t="n">
        <x:v>1</x:v>
      </x:c>
      <x:c r="G1287" s="23" t="str">
        <x:f>IF(E1287=F1287,"PASS","FAIL")</x:f>
        <x:v>PASS</x:v>
      </x:c>
    </x:row>
    <x:row r="1288">
      <x:c r="B1288" s="21" t="str">
        <x:v>A01282</x:v>
      </x:c>
      <x:c r="C1288" s="21" t="str">
        <x:v>stage</x:v>
      </x:c>
      <x:c r="D1288" s="21" t="str">
        <x:v>stage 293 planned conservation</x:v>
      </x:c>
      <x:c r="E1288" s="21" t="n">
        <x:f>IF(ABS('Stage Ledger'!J299-MIN('Stage Ledger'!F299,'Stage Ledger'!H299,'Stage Ledger'!I299))&lt;0.000001,1,0)</x:f>
        <x:v>1</x:v>
      </x:c>
      <x:c r="F1288" s="21" t="n">
        <x:v>1</x:v>
      </x:c>
      <x:c r="G1288" s="23" t="str">
        <x:f>IF(E1288=F1288,"PASS","FAIL")</x:f>
        <x:v>PASS</x:v>
      </x:c>
    </x:row>
    <x:row r="1289">
      <x:c r="B1289" s="21" t="str">
        <x:v>A01283</x:v>
      </x:c>
      <x:c r="C1289" s="21" t="str">
        <x:v>stage</x:v>
      </x:c>
      <x:c r="D1289" s="21" t="str">
        <x:v>stage 293 observed conservation</x:v>
      </x:c>
      <x:c r="E1289" s="21" t="n">
        <x:f>IF(AND(ABS('Stage Ledger'!R299-IF(AND('Stage Ledger'!P299=1,'Stage Ledger'!Q299=1),MIN('Stage Ledger'!F299,'Stage Ledger'!M299,'Stage Ledger'!R298),0))&lt;0.000001,'Stage Ledger'!S299=IF('Stage Ledger'!R299&gt;='Stage Ledger'!F299,"ADMITTED","NOT ADMITTED")),1,0)</x:f>
        <x:v>1</x:v>
      </x:c>
      <x:c r="F1289" s="21" t="n">
        <x:v>1</x:v>
      </x:c>
      <x:c r="G1289" s="23" t="str">
        <x:f>IF(E1289=F1289,"PASS","FAIL")</x:f>
        <x:v>PASS</x:v>
      </x:c>
    </x:row>
    <x:row r="1290">
      <x:c r="B1290" s="21" t="str">
        <x:v>A01284</x:v>
      </x:c>
      <x:c r="C1290" s="21" t="str">
        <x:v>stage</x:v>
      </x:c>
      <x:c r="D1290" s="21" t="str">
        <x:v>stage 294 planned conservation</x:v>
      </x:c>
      <x:c r="E1290" s="21" t="n">
        <x:f>IF(ABS('Stage Ledger'!J300-MIN('Stage Ledger'!F300,'Stage Ledger'!H300,'Stage Ledger'!I300))&lt;0.000001,1,0)</x:f>
        <x:v>1</x:v>
      </x:c>
      <x:c r="F1290" s="21" t="n">
        <x:v>1</x:v>
      </x:c>
      <x:c r="G1290" s="23" t="str">
        <x:f>IF(E1290=F1290,"PASS","FAIL")</x:f>
        <x:v>PASS</x:v>
      </x:c>
    </x:row>
    <x:row r="1291">
      <x:c r="B1291" s="21" t="str">
        <x:v>A01285</x:v>
      </x:c>
      <x:c r="C1291" s="21" t="str">
        <x:v>stage</x:v>
      </x:c>
      <x:c r="D1291" s="21" t="str">
        <x:v>stage 294 observed conservation</x:v>
      </x:c>
      <x:c r="E1291" s="21" t="n">
        <x:f>IF(AND(ABS('Stage Ledger'!R300-IF(AND('Stage Ledger'!P300=1,'Stage Ledger'!Q300=1),MIN('Stage Ledger'!F300,'Stage Ledger'!M300,'Stage Ledger'!R299),0))&lt;0.000001,'Stage Ledger'!S300=IF('Stage Ledger'!R300&gt;='Stage Ledger'!F300,"ADMITTED","NOT ADMITTED")),1,0)</x:f>
        <x:v>1</x:v>
      </x:c>
      <x:c r="F1291" s="21" t="n">
        <x:v>1</x:v>
      </x:c>
      <x:c r="G1291" s="23" t="str">
        <x:f>IF(E1291=F1291,"PASS","FAIL")</x:f>
        <x:v>PASS</x:v>
      </x:c>
    </x:row>
    <x:row r="1292">
      <x:c r="B1292" s="21" t="str">
        <x:v>A01286</x:v>
      </x:c>
      <x:c r="C1292" s="21" t="str">
        <x:v>stage</x:v>
      </x:c>
      <x:c r="D1292" s="21" t="str">
        <x:v>stage 295 planned conservation</x:v>
      </x:c>
      <x:c r="E1292" s="21" t="n">
        <x:f>IF(ABS('Stage Ledger'!J301-MIN('Stage Ledger'!F301,'Stage Ledger'!H301,'Stage Ledger'!I301))&lt;0.000001,1,0)</x:f>
        <x:v>1</x:v>
      </x:c>
      <x:c r="F1292" s="21" t="n">
        <x:v>1</x:v>
      </x:c>
      <x:c r="G1292" s="23" t="str">
        <x:f>IF(E1292=F1292,"PASS","FAIL")</x:f>
        <x:v>PASS</x:v>
      </x:c>
    </x:row>
    <x:row r="1293">
      <x:c r="B1293" s="21" t="str">
        <x:v>A01287</x:v>
      </x:c>
      <x:c r="C1293" s="21" t="str">
        <x:v>stage</x:v>
      </x:c>
      <x:c r="D1293" s="21" t="str">
        <x:v>stage 295 observed conservation</x:v>
      </x:c>
      <x:c r="E1293" s="21" t="n">
        <x:f>IF(AND(ABS('Stage Ledger'!R301-IF(AND('Stage Ledger'!P301=1,'Stage Ledger'!Q301=1),MIN('Stage Ledger'!F301,'Stage Ledger'!M301,'Stage Ledger'!R300),0))&lt;0.000001,'Stage Ledger'!S301=IF('Stage Ledger'!R301&gt;='Stage Ledger'!F301,"ADMITTED","NOT ADMITTED")),1,0)</x:f>
        <x:v>1</x:v>
      </x:c>
      <x:c r="F1293" s="21" t="n">
        <x:v>1</x:v>
      </x:c>
      <x:c r="G1293" s="23" t="str">
        <x:f>IF(E1293=F1293,"PASS","FAIL")</x:f>
        <x:v>PASS</x:v>
      </x:c>
    </x:row>
    <x:row r="1294">
      <x:c r="B1294" s="21" t="str">
        <x:v>A01288</x:v>
      </x:c>
      <x:c r="C1294" s="21" t="str">
        <x:v>stage</x:v>
      </x:c>
      <x:c r="D1294" s="21" t="str">
        <x:v>stage 296 planned conservation</x:v>
      </x:c>
      <x:c r="E1294" s="21" t="n">
        <x:f>IF(ABS('Stage Ledger'!J302-MIN('Stage Ledger'!F302,'Stage Ledger'!H302,'Stage Ledger'!I302))&lt;0.000001,1,0)</x:f>
        <x:v>1</x:v>
      </x:c>
      <x:c r="F1294" s="21" t="n">
        <x:v>1</x:v>
      </x:c>
      <x:c r="G1294" s="23" t="str">
        <x:f>IF(E1294=F1294,"PASS","FAIL")</x:f>
        <x:v>PASS</x:v>
      </x:c>
    </x:row>
    <x:row r="1295">
      <x:c r="B1295" s="21" t="str">
        <x:v>A01289</x:v>
      </x:c>
      <x:c r="C1295" s="21" t="str">
        <x:v>stage</x:v>
      </x:c>
      <x:c r="D1295" s="21" t="str">
        <x:v>stage 296 observed conservation</x:v>
      </x:c>
      <x:c r="E1295" s="21" t="n">
        <x:f>IF(AND(ABS('Stage Ledger'!R302-IF(AND('Stage Ledger'!P302=1,'Stage Ledger'!Q302=1),MIN('Stage Ledger'!F302,'Stage Ledger'!M302,'Stage Ledger'!R301),0))&lt;0.000001,'Stage Ledger'!S302=IF('Stage Ledger'!R302&gt;='Stage Ledger'!F302,"ADMITTED","NOT ADMITTED")),1,0)</x:f>
        <x:v>1</x:v>
      </x:c>
      <x:c r="F1295" s="21" t="n">
        <x:v>1</x:v>
      </x:c>
      <x:c r="G1295" s="23" t="str">
        <x:f>IF(E1295=F1295,"PASS","FAIL")</x:f>
        <x:v>PASS</x:v>
      </x:c>
    </x:row>
    <x:row r="1296">
      <x:c r="B1296" s="21" t="str">
        <x:v>A01290</x:v>
      </x:c>
      <x:c r="C1296" s="21" t="str">
        <x:v>stage</x:v>
      </x:c>
      <x:c r="D1296" s="21" t="str">
        <x:v>stage 297 planned conservation</x:v>
      </x:c>
      <x:c r="E1296" s="21" t="n">
        <x:f>IF(ABS('Stage Ledger'!J303-MIN('Stage Ledger'!F303,'Stage Ledger'!H303,'Stage Ledger'!I303))&lt;0.000001,1,0)</x:f>
        <x:v>1</x:v>
      </x:c>
      <x:c r="F1296" s="21" t="n">
        <x:v>1</x:v>
      </x:c>
      <x:c r="G1296" s="23" t="str">
        <x:f>IF(E1296=F1296,"PASS","FAIL")</x:f>
        <x:v>PASS</x:v>
      </x:c>
    </x:row>
    <x:row r="1297">
      <x:c r="B1297" s="21" t="str">
        <x:v>A01291</x:v>
      </x:c>
      <x:c r="C1297" s="21" t="str">
        <x:v>stage</x:v>
      </x:c>
      <x:c r="D1297" s="21" t="str">
        <x:v>stage 297 observed conservation</x:v>
      </x:c>
      <x:c r="E1297" s="21" t="n">
        <x:f>IF(AND(ABS('Stage Ledger'!R303-IF(AND('Stage Ledger'!P303=1,'Stage Ledger'!Q303=1),MIN('Stage Ledger'!F303,'Stage Ledger'!M303,'Stage Ledger'!R302),0))&lt;0.000001,'Stage Ledger'!S303=IF('Stage Ledger'!R303&gt;='Stage Ledger'!F303,"ADMITTED","NOT ADMITTED")),1,0)</x:f>
        <x:v>1</x:v>
      </x:c>
      <x:c r="F1297" s="21" t="n">
        <x:v>1</x:v>
      </x:c>
      <x:c r="G1297" s="23" t="str">
        <x:f>IF(E1297=F1297,"PASS","FAIL")</x:f>
        <x:v>PASS</x:v>
      </x:c>
    </x:row>
    <x:row r="1298">
      <x:c r="B1298" s="21" t="str">
        <x:v>A01292</x:v>
      </x:c>
      <x:c r="C1298" s="21" t="str">
        <x:v>stage</x:v>
      </x:c>
      <x:c r="D1298" s="21" t="str">
        <x:v>stage 298 planned conservation</x:v>
      </x:c>
      <x:c r="E1298" s="21" t="n">
        <x:f>IF(ABS('Stage Ledger'!J304-MIN('Stage Ledger'!F304,'Stage Ledger'!H304,'Stage Ledger'!I304))&lt;0.000001,1,0)</x:f>
        <x:v>1</x:v>
      </x:c>
      <x:c r="F1298" s="21" t="n">
        <x:v>1</x:v>
      </x:c>
      <x:c r="G1298" s="23" t="str">
        <x:f>IF(E1298=F1298,"PASS","FAIL")</x:f>
        <x:v>PASS</x:v>
      </x:c>
    </x:row>
    <x:row r="1299">
      <x:c r="B1299" s="21" t="str">
        <x:v>A01293</x:v>
      </x:c>
      <x:c r="C1299" s="21" t="str">
        <x:v>stage</x:v>
      </x:c>
      <x:c r="D1299" s="21" t="str">
        <x:v>stage 298 observed conservation</x:v>
      </x:c>
      <x:c r="E1299" s="21" t="n">
        <x:f>IF(AND(ABS('Stage Ledger'!R304-IF(AND('Stage Ledger'!P304=1,'Stage Ledger'!Q304=1),MIN('Stage Ledger'!F304,'Stage Ledger'!M304,'Stage Ledger'!R303),0))&lt;0.000001,'Stage Ledger'!S304=IF('Stage Ledger'!R304&gt;='Stage Ledger'!F304,"ADMITTED","NOT ADMITTED")),1,0)</x:f>
        <x:v>1</x:v>
      </x:c>
      <x:c r="F1299" s="21" t="n">
        <x:v>1</x:v>
      </x:c>
      <x:c r="G1299" s="23" t="str">
        <x:f>IF(E1299=F1299,"PASS","FAIL")</x:f>
        <x:v>PASS</x:v>
      </x:c>
    </x:row>
    <x:row r="1300">
      <x:c r="B1300" s="21" t="str">
        <x:v>A01294</x:v>
      </x:c>
      <x:c r="C1300" s="21" t="str">
        <x:v>stage</x:v>
      </x:c>
      <x:c r="D1300" s="21" t="str">
        <x:v>stage 299 planned conservation</x:v>
      </x:c>
      <x:c r="E1300" s="21" t="n">
        <x:f>IF(ABS('Stage Ledger'!J305-MIN('Stage Ledger'!F305,'Stage Ledger'!H305,'Stage Ledger'!I305))&lt;0.000001,1,0)</x:f>
        <x:v>1</x:v>
      </x:c>
      <x:c r="F1300" s="21" t="n">
        <x:v>1</x:v>
      </x:c>
      <x:c r="G1300" s="23" t="str">
        <x:f>IF(E1300=F1300,"PASS","FAIL")</x:f>
        <x:v>PASS</x:v>
      </x:c>
    </x:row>
    <x:row r="1301">
      <x:c r="B1301" s="21" t="str">
        <x:v>A01295</x:v>
      </x:c>
      <x:c r="C1301" s="21" t="str">
        <x:v>stage</x:v>
      </x:c>
      <x:c r="D1301" s="21" t="str">
        <x:v>stage 299 observed conservation</x:v>
      </x:c>
      <x:c r="E1301" s="21" t="n">
        <x:f>IF(AND(ABS('Stage Ledger'!R305-IF(AND('Stage Ledger'!P305=1,'Stage Ledger'!Q305=1),MIN('Stage Ledger'!F305,'Stage Ledger'!M305,'Stage Ledger'!R304),0))&lt;0.000001,'Stage Ledger'!S305=IF('Stage Ledger'!R305&gt;='Stage Ledger'!F305,"ADMITTED","NOT ADMITTED")),1,0)</x:f>
        <x:v>1</x:v>
      </x:c>
      <x:c r="F1301" s="21" t="n">
        <x:v>1</x:v>
      </x:c>
      <x:c r="G1301" s="23" t="str">
        <x:f>IF(E1301=F1301,"PASS","FAIL")</x:f>
        <x:v>PASS</x:v>
      </x:c>
    </x:row>
    <x:row r="1302">
      <x:c r="B1302" s="21" t="str">
        <x:v>A01296</x:v>
      </x:c>
      <x:c r="C1302" s="21" t="str">
        <x:v>stage</x:v>
      </x:c>
      <x:c r="D1302" s="21" t="str">
        <x:v>stage 300 planned conservation</x:v>
      </x:c>
      <x:c r="E1302" s="21" t="n">
        <x:f>IF(ABS('Stage Ledger'!J306-MIN('Stage Ledger'!F306,'Stage Ledger'!H306,'Stage Ledger'!I306))&lt;0.000001,1,0)</x:f>
        <x:v>1</x:v>
      </x:c>
      <x:c r="F1302" s="21" t="n">
        <x:v>1</x:v>
      </x:c>
      <x:c r="G1302" s="23" t="str">
        <x:f>IF(E1302=F1302,"PASS","FAIL")</x:f>
        <x:v>PASS</x:v>
      </x:c>
    </x:row>
    <x:row r="1303">
      <x:c r="B1303" s="21" t="str">
        <x:v>A01297</x:v>
      </x:c>
      <x:c r="C1303" s="21" t="str">
        <x:v>stage</x:v>
      </x:c>
      <x:c r="D1303" s="21" t="str">
        <x:v>stage 300 observed conservation</x:v>
      </x:c>
      <x:c r="E1303" s="21" t="n">
        <x:f>IF(AND(ABS('Stage Ledger'!R306-IF(AND('Stage Ledger'!P306=1,'Stage Ledger'!Q306=1),MIN('Stage Ledger'!F306,'Stage Ledger'!M306,'Stage Ledger'!R305),0))&lt;0.000001,'Stage Ledger'!S306=IF('Stage Ledger'!R306&gt;='Stage Ledger'!F306,"ADMITTED","NOT ADMITTED")),1,0)</x:f>
        <x:v>1</x:v>
      </x:c>
      <x:c r="F1303" s="21" t="n">
        <x:v>1</x:v>
      </x:c>
      <x:c r="G1303" s="23" t="str">
        <x:f>IF(E1303=F1303,"PASS","FAIL")</x:f>
        <x:v>PASS</x:v>
      </x:c>
    </x:row>
    <x:row r="1304">
      <x:c r="B1304" s="21" t="str">
        <x:v>A01298</x:v>
      </x:c>
      <x:c r="C1304" s="21" t="str">
        <x:v>stage</x:v>
      </x:c>
      <x:c r="D1304" s="21" t="str">
        <x:v>stage 301 planned conservation</x:v>
      </x:c>
      <x:c r="E1304" s="21" t="n">
        <x:f>IF(ABS('Stage Ledger'!J307-MIN('Stage Ledger'!F307,'Stage Ledger'!H307,'Stage Ledger'!I307))&lt;0.000001,1,0)</x:f>
        <x:v>1</x:v>
      </x:c>
      <x:c r="F1304" s="21" t="n">
        <x:v>1</x:v>
      </x:c>
      <x:c r="G1304" s="23" t="str">
        <x:f>IF(E1304=F1304,"PASS","FAIL")</x:f>
        <x:v>PASS</x:v>
      </x:c>
    </x:row>
    <x:row r="1305">
      <x:c r="B1305" s="21" t="str">
        <x:v>A01299</x:v>
      </x:c>
      <x:c r="C1305" s="21" t="str">
        <x:v>stage</x:v>
      </x:c>
      <x:c r="D1305" s="21" t="str">
        <x:v>stage 301 observed conservation</x:v>
      </x:c>
      <x:c r="E1305" s="21" t="n">
        <x:f>IF(AND(ABS('Stage Ledger'!R307-IF(AND('Stage Ledger'!P307=1,'Stage Ledger'!Q307=1),MIN('Stage Ledger'!F307,'Stage Ledger'!M307),0))&lt;0.000001,'Stage Ledger'!S307=IF('Stage Ledger'!R307&gt;='Stage Ledger'!F307,"ADMITTED","NOT ADMITTED")),1,0)</x:f>
        <x:v>1</x:v>
      </x:c>
      <x:c r="F1305" s="21" t="n">
        <x:v>1</x:v>
      </x:c>
      <x:c r="G1305" s="23" t="str">
        <x:f>IF(E1305=F1305,"PASS","FAIL")</x:f>
        <x:v>PASS</x:v>
      </x:c>
    </x:row>
    <x:row r="1306">
      <x:c r="B1306" s="21" t="str">
        <x:v>A01300</x:v>
      </x:c>
      <x:c r="C1306" s="21" t="str">
        <x:v>stage</x:v>
      </x:c>
      <x:c r="D1306" s="21" t="str">
        <x:v>stage 302 planned conservation</x:v>
      </x:c>
      <x:c r="E1306" s="21" t="n">
        <x:f>IF(ABS('Stage Ledger'!J308-MIN('Stage Ledger'!F308,'Stage Ledger'!H308,'Stage Ledger'!I308))&lt;0.000001,1,0)</x:f>
        <x:v>1</x:v>
      </x:c>
      <x:c r="F1306" s="21" t="n">
        <x:v>1</x:v>
      </x:c>
      <x:c r="G1306" s="23" t="str">
        <x:f>IF(E1306=F1306,"PASS","FAIL")</x:f>
        <x:v>PASS</x:v>
      </x:c>
    </x:row>
    <x:row r="1307">
      <x:c r="B1307" s="21" t="str">
        <x:v>A01301</x:v>
      </x:c>
      <x:c r="C1307" s="21" t="str">
        <x:v>stage</x:v>
      </x:c>
      <x:c r="D1307" s="21" t="str">
        <x:v>stage 302 observed conservation</x:v>
      </x:c>
      <x:c r="E1307" s="21" t="n">
        <x:f>IF(AND(ABS('Stage Ledger'!R308-IF(AND('Stage Ledger'!P308=1,'Stage Ledger'!Q308=1),MIN('Stage Ledger'!F308,'Stage Ledger'!M308,'Stage Ledger'!R307),0))&lt;0.000001,'Stage Ledger'!S308=IF('Stage Ledger'!R308&gt;='Stage Ledger'!F308,"ADMITTED","NOT ADMITTED")),1,0)</x:f>
        <x:v>1</x:v>
      </x:c>
      <x:c r="F1307" s="21" t="n">
        <x:v>1</x:v>
      </x:c>
      <x:c r="G1307" s="23" t="str">
        <x:f>IF(E1307=F1307,"PASS","FAIL")</x:f>
        <x:v>PASS</x:v>
      </x:c>
    </x:row>
    <x:row r="1308">
      <x:c r="B1308" s="21" t="str">
        <x:v>A01302</x:v>
      </x:c>
      <x:c r="C1308" s="21" t="str">
        <x:v>stage</x:v>
      </x:c>
      <x:c r="D1308" s="21" t="str">
        <x:v>stage 303 planned conservation</x:v>
      </x:c>
      <x:c r="E1308" s="21" t="n">
        <x:f>IF(ABS('Stage Ledger'!J309-MIN('Stage Ledger'!F309,'Stage Ledger'!H309,'Stage Ledger'!I309))&lt;0.000001,1,0)</x:f>
        <x:v>1</x:v>
      </x:c>
      <x:c r="F1308" s="21" t="n">
        <x:v>1</x:v>
      </x:c>
      <x:c r="G1308" s="23" t="str">
        <x:f>IF(E1308=F1308,"PASS","FAIL")</x:f>
        <x:v>PASS</x:v>
      </x:c>
    </x:row>
    <x:row r="1309">
      <x:c r="B1309" s="21" t="str">
        <x:v>A01303</x:v>
      </x:c>
      <x:c r="C1309" s="21" t="str">
        <x:v>stage</x:v>
      </x:c>
      <x:c r="D1309" s="21" t="str">
        <x:v>stage 303 observed conservation</x:v>
      </x:c>
      <x:c r="E1309" s="21" t="n">
        <x:f>IF(AND(ABS('Stage Ledger'!R309-IF(AND('Stage Ledger'!P309=1,'Stage Ledger'!Q309=1),MIN('Stage Ledger'!F309,'Stage Ledger'!M309,'Stage Ledger'!R308),0))&lt;0.000001,'Stage Ledger'!S309=IF('Stage Ledger'!R309&gt;='Stage Ledger'!F309,"ADMITTED","NOT ADMITTED")),1,0)</x:f>
        <x:v>1</x:v>
      </x:c>
      <x:c r="F1309" s="21" t="n">
        <x:v>1</x:v>
      </x:c>
      <x:c r="G1309" s="23" t="str">
        <x:f>IF(E1309=F1309,"PASS","FAIL")</x:f>
        <x:v>PASS</x:v>
      </x:c>
    </x:row>
    <x:row r="1310">
      <x:c r="B1310" s="21" t="str">
        <x:v>A01304</x:v>
      </x:c>
      <x:c r="C1310" s="21" t="str">
        <x:v>stage</x:v>
      </x:c>
      <x:c r="D1310" s="21" t="str">
        <x:v>stage 304 planned conservation</x:v>
      </x:c>
      <x:c r="E1310" s="21" t="n">
        <x:f>IF(ABS('Stage Ledger'!J310-MIN('Stage Ledger'!F310,'Stage Ledger'!H310,'Stage Ledger'!I310))&lt;0.000001,1,0)</x:f>
        <x:v>1</x:v>
      </x:c>
      <x:c r="F1310" s="21" t="n">
        <x:v>1</x:v>
      </x:c>
      <x:c r="G1310" s="23" t="str">
        <x:f>IF(E1310=F1310,"PASS","FAIL")</x:f>
        <x:v>PASS</x:v>
      </x:c>
    </x:row>
    <x:row r="1311">
      <x:c r="B1311" s="21" t="str">
        <x:v>A01305</x:v>
      </x:c>
      <x:c r="C1311" s="21" t="str">
        <x:v>stage</x:v>
      </x:c>
      <x:c r="D1311" s="21" t="str">
        <x:v>stage 304 observed conservation</x:v>
      </x:c>
      <x:c r="E1311" s="21" t="n">
        <x:f>IF(AND(ABS('Stage Ledger'!R310-IF(AND('Stage Ledger'!P310=1,'Stage Ledger'!Q310=1),MIN('Stage Ledger'!F310,'Stage Ledger'!M310,'Stage Ledger'!R309),0))&lt;0.000001,'Stage Ledger'!S310=IF('Stage Ledger'!R310&gt;='Stage Ledger'!F310,"ADMITTED","NOT ADMITTED")),1,0)</x:f>
        <x:v>1</x:v>
      </x:c>
      <x:c r="F1311" s="21" t="n">
        <x:v>1</x:v>
      </x:c>
      <x:c r="G1311" s="23" t="str">
        <x:f>IF(E1311=F1311,"PASS","FAIL")</x:f>
        <x:v>PASS</x:v>
      </x:c>
    </x:row>
    <x:row r="1312">
      <x:c r="B1312" s="21" t="str">
        <x:v>A01306</x:v>
      </x:c>
      <x:c r="C1312" s="21" t="str">
        <x:v>stage</x:v>
      </x:c>
      <x:c r="D1312" s="21" t="str">
        <x:v>stage 305 planned conservation</x:v>
      </x:c>
      <x:c r="E1312" s="21" t="n">
        <x:f>IF(ABS('Stage Ledger'!J311-MIN('Stage Ledger'!F311,'Stage Ledger'!H311,'Stage Ledger'!I311))&lt;0.000001,1,0)</x:f>
        <x:v>1</x:v>
      </x:c>
      <x:c r="F1312" s="21" t="n">
        <x:v>1</x:v>
      </x:c>
      <x:c r="G1312" s="23" t="str">
        <x:f>IF(E1312=F1312,"PASS","FAIL")</x:f>
        <x:v>PASS</x:v>
      </x:c>
    </x:row>
    <x:row r="1313">
      <x:c r="B1313" s="21" t="str">
        <x:v>A01307</x:v>
      </x:c>
      <x:c r="C1313" s="21" t="str">
        <x:v>stage</x:v>
      </x:c>
      <x:c r="D1313" s="21" t="str">
        <x:v>stage 305 observed conservation</x:v>
      </x:c>
      <x:c r="E1313" s="21" t="n">
        <x:f>IF(AND(ABS('Stage Ledger'!R311-IF(AND('Stage Ledger'!P311=1,'Stage Ledger'!Q311=1),MIN('Stage Ledger'!F311,'Stage Ledger'!M311,'Stage Ledger'!R310),0))&lt;0.000001,'Stage Ledger'!S311=IF('Stage Ledger'!R311&gt;='Stage Ledger'!F311,"ADMITTED","NOT ADMITTED")),1,0)</x:f>
        <x:v>1</x:v>
      </x:c>
      <x:c r="F1313" s="21" t="n">
        <x:v>1</x:v>
      </x:c>
      <x:c r="G1313" s="23" t="str">
        <x:f>IF(E1313=F1313,"PASS","FAIL")</x:f>
        <x:v>PASS</x:v>
      </x:c>
    </x:row>
    <x:row r="1314">
      <x:c r="B1314" s="21" t="str">
        <x:v>A01308</x:v>
      </x:c>
      <x:c r="C1314" s="21" t="str">
        <x:v>stage</x:v>
      </x:c>
      <x:c r="D1314" s="21" t="str">
        <x:v>stage 306 planned conservation</x:v>
      </x:c>
      <x:c r="E1314" s="21" t="n">
        <x:f>IF(ABS('Stage Ledger'!J312-MIN('Stage Ledger'!F312,'Stage Ledger'!H312,'Stage Ledger'!I312))&lt;0.000001,1,0)</x:f>
        <x:v>1</x:v>
      </x:c>
      <x:c r="F1314" s="21" t="n">
        <x:v>1</x:v>
      </x:c>
      <x:c r="G1314" s="23" t="str">
        <x:f>IF(E1314=F1314,"PASS","FAIL")</x:f>
        <x:v>PASS</x:v>
      </x:c>
    </x:row>
    <x:row r="1315">
      <x:c r="B1315" s="21" t="str">
        <x:v>A01309</x:v>
      </x:c>
      <x:c r="C1315" s="21" t="str">
        <x:v>stage</x:v>
      </x:c>
      <x:c r="D1315" s="21" t="str">
        <x:v>stage 306 observed conservation</x:v>
      </x:c>
      <x:c r="E1315" s="21" t="n">
        <x:f>IF(AND(ABS('Stage Ledger'!R312-IF(AND('Stage Ledger'!P312=1,'Stage Ledger'!Q312=1),MIN('Stage Ledger'!F312,'Stage Ledger'!M312,'Stage Ledger'!R311),0))&lt;0.000001,'Stage Ledger'!S312=IF('Stage Ledger'!R312&gt;='Stage Ledger'!F312,"ADMITTED","NOT ADMITTED")),1,0)</x:f>
        <x:v>1</x:v>
      </x:c>
      <x:c r="F1315" s="21" t="n">
        <x:v>1</x:v>
      </x:c>
      <x:c r="G1315" s="23" t="str">
        <x:f>IF(E1315=F1315,"PASS","FAIL")</x:f>
        <x:v>PASS</x:v>
      </x:c>
    </x:row>
    <x:row r="1316">
      <x:c r="B1316" s="21" t="str">
        <x:v>A01310</x:v>
      </x:c>
      <x:c r="C1316" s="21" t="str">
        <x:v>stage</x:v>
      </x:c>
      <x:c r="D1316" s="21" t="str">
        <x:v>stage 307 planned conservation</x:v>
      </x:c>
      <x:c r="E1316" s="21" t="n">
        <x:f>IF(ABS('Stage Ledger'!J313-MIN('Stage Ledger'!F313,'Stage Ledger'!H313,'Stage Ledger'!I313))&lt;0.000001,1,0)</x:f>
        <x:v>1</x:v>
      </x:c>
      <x:c r="F1316" s="21" t="n">
        <x:v>1</x:v>
      </x:c>
      <x:c r="G1316" s="23" t="str">
        <x:f>IF(E1316=F1316,"PASS","FAIL")</x:f>
        <x:v>PASS</x:v>
      </x:c>
    </x:row>
    <x:row r="1317">
      <x:c r="B1317" s="21" t="str">
        <x:v>A01311</x:v>
      </x:c>
      <x:c r="C1317" s="21" t="str">
        <x:v>stage</x:v>
      </x:c>
      <x:c r="D1317" s="21" t="str">
        <x:v>stage 307 observed conservation</x:v>
      </x:c>
      <x:c r="E1317" s="21" t="n">
        <x:f>IF(AND(ABS('Stage Ledger'!R313-IF(AND('Stage Ledger'!P313=1,'Stage Ledger'!Q313=1),MIN('Stage Ledger'!F313,'Stage Ledger'!M313,'Stage Ledger'!R312),0))&lt;0.000001,'Stage Ledger'!S313=IF('Stage Ledger'!R313&gt;='Stage Ledger'!F313,"ADMITTED","NOT ADMITTED")),1,0)</x:f>
        <x:v>1</x:v>
      </x:c>
      <x:c r="F1317" s="21" t="n">
        <x:v>1</x:v>
      </x:c>
      <x:c r="G1317" s="23" t="str">
        <x:f>IF(E1317=F1317,"PASS","FAIL")</x:f>
        <x:v>PASS</x:v>
      </x:c>
    </x:row>
    <x:row r="1318">
      <x:c r="B1318" s="21" t="str">
        <x:v>A01312</x:v>
      </x:c>
      <x:c r="C1318" s="21" t="str">
        <x:v>stage</x:v>
      </x:c>
      <x:c r="D1318" s="21" t="str">
        <x:v>stage 308 planned conservation</x:v>
      </x:c>
      <x:c r="E1318" s="21" t="n">
        <x:f>IF(ABS('Stage Ledger'!J314-MIN('Stage Ledger'!F314,'Stage Ledger'!H314,'Stage Ledger'!I314))&lt;0.000001,1,0)</x:f>
        <x:v>1</x:v>
      </x:c>
      <x:c r="F1318" s="21" t="n">
        <x:v>1</x:v>
      </x:c>
      <x:c r="G1318" s="23" t="str">
        <x:f>IF(E1318=F1318,"PASS","FAIL")</x:f>
        <x:v>PASS</x:v>
      </x:c>
    </x:row>
    <x:row r="1319">
      <x:c r="B1319" s="21" t="str">
        <x:v>A01313</x:v>
      </x:c>
      <x:c r="C1319" s="21" t="str">
        <x:v>stage</x:v>
      </x:c>
      <x:c r="D1319" s="21" t="str">
        <x:v>stage 308 observed conservation</x:v>
      </x:c>
      <x:c r="E1319" s="21" t="n">
        <x:f>IF(AND(ABS('Stage Ledger'!R314-IF(AND('Stage Ledger'!P314=1,'Stage Ledger'!Q314=1),MIN('Stage Ledger'!F314,'Stage Ledger'!M314,'Stage Ledger'!R313),0))&lt;0.000001,'Stage Ledger'!S314=IF('Stage Ledger'!R314&gt;='Stage Ledger'!F314,"ADMITTED","NOT ADMITTED")),1,0)</x:f>
        <x:v>1</x:v>
      </x:c>
      <x:c r="F1319" s="21" t="n">
        <x:v>1</x:v>
      </x:c>
      <x:c r="G1319" s="23" t="str">
        <x:f>IF(E1319=F1319,"PASS","FAIL")</x:f>
        <x:v>PASS</x:v>
      </x:c>
    </x:row>
    <x:row r="1320">
      <x:c r="B1320" s="21" t="str">
        <x:v>A01314</x:v>
      </x:c>
      <x:c r="C1320" s="21" t="str">
        <x:v>stage</x:v>
      </x:c>
      <x:c r="D1320" s="21" t="str">
        <x:v>stage 309 planned conservation</x:v>
      </x:c>
      <x:c r="E1320" s="21" t="n">
        <x:f>IF(ABS('Stage Ledger'!J315-MIN('Stage Ledger'!F315,'Stage Ledger'!H315,'Stage Ledger'!I315))&lt;0.000001,1,0)</x:f>
        <x:v>1</x:v>
      </x:c>
      <x:c r="F1320" s="21" t="n">
        <x:v>1</x:v>
      </x:c>
      <x:c r="G1320" s="23" t="str">
        <x:f>IF(E1320=F1320,"PASS","FAIL")</x:f>
        <x:v>PASS</x:v>
      </x:c>
    </x:row>
    <x:row r="1321">
      <x:c r="B1321" s="21" t="str">
        <x:v>A01315</x:v>
      </x:c>
      <x:c r="C1321" s="21" t="str">
        <x:v>stage</x:v>
      </x:c>
      <x:c r="D1321" s="21" t="str">
        <x:v>stage 309 observed conservation</x:v>
      </x:c>
      <x:c r="E1321" s="21" t="n">
        <x:f>IF(AND(ABS('Stage Ledger'!R315-IF(AND('Stage Ledger'!P315=1,'Stage Ledger'!Q315=1),MIN('Stage Ledger'!F315,'Stage Ledger'!M315,'Stage Ledger'!R314),0))&lt;0.000001,'Stage Ledger'!S315=IF('Stage Ledger'!R315&gt;='Stage Ledger'!F315,"ADMITTED","NOT ADMITTED")),1,0)</x:f>
        <x:v>1</x:v>
      </x:c>
      <x:c r="F1321" s="21" t="n">
        <x:v>1</x:v>
      </x:c>
      <x:c r="G1321" s="23" t="str">
        <x:f>IF(E1321=F1321,"PASS","FAIL")</x:f>
        <x:v>PASS</x:v>
      </x:c>
    </x:row>
    <x:row r="1322">
      <x:c r="B1322" s="21" t="str">
        <x:v>A01316</x:v>
      </x:c>
      <x:c r="C1322" s="21" t="str">
        <x:v>stage</x:v>
      </x:c>
      <x:c r="D1322" s="21" t="str">
        <x:v>stage 310 planned conservation</x:v>
      </x:c>
      <x:c r="E1322" s="21" t="n">
        <x:f>IF(ABS('Stage Ledger'!J316-MIN('Stage Ledger'!F316,'Stage Ledger'!H316,'Stage Ledger'!I316))&lt;0.000001,1,0)</x:f>
        <x:v>1</x:v>
      </x:c>
      <x:c r="F1322" s="21" t="n">
        <x:v>1</x:v>
      </x:c>
      <x:c r="G1322" s="23" t="str">
        <x:f>IF(E1322=F1322,"PASS","FAIL")</x:f>
        <x:v>PASS</x:v>
      </x:c>
    </x:row>
    <x:row r="1323">
      <x:c r="B1323" s="21" t="str">
        <x:v>A01317</x:v>
      </x:c>
      <x:c r="C1323" s="21" t="str">
        <x:v>stage</x:v>
      </x:c>
      <x:c r="D1323" s="21" t="str">
        <x:v>stage 310 observed conservation</x:v>
      </x:c>
      <x:c r="E1323" s="21" t="n">
        <x:f>IF(AND(ABS('Stage Ledger'!R316-IF(AND('Stage Ledger'!P316=1,'Stage Ledger'!Q316=1),MIN('Stage Ledger'!F316,'Stage Ledger'!M316,'Stage Ledger'!R315),0))&lt;0.000001,'Stage Ledger'!S316=IF('Stage Ledger'!R316&gt;='Stage Ledger'!F316,"ADMITTED","NOT ADMITTED")),1,0)</x:f>
        <x:v>1</x:v>
      </x:c>
      <x:c r="F1323" s="21" t="n">
        <x:v>1</x:v>
      </x:c>
      <x:c r="G1323" s="23" t="str">
        <x:f>IF(E1323=F1323,"PASS","FAIL")</x:f>
        <x:v>PASS</x:v>
      </x:c>
    </x:row>
    <x:row r="1324">
      <x:c r="B1324" s="21" t="str">
        <x:v>A01318</x:v>
      </x:c>
      <x:c r="C1324" s="21" t="str">
        <x:v>stage</x:v>
      </x:c>
      <x:c r="D1324" s="21" t="str">
        <x:v>stage 311 planned conservation</x:v>
      </x:c>
      <x:c r="E1324" s="21" t="n">
        <x:f>IF(ABS('Stage Ledger'!J317-MIN('Stage Ledger'!F317,'Stage Ledger'!H317,'Stage Ledger'!I317))&lt;0.000001,1,0)</x:f>
        <x:v>1</x:v>
      </x:c>
      <x:c r="F1324" s="21" t="n">
        <x:v>1</x:v>
      </x:c>
      <x:c r="G1324" s="23" t="str">
        <x:f>IF(E1324=F1324,"PASS","FAIL")</x:f>
        <x:v>PASS</x:v>
      </x:c>
    </x:row>
    <x:row r="1325">
      <x:c r="B1325" s="21" t="str">
        <x:v>A01319</x:v>
      </x:c>
      <x:c r="C1325" s="21" t="str">
        <x:v>stage</x:v>
      </x:c>
      <x:c r="D1325" s="21" t="str">
        <x:v>stage 311 observed conservation</x:v>
      </x:c>
      <x:c r="E1325" s="21" t="n">
        <x:f>IF(AND(ABS('Stage Ledger'!R317-IF(AND('Stage Ledger'!P317=1,'Stage Ledger'!Q317=1),MIN('Stage Ledger'!F317,'Stage Ledger'!M317,'Stage Ledger'!R316),0))&lt;0.000001,'Stage Ledger'!S317=IF('Stage Ledger'!R317&gt;='Stage Ledger'!F317,"ADMITTED","NOT ADMITTED")),1,0)</x:f>
        <x:v>1</x:v>
      </x:c>
      <x:c r="F1325" s="21" t="n">
        <x:v>1</x:v>
      </x:c>
      <x:c r="G1325" s="23" t="str">
        <x:f>IF(E1325=F1325,"PASS","FAIL")</x:f>
        <x:v>PASS</x:v>
      </x:c>
    </x:row>
    <x:row r="1326">
      <x:c r="B1326" s="21" t="str">
        <x:v>A01320</x:v>
      </x:c>
      <x:c r="C1326" s="21" t="str">
        <x:v>stage</x:v>
      </x:c>
      <x:c r="D1326" s="21" t="str">
        <x:v>stage 312 planned conservation</x:v>
      </x:c>
      <x:c r="E1326" s="21" t="n">
        <x:f>IF(ABS('Stage Ledger'!J318-MIN('Stage Ledger'!F318,'Stage Ledger'!H318,'Stage Ledger'!I318))&lt;0.000001,1,0)</x:f>
        <x:v>1</x:v>
      </x:c>
      <x:c r="F1326" s="21" t="n">
        <x:v>1</x:v>
      </x:c>
      <x:c r="G1326" s="23" t="str">
        <x:f>IF(E1326=F1326,"PASS","FAIL")</x:f>
        <x:v>PASS</x:v>
      </x:c>
    </x:row>
    <x:row r="1327">
      <x:c r="B1327" s="21" t="str">
        <x:v>A01321</x:v>
      </x:c>
      <x:c r="C1327" s="21" t="str">
        <x:v>stage</x:v>
      </x:c>
      <x:c r="D1327" s="21" t="str">
        <x:v>stage 312 observed conservation</x:v>
      </x:c>
      <x:c r="E1327" s="21" t="n">
        <x:f>IF(AND(ABS('Stage Ledger'!R318-IF(AND('Stage Ledger'!P318=1,'Stage Ledger'!Q318=1),MIN('Stage Ledger'!F318,'Stage Ledger'!M318,'Stage Ledger'!R317),0))&lt;0.000001,'Stage Ledger'!S318=IF('Stage Ledger'!R318&gt;='Stage Ledger'!F318,"ADMITTED","NOT ADMITTED")),1,0)</x:f>
        <x:v>1</x:v>
      </x:c>
      <x:c r="F1327" s="21" t="n">
        <x:v>1</x:v>
      </x:c>
      <x:c r="G1327" s="23" t="str">
        <x:f>IF(E1327=F1327,"PASS","FAIL")</x:f>
        <x:v>PASS</x:v>
      </x:c>
    </x:row>
    <x:row r="1328">
      <x:c r="B1328" s="21" t="str">
        <x:v>A01322</x:v>
      </x:c>
      <x:c r="C1328" s="21" t="str">
        <x:v>stage</x:v>
      </x:c>
      <x:c r="D1328" s="21" t="str">
        <x:v>stage 313 planned conservation</x:v>
      </x:c>
      <x:c r="E1328" s="21" t="n">
        <x:f>IF(ABS('Stage Ledger'!J319-MIN('Stage Ledger'!F319,'Stage Ledger'!H319,'Stage Ledger'!I319))&lt;0.000001,1,0)</x:f>
        <x:v>1</x:v>
      </x:c>
      <x:c r="F1328" s="21" t="n">
        <x:v>1</x:v>
      </x:c>
      <x:c r="G1328" s="23" t="str">
        <x:f>IF(E1328=F1328,"PASS","FAIL")</x:f>
        <x:v>PASS</x:v>
      </x:c>
    </x:row>
    <x:row r="1329">
      <x:c r="B1329" s="21" t="str">
        <x:v>A01323</x:v>
      </x:c>
      <x:c r="C1329" s="21" t="str">
        <x:v>stage</x:v>
      </x:c>
      <x:c r="D1329" s="21" t="str">
        <x:v>stage 313 observed conservation</x:v>
      </x:c>
      <x:c r="E1329" s="21" t="n">
        <x:f>IF(AND(ABS('Stage Ledger'!R319-IF(AND('Stage Ledger'!P319=1,'Stage Ledger'!Q319=1),MIN('Stage Ledger'!F319,'Stage Ledger'!M319),0))&lt;0.000001,'Stage Ledger'!S319=IF('Stage Ledger'!R319&gt;='Stage Ledger'!F319,"ADMITTED","NOT ADMITTED")),1,0)</x:f>
        <x:v>1</x:v>
      </x:c>
      <x:c r="F1329" s="21" t="n">
        <x:v>1</x:v>
      </x:c>
      <x:c r="G1329" s="23" t="str">
        <x:f>IF(E1329=F1329,"PASS","FAIL")</x:f>
        <x:v>PASS</x:v>
      </x:c>
    </x:row>
    <x:row r="1330">
      <x:c r="B1330" s="21" t="str">
        <x:v>A01324</x:v>
      </x:c>
      <x:c r="C1330" s="21" t="str">
        <x:v>stage</x:v>
      </x:c>
      <x:c r="D1330" s="21" t="str">
        <x:v>stage 314 planned conservation</x:v>
      </x:c>
      <x:c r="E1330" s="21" t="n">
        <x:f>IF(ABS('Stage Ledger'!J320-MIN('Stage Ledger'!F320,'Stage Ledger'!H320,'Stage Ledger'!I320))&lt;0.000001,1,0)</x:f>
        <x:v>1</x:v>
      </x:c>
      <x:c r="F1330" s="21" t="n">
        <x:v>1</x:v>
      </x:c>
      <x:c r="G1330" s="23" t="str">
        <x:f>IF(E1330=F1330,"PASS","FAIL")</x:f>
        <x:v>PASS</x:v>
      </x:c>
    </x:row>
    <x:row r="1331">
      <x:c r="B1331" s="21" t="str">
        <x:v>A01325</x:v>
      </x:c>
      <x:c r="C1331" s="21" t="str">
        <x:v>stage</x:v>
      </x:c>
      <x:c r="D1331" s="21" t="str">
        <x:v>stage 314 observed conservation</x:v>
      </x:c>
      <x:c r="E1331" s="21" t="n">
        <x:f>IF(AND(ABS('Stage Ledger'!R320-IF(AND('Stage Ledger'!P320=1,'Stage Ledger'!Q320=1),MIN('Stage Ledger'!F320,'Stage Ledger'!M320,'Stage Ledger'!R319),0))&lt;0.000001,'Stage Ledger'!S320=IF('Stage Ledger'!R320&gt;='Stage Ledger'!F320,"ADMITTED","NOT ADMITTED")),1,0)</x:f>
        <x:v>1</x:v>
      </x:c>
      <x:c r="F1331" s="21" t="n">
        <x:v>1</x:v>
      </x:c>
      <x:c r="G1331" s="23" t="str">
        <x:f>IF(E1331=F1331,"PASS","FAIL")</x:f>
        <x:v>PASS</x:v>
      </x:c>
    </x:row>
    <x:row r="1332">
      <x:c r="B1332" s="21" t="str">
        <x:v>A01326</x:v>
      </x:c>
      <x:c r="C1332" s="21" t="str">
        <x:v>stage</x:v>
      </x:c>
      <x:c r="D1332" s="21" t="str">
        <x:v>stage 315 planned conservation</x:v>
      </x:c>
      <x:c r="E1332" s="21" t="n">
        <x:f>IF(ABS('Stage Ledger'!J321-MIN('Stage Ledger'!F321,'Stage Ledger'!H321,'Stage Ledger'!I321))&lt;0.000001,1,0)</x:f>
        <x:v>1</x:v>
      </x:c>
      <x:c r="F1332" s="21" t="n">
        <x:v>1</x:v>
      </x:c>
      <x:c r="G1332" s="23" t="str">
        <x:f>IF(E1332=F1332,"PASS","FAIL")</x:f>
        <x:v>PASS</x:v>
      </x:c>
    </x:row>
    <x:row r="1333">
      <x:c r="B1333" s="21" t="str">
        <x:v>A01327</x:v>
      </x:c>
      <x:c r="C1333" s="21" t="str">
        <x:v>stage</x:v>
      </x:c>
      <x:c r="D1333" s="21" t="str">
        <x:v>stage 315 observed conservation</x:v>
      </x:c>
      <x:c r="E1333" s="21" t="n">
        <x:f>IF(AND(ABS('Stage Ledger'!R321-IF(AND('Stage Ledger'!P321=1,'Stage Ledger'!Q321=1),MIN('Stage Ledger'!F321,'Stage Ledger'!M321,'Stage Ledger'!R320),0))&lt;0.000001,'Stage Ledger'!S321=IF('Stage Ledger'!R321&gt;='Stage Ledger'!F321,"ADMITTED","NOT ADMITTED")),1,0)</x:f>
        <x:v>1</x:v>
      </x:c>
      <x:c r="F1333" s="21" t="n">
        <x:v>1</x:v>
      </x:c>
      <x:c r="G1333" s="23" t="str">
        <x:f>IF(E1333=F1333,"PASS","FAIL")</x:f>
        <x:v>PASS</x:v>
      </x:c>
    </x:row>
    <x:row r="1334">
      <x:c r="B1334" s="21" t="str">
        <x:v>A01328</x:v>
      </x:c>
      <x:c r="C1334" s="21" t="str">
        <x:v>stage</x:v>
      </x:c>
      <x:c r="D1334" s="21" t="str">
        <x:v>stage 316 planned conservation</x:v>
      </x:c>
      <x:c r="E1334" s="21" t="n">
        <x:f>IF(ABS('Stage Ledger'!J322-MIN('Stage Ledger'!F322,'Stage Ledger'!H322,'Stage Ledger'!I322))&lt;0.000001,1,0)</x:f>
        <x:v>1</x:v>
      </x:c>
      <x:c r="F1334" s="21" t="n">
        <x:v>1</x:v>
      </x:c>
      <x:c r="G1334" s="23" t="str">
        <x:f>IF(E1334=F1334,"PASS","FAIL")</x:f>
        <x:v>PASS</x:v>
      </x:c>
    </x:row>
    <x:row r="1335">
      <x:c r="B1335" s="21" t="str">
        <x:v>A01329</x:v>
      </x:c>
      <x:c r="C1335" s="21" t="str">
        <x:v>stage</x:v>
      </x:c>
      <x:c r="D1335" s="21" t="str">
        <x:v>stage 316 observed conservation</x:v>
      </x:c>
      <x:c r="E1335" s="21" t="n">
        <x:f>IF(AND(ABS('Stage Ledger'!R322-IF(AND('Stage Ledger'!P322=1,'Stage Ledger'!Q322=1),MIN('Stage Ledger'!F322,'Stage Ledger'!M322,'Stage Ledger'!R321),0))&lt;0.000001,'Stage Ledger'!S322=IF('Stage Ledger'!R322&gt;='Stage Ledger'!F322,"ADMITTED","NOT ADMITTED")),1,0)</x:f>
        <x:v>1</x:v>
      </x:c>
      <x:c r="F1335" s="21" t="n">
        <x:v>1</x:v>
      </x:c>
      <x:c r="G1335" s="23" t="str">
        <x:f>IF(E1335=F1335,"PASS","FAIL")</x:f>
        <x:v>PASS</x:v>
      </x:c>
    </x:row>
    <x:row r="1336">
      <x:c r="B1336" s="21" t="str">
        <x:v>A01330</x:v>
      </x:c>
      <x:c r="C1336" s="21" t="str">
        <x:v>stage</x:v>
      </x:c>
      <x:c r="D1336" s="21" t="str">
        <x:v>stage 317 planned conservation</x:v>
      </x:c>
      <x:c r="E1336" s="21" t="n">
        <x:f>IF(ABS('Stage Ledger'!J323-MIN('Stage Ledger'!F323,'Stage Ledger'!H323,'Stage Ledger'!I323))&lt;0.000001,1,0)</x:f>
        <x:v>1</x:v>
      </x:c>
      <x:c r="F1336" s="21" t="n">
        <x:v>1</x:v>
      </x:c>
      <x:c r="G1336" s="23" t="str">
        <x:f>IF(E1336=F1336,"PASS","FAIL")</x:f>
        <x:v>PASS</x:v>
      </x:c>
    </x:row>
    <x:row r="1337">
      <x:c r="B1337" s="21" t="str">
        <x:v>A01331</x:v>
      </x:c>
      <x:c r="C1337" s="21" t="str">
        <x:v>stage</x:v>
      </x:c>
      <x:c r="D1337" s="21" t="str">
        <x:v>stage 317 observed conservation</x:v>
      </x:c>
      <x:c r="E1337" s="21" t="n">
        <x:f>IF(AND(ABS('Stage Ledger'!R323-IF(AND('Stage Ledger'!P323=1,'Stage Ledger'!Q323=1),MIN('Stage Ledger'!F323,'Stage Ledger'!M323,'Stage Ledger'!R322),0))&lt;0.000001,'Stage Ledger'!S323=IF('Stage Ledger'!R323&gt;='Stage Ledger'!F323,"ADMITTED","NOT ADMITTED")),1,0)</x:f>
        <x:v>1</x:v>
      </x:c>
      <x:c r="F1337" s="21" t="n">
        <x:v>1</x:v>
      </x:c>
      <x:c r="G1337" s="23" t="str">
        <x:f>IF(E1337=F1337,"PASS","FAIL")</x:f>
        <x:v>PASS</x:v>
      </x:c>
    </x:row>
    <x:row r="1338">
      <x:c r="B1338" s="21" t="str">
        <x:v>A01332</x:v>
      </x:c>
      <x:c r="C1338" s="21" t="str">
        <x:v>stage</x:v>
      </x:c>
      <x:c r="D1338" s="21" t="str">
        <x:v>stage 318 planned conservation</x:v>
      </x:c>
      <x:c r="E1338" s="21" t="n">
        <x:f>IF(ABS('Stage Ledger'!J324-MIN('Stage Ledger'!F324,'Stage Ledger'!H324,'Stage Ledger'!I324))&lt;0.000001,1,0)</x:f>
        <x:v>1</x:v>
      </x:c>
      <x:c r="F1338" s="21" t="n">
        <x:v>1</x:v>
      </x:c>
      <x:c r="G1338" s="23" t="str">
        <x:f>IF(E1338=F1338,"PASS","FAIL")</x:f>
        <x:v>PASS</x:v>
      </x:c>
    </x:row>
    <x:row r="1339">
      <x:c r="B1339" s="21" t="str">
        <x:v>A01333</x:v>
      </x:c>
      <x:c r="C1339" s="21" t="str">
        <x:v>stage</x:v>
      </x:c>
      <x:c r="D1339" s="21" t="str">
        <x:v>stage 318 observed conservation</x:v>
      </x:c>
      <x:c r="E1339" s="21" t="n">
        <x:f>IF(AND(ABS('Stage Ledger'!R324-IF(AND('Stage Ledger'!P324=1,'Stage Ledger'!Q324=1),MIN('Stage Ledger'!F324,'Stage Ledger'!M324,'Stage Ledger'!R323),0))&lt;0.000001,'Stage Ledger'!S324=IF('Stage Ledger'!R324&gt;='Stage Ledger'!F324,"ADMITTED","NOT ADMITTED")),1,0)</x:f>
        <x:v>1</x:v>
      </x:c>
      <x:c r="F1339" s="21" t="n">
        <x:v>1</x:v>
      </x:c>
      <x:c r="G1339" s="23" t="str">
        <x:f>IF(E1339=F1339,"PASS","FAIL")</x:f>
        <x:v>PASS</x:v>
      </x:c>
    </x:row>
    <x:row r="1340">
      <x:c r="B1340" s="21" t="str">
        <x:v>A01334</x:v>
      </x:c>
      <x:c r="C1340" s="21" t="str">
        <x:v>stage</x:v>
      </x:c>
      <x:c r="D1340" s="21" t="str">
        <x:v>stage 319 planned conservation</x:v>
      </x:c>
      <x:c r="E1340" s="21" t="n">
        <x:f>IF(ABS('Stage Ledger'!J325-MIN('Stage Ledger'!F325,'Stage Ledger'!H325,'Stage Ledger'!I325))&lt;0.000001,1,0)</x:f>
        <x:v>1</x:v>
      </x:c>
      <x:c r="F1340" s="21" t="n">
        <x:v>1</x:v>
      </x:c>
      <x:c r="G1340" s="23" t="str">
        <x:f>IF(E1340=F1340,"PASS","FAIL")</x:f>
        <x:v>PASS</x:v>
      </x:c>
    </x:row>
    <x:row r="1341">
      <x:c r="B1341" s="21" t="str">
        <x:v>A01335</x:v>
      </x:c>
      <x:c r="C1341" s="21" t="str">
        <x:v>stage</x:v>
      </x:c>
      <x:c r="D1341" s="21" t="str">
        <x:v>stage 319 observed conservation</x:v>
      </x:c>
      <x:c r="E1341" s="21" t="n">
        <x:f>IF(AND(ABS('Stage Ledger'!R325-IF(AND('Stage Ledger'!P325=1,'Stage Ledger'!Q325=1),MIN('Stage Ledger'!F325,'Stage Ledger'!M325,'Stage Ledger'!R324),0))&lt;0.000001,'Stage Ledger'!S325=IF('Stage Ledger'!R325&gt;='Stage Ledger'!F325,"ADMITTED","NOT ADMITTED")),1,0)</x:f>
        <x:v>1</x:v>
      </x:c>
      <x:c r="F1341" s="21" t="n">
        <x:v>1</x:v>
      </x:c>
      <x:c r="G1341" s="23" t="str">
        <x:f>IF(E1341=F1341,"PASS","FAIL")</x:f>
        <x:v>PASS</x:v>
      </x:c>
    </x:row>
    <x:row r="1342">
      <x:c r="B1342" s="21" t="str">
        <x:v>A01336</x:v>
      </x:c>
      <x:c r="C1342" s="21" t="str">
        <x:v>stage</x:v>
      </x:c>
      <x:c r="D1342" s="21" t="str">
        <x:v>stage 320 planned conservation</x:v>
      </x:c>
      <x:c r="E1342" s="21" t="n">
        <x:f>IF(ABS('Stage Ledger'!J326-MIN('Stage Ledger'!F326,'Stage Ledger'!H326,'Stage Ledger'!I326))&lt;0.000001,1,0)</x:f>
        <x:v>1</x:v>
      </x:c>
      <x:c r="F1342" s="21" t="n">
        <x:v>1</x:v>
      </x:c>
      <x:c r="G1342" s="23" t="str">
        <x:f>IF(E1342=F1342,"PASS","FAIL")</x:f>
        <x:v>PASS</x:v>
      </x:c>
    </x:row>
    <x:row r="1343">
      <x:c r="B1343" s="21" t="str">
        <x:v>A01337</x:v>
      </x:c>
      <x:c r="C1343" s="21" t="str">
        <x:v>stage</x:v>
      </x:c>
      <x:c r="D1343" s="21" t="str">
        <x:v>stage 320 observed conservation</x:v>
      </x:c>
      <x:c r="E1343" s="21" t="n">
        <x:f>IF(AND(ABS('Stage Ledger'!R326-IF(AND('Stage Ledger'!P326=1,'Stage Ledger'!Q326=1),MIN('Stage Ledger'!F326,'Stage Ledger'!M326,'Stage Ledger'!R325),0))&lt;0.000001,'Stage Ledger'!S326=IF('Stage Ledger'!R326&gt;='Stage Ledger'!F326,"ADMITTED","NOT ADMITTED")),1,0)</x:f>
        <x:v>1</x:v>
      </x:c>
      <x:c r="F1343" s="21" t="n">
        <x:v>1</x:v>
      </x:c>
      <x:c r="G1343" s="23" t="str">
        <x:f>IF(E1343=F1343,"PASS","FAIL")</x:f>
        <x:v>PASS</x:v>
      </x:c>
    </x:row>
    <x:row r="1344">
      <x:c r="B1344" s="21" t="str">
        <x:v>A01338</x:v>
      </x:c>
      <x:c r="C1344" s="21" t="str">
        <x:v>stage</x:v>
      </x:c>
      <x:c r="D1344" s="21" t="str">
        <x:v>stage 321 planned conservation</x:v>
      </x:c>
      <x:c r="E1344" s="21" t="n">
        <x:f>IF(ABS('Stage Ledger'!J327-MIN('Stage Ledger'!F327,'Stage Ledger'!H327,'Stage Ledger'!I327))&lt;0.000001,1,0)</x:f>
        <x:v>1</x:v>
      </x:c>
      <x:c r="F1344" s="21" t="n">
        <x:v>1</x:v>
      </x:c>
      <x:c r="G1344" s="23" t="str">
        <x:f>IF(E1344=F1344,"PASS","FAIL")</x:f>
        <x:v>PASS</x:v>
      </x:c>
    </x:row>
    <x:row r="1345">
      <x:c r="B1345" s="21" t="str">
        <x:v>A01339</x:v>
      </x:c>
      <x:c r="C1345" s="21" t="str">
        <x:v>stage</x:v>
      </x:c>
      <x:c r="D1345" s="21" t="str">
        <x:v>stage 321 observed conservation</x:v>
      </x:c>
      <x:c r="E1345" s="21" t="n">
        <x:f>IF(AND(ABS('Stage Ledger'!R327-IF(AND('Stage Ledger'!P327=1,'Stage Ledger'!Q327=1),MIN('Stage Ledger'!F327,'Stage Ledger'!M327,'Stage Ledger'!R326),0))&lt;0.000001,'Stage Ledger'!S327=IF('Stage Ledger'!R327&gt;='Stage Ledger'!F327,"ADMITTED","NOT ADMITTED")),1,0)</x:f>
        <x:v>1</x:v>
      </x:c>
      <x:c r="F1345" s="21" t="n">
        <x:v>1</x:v>
      </x:c>
      <x:c r="G1345" s="23" t="str">
        <x:f>IF(E1345=F1345,"PASS","FAIL")</x:f>
        <x:v>PASS</x:v>
      </x:c>
    </x:row>
    <x:row r="1346">
      <x:c r="B1346" s="21" t="str">
        <x:v>A01340</x:v>
      </x:c>
      <x:c r="C1346" s="21" t="str">
        <x:v>stage</x:v>
      </x:c>
      <x:c r="D1346" s="21" t="str">
        <x:v>stage 322 planned conservation</x:v>
      </x:c>
      <x:c r="E1346" s="21" t="n">
        <x:f>IF(ABS('Stage Ledger'!J328-MIN('Stage Ledger'!F328,'Stage Ledger'!H328,'Stage Ledger'!I328))&lt;0.000001,1,0)</x:f>
        <x:v>1</x:v>
      </x:c>
      <x:c r="F1346" s="21" t="n">
        <x:v>1</x:v>
      </x:c>
      <x:c r="G1346" s="23" t="str">
        <x:f>IF(E1346=F1346,"PASS","FAIL")</x:f>
        <x:v>PASS</x:v>
      </x:c>
    </x:row>
    <x:row r="1347">
      <x:c r="B1347" s="21" t="str">
        <x:v>A01341</x:v>
      </x:c>
      <x:c r="C1347" s="21" t="str">
        <x:v>stage</x:v>
      </x:c>
      <x:c r="D1347" s="21" t="str">
        <x:v>stage 322 observed conservation</x:v>
      </x:c>
      <x:c r="E1347" s="21" t="n">
        <x:f>IF(AND(ABS('Stage Ledger'!R328-IF(AND('Stage Ledger'!P328=1,'Stage Ledger'!Q328=1),MIN('Stage Ledger'!F328,'Stage Ledger'!M328,'Stage Ledger'!R327),0))&lt;0.000001,'Stage Ledger'!S328=IF('Stage Ledger'!R328&gt;='Stage Ledger'!F328,"ADMITTED","NOT ADMITTED")),1,0)</x:f>
        <x:v>1</x:v>
      </x:c>
      <x:c r="F1347" s="21" t="n">
        <x:v>1</x:v>
      </x:c>
      <x:c r="G1347" s="23" t="str">
        <x:f>IF(E1347=F1347,"PASS","FAIL")</x:f>
        <x:v>PASS</x:v>
      </x:c>
    </x:row>
    <x:row r="1348">
      <x:c r="B1348" s="21" t="str">
        <x:v>A01342</x:v>
      </x:c>
      <x:c r="C1348" s="21" t="str">
        <x:v>stage</x:v>
      </x:c>
      <x:c r="D1348" s="21" t="str">
        <x:v>stage 323 planned conservation</x:v>
      </x:c>
      <x:c r="E1348" s="21" t="n">
        <x:f>IF(ABS('Stage Ledger'!J329-MIN('Stage Ledger'!F329,'Stage Ledger'!H329,'Stage Ledger'!I329))&lt;0.000001,1,0)</x:f>
        <x:v>1</x:v>
      </x:c>
      <x:c r="F1348" s="21" t="n">
        <x:v>1</x:v>
      </x:c>
      <x:c r="G1348" s="23" t="str">
        <x:f>IF(E1348=F1348,"PASS","FAIL")</x:f>
        <x:v>PASS</x:v>
      </x:c>
    </x:row>
    <x:row r="1349">
      <x:c r="B1349" s="21" t="str">
        <x:v>A01343</x:v>
      </x:c>
      <x:c r="C1349" s="21" t="str">
        <x:v>stage</x:v>
      </x:c>
      <x:c r="D1349" s="21" t="str">
        <x:v>stage 323 observed conservation</x:v>
      </x:c>
      <x:c r="E1349" s="21" t="n">
        <x:f>IF(AND(ABS('Stage Ledger'!R329-IF(AND('Stage Ledger'!P329=1,'Stage Ledger'!Q329=1),MIN('Stage Ledger'!F329,'Stage Ledger'!M329,'Stage Ledger'!R328),0))&lt;0.000001,'Stage Ledger'!S329=IF('Stage Ledger'!R329&gt;='Stage Ledger'!F329,"ADMITTED","NOT ADMITTED")),1,0)</x:f>
        <x:v>1</x:v>
      </x:c>
      <x:c r="F1349" s="21" t="n">
        <x:v>1</x:v>
      </x:c>
      <x:c r="G1349" s="23" t="str">
        <x:f>IF(E1349=F1349,"PASS","FAIL")</x:f>
        <x:v>PASS</x:v>
      </x:c>
    </x:row>
    <x:row r="1350">
      <x:c r="B1350" s="21" t="str">
        <x:v>A01344</x:v>
      </x:c>
      <x:c r="C1350" s="21" t="str">
        <x:v>stage</x:v>
      </x:c>
      <x:c r="D1350" s="21" t="str">
        <x:v>stage 324 planned conservation</x:v>
      </x:c>
      <x:c r="E1350" s="21" t="n">
        <x:f>IF(ABS('Stage Ledger'!J330-MIN('Stage Ledger'!F330,'Stage Ledger'!H330,'Stage Ledger'!I330))&lt;0.000001,1,0)</x:f>
        <x:v>1</x:v>
      </x:c>
      <x:c r="F1350" s="21" t="n">
        <x:v>1</x:v>
      </x:c>
      <x:c r="G1350" s="23" t="str">
        <x:f>IF(E1350=F1350,"PASS","FAIL")</x:f>
        <x:v>PASS</x:v>
      </x:c>
    </x:row>
    <x:row r="1351">
      <x:c r="B1351" s="21" t="str">
        <x:v>A01345</x:v>
      </x:c>
      <x:c r="C1351" s="21" t="str">
        <x:v>stage</x:v>
      </x:c>
      <x:c r="D1351" s="21" t="str">
        <x:v>stage 324 observed conservation</x:v>
      </x:c>
      <x:c r="E1351" s="21" t="n">
        <x:f>IF(AND(ABS('Stage Ledger'!R330-IF(AND('Stage Ledger'!P330=1,'Stage Ledger'!Q330=1),MIN('Stage Ledger'!F330,'Stage Ledger'!M330,'Stage Ledger'!R329),0))&lt;0.000001,'Stage Ledger'!S330=IF('Stage Ledger'!R330&gt;='Stage Ledger'!F330,"ADMITTED","NOT ADMITTED")),1,0)</x:f>
        <x:v>1</x:v>
      </x:c>
      <x:c r="F1351" s="21" t="n">
        <x:v>1</x:v>
      </x:c>
      <x:c r="G1351" s="23" t="str">
        <x:f>IF(E1351=F1351,"PASS","FAIL")</x:f>
        <x:v>PASS</x:v>
      </x:c>
    </x:row>
    <x:row r="1352">
      <x:c r="B1352" s="21" t="str">
        <x:v>A01346</x:v>
      </x:c>
      <x:c r="C1352" s="21" t="str">
        <x:v>stage</x:v>
      </x:c>
      <x:c r="D1352" s="21" t="str">
        <x:v>stage 325 planned conservation</x:v>
      </x:c>
      <x:c r="E1352" s="21" t="n">
        <x:f>IF(ABS('Stage Ledger'!J331-MIN('Stage Ledger'!F331,'Stage Ledger'!H331,'Stage Ledger'!I331))&lt;0.000001,1,0)</x:f>
        <x:v>1</x:v>
      </x:c>
      <x:c r="F1352" s="21" t="n">
        <x:v>1</x:v>
      </x:c>
      <x:c r="G1352" s="23" t="str">
        <x:f>IF(E1352=F1352,"PASS","FAIL")</x:f>
        <x:v>PASS</x:v>
      </x:c>
    </x:row>
    <x:row r="1353">
      <x:c r="B1353" s="21" t="str">
        <x:v>A01347</x:v>
      </x:c>
      <x:c r="C1353" s="21" t="str">
        <x:v>stage</x:v>
      </x:c>
      <x:c r="D1353" s="21" t="str">
        <x:v>stage 325 observed conservation</x:v>
      </x:c>
      <x:c r="E1353" s="21" t="n">
        <x:f>IF(AND(ABS('Stage Ledger'!R331-IF(AND('Stage Ledger'!P331=1,'Stage Ledger'!Q331=1),MIN('Stage Ledger'!F331,'Stage Ledger'!M331),0))&lt;0.000001,'Stage Ledger'!S331=IF('Stage Ledger'!R331&gt;='Stage Ledger'!F331,"ADMITTED","NOT ADMITTED")),1,0)</x:f>
        <x:v>1</x:v>
      </x:c>
      <x:c r="F1353" s="21" t="n">
        <x:v>1</x:v>
      </x:c>
      <x:c r="G1353" s="23" t="str">
        <x:f>IF(E1353=F1353,"PASS","FAIL")</x:f>
        <x:v>PASS</x:v>
      </x:c>
    </x:row>
    <x:row r="1354">
      <x:c r="B1354" s="21" t="str">
        <x:v>A01348</x:v>
      </x:c>
      <x:c r="C1354" s="21" t="str">
        <x:v>stage</x:v>
      </x:c>
      <x:c r="D1354" s="21" t="str">
        <x:v>stage 326 planned conservation</x:v>
      </x:c>
      <x:c r="E1354" s="21" t="n">
        <x:f>IF(ABS('Stage Ledger'!J332-MIN('Stage Ledger'!F332,'Stage Ledger'!H332,'Stage Ledger'!I332))&lt;0.000001,1,0)</x:f>
        <x:v>1</x:v>
      </x:c>
      <x:c r="F1354" s="21" t="n">
        <x:v>1</x:v>
      </x:c>
      <x:c r="G1354" s="23" t="str">
        <x:f>IF(E1354=F1354,"PASS","FAIL")</x:f>
        <x:v>PASS</x:v>
      </x:c>
    </x:row>
    <x:row r="1355">
      <x:c r="B1355" s="21" t="str">
        <x:v>A01349</x:v>
      </x:c>
      <x:c r="C1355" s="21" t="str">
        <x:v>stage</x:v>
      </x:c>
      <x:c r="D1355" s="21" t="str">
        <x:v>stage 326 observed conservation</x:v>
      </x:c>
      <x:c r="E1355" s="21" t="n">
        <x:f>IF(AND(ABS('Stage Ledger'!R332-IF(AND('Stage Ledger'!P332=1,'Stage Ledger'!Q332=1),MIN('Stage Ledger'!F332,'Stage Ledger'!M332,'Stage Ledger'!R331),0))&lt;0.000001,'Stage Ledger'!S332=IF('Stage Ledger'!R332&gt;='Stage Ledger'!F332,"ADMITTED","NOT ADMITTED")),1,0)</x:f>
        <x:v>1</x:v>
      </x:c>
      <x:c r="F1355" s="21" t="n">
        <x:v>1</x:v>
      </x:c>
      <x:c r="G1355" s="23" t="str">
        <x:f>IF(E1355=F1355,"PASS","FAIL")</x:f>
        <x:v>PASS</x:v>
      </x:c>
    </x:row>
    <x:row r="1356">
      <x:c r="B1356" s="21" t="str">
        <x:v>A01350</x:v>
      </x:c>
      <x:c r="C1356" s="21" t="str">
        <x:v>stage</x:v>
      </x:c>
      <x:c r="D1356" s="21" t="str">
        <x:v>stage 327 planned conservation</x:v>
      </x:c>
      <x:c r="E1356" s="21" t="n">
        <x:f>IF(ABS('Stage Ledger'!J333-MIN('Stage Ledger'!F333,'Stage Ledger'!H333,'Stage Ledger'!I333))&lt;0.000001,1,0)</x:f>
        <x:v>1</x:v>
      </x:c>
      <x:c r="F1356" s="21" t="n">
        <x:v>1</x:v>
      </x:c>
      <x:c r="G1356" s="23" t="str">
        <x:f>IF(E1356=F1356,"PASS","FAIL")</x:f>
        <x:v>PASS</x:v>
      </x:c>
    </x:row>
    <x:row r="1357">
      <x:c r="B1357" s="21" t="str">
        <x:v>A01351</x:v>
      </x:c>
      <x:c r="C1357" s="21" t="str">
        <x:v>stage</x:v>
      </x:c>
      <x:c r="D1357" s="21" t="str">
        <x:v>stage 327 observed conservation</x:v>
      </x:c>
      <x:c r="E1357" s="21" t="n">
        <x:f>IF(AND(ABS('Stage Ledger'!R333-IF(AND('Stage Ledger'!P333=1,'Stage Ledger'!Q333=1),MIN('Stage Ledger'!F333,'Stage Ledger'!M333,'Stage Ledger'!R332),0))&lt;0.000001,'Stage Ledger'!S333=IF('Stage Ledger'!R333&gt;='Stage Ledger'!F333,"ADMITTED","NOT ADMITTED")),1,0)</x:f>
        <x:v>1</x:v>
      </x:c>
      <x:c r="F1357" s="21" t="n">
        <x:v>1</x:v>
      </x:c>
      <x:c r="G1357" s="23" t="str">
        <x:f>IF(E1357=F1357,"PASS","FAIL")</x:f>
        <x:v>PASS</x:v>
      </x:c>
    </x:row>
    <x:row r="1358">
      <x:c r="B1358" s="21" t="str">
        <x:v>A01352</x:v>
      </x:c>
      <x:c r="C1358" s="21" t="str">
        <x:v>stage</x:v>
      </x:c>
      <x:c r="D1358" s="21" t="str">
        <x:v>stage 328 planned conservation</x:v>
      </x:c>
      <x:c r="E1358" s="21" t="n">
        <x:f>IF(ABS('Stage Ledger'!J334-MIN('Stage Ledger'!F334,'Stage Ledger'!H334,'Stage Ledger'!I334))&lt;0.000001,1,0)</x:f>
        <x:v>1</x:v>
      </x:c>
      <x:c r="F1358" s="21" t="n">
        <x:v>1</x:v>
      </x:c>
      <x:c r="G1358" s="23" t="str">
        <x:f>IF(E1358=F1358,"PASS","FAIL")</x:f>
        <x:v>PASS</x:v>
      </x:c>
    </x:row>
    <x:row r="1359">
      <x:c r="B1359" s="21" t="str">
        <x:v>A01353</x:v>
      </x:c>
      <x:c r="C1359" s="21" t="str">
        <x:v>stage</x:v>
      </x:c>
      <x:c r="D1359" s="21" t="str">
        <x:v>stage 328 observed conservation</x:v>
      </x:c>
      <x:c r="E1359" s="21" t="n">
        <x:f>IF(AND(ABS('Stage Ledger'!R334-IF(AND('Stage Ledger'!P334=1,'Stage Ledger'!Q334=1),MIN('Stage Ledger'!F334,'Stage Ledger'!M334,'Stage Ledger'!R333),0))&lt;0.000001,'Stage Ledger'!S334=IF('Stage Ledger'!R334&gt;='Stage Ledger'!F334,"ADMITTED","NOT ADMITTED")),1,0)</x:f>
        <x:v>1</x:v>
      </x:c>
      <x:c r="F1359" s="21" t="n">
        <x:v>1</x:v>
      </x:c>
      <x:c r="G1359" s="23" t="str">
        <x:f>IF(E1359=F1359,"PASS","FAIL")</x:f>
        <x:v>PASS</x:v>
      </x:c>
    </x:row>
    <x:row r="1360">
      <x:c r="B1360" s="21" t="str">
        <x:v>A01354</x:v>
      </x:c>
      <x:c r="C1360" s="21" t="str">
        <x:v>stage</x:v>
      </x:c>
      <x:c r="D1360" s="21" t="str">
        <x:v>stage 329 planned conservation</x:v>
      </x:c>
      <x:c r="E1360" s="21" t="n">
        <x:f>IF(ABS('Stage Ledger'!J335-MIN('Stage Ledger'!F335,'Stage Ledger'!H335,'Stage Ledger'!I335))&lt;0.000001,1,0)</x:f>
        <x:v>1</x:v>
      </x:c>
      <x:c r="F1360" s="21" t="n">
        <x:v>1</x:v>
      </x:c>
      <x:c r="G1360" s="23" t="str">
        <x:f>IF(E1360=F1360,"PASS","FAIL")</x:f>
        <x:v>PASS</x:v>
      </x:c>
    </x:row>
    <x:row r="1361">
      <x:c r="B1361" s="21" t="str">
        <x:v>A01355</x:v>
      </x:c>
      <x:c r="C1361" s="21" t="str">
        <x:v>stage</x:v>
      </x:c>
      <x:c r="D1361" s="21" t="str">
        <x:v>stage 329 observed conservation</x:v>
      </x:c>
      <x:c r="E1361" s="21" t="n">
        <x:f>IF(AND(ABS('Stage Ledger'!R335-IF(AND('Stage Ledger'!P335=1,'Stage Ledger'!Q335=1),MIN('Stage Ledger'!F335,'Stage Ledger'!M335,'Stage Ledger'!R334),0))&lt;0.000001,'Stage Ledger'!S335=IF('Stage Ledger'!R335&gt;='Stage Ledger'!F335,"ADMITTED","NOT ADMITTED")),1,0)</x:f>
        <x:v>1</x:v>
      </x:c>
      <x:c r="F1361" s="21" t="n">
        <x:v>1</x:v>
      </x:c>
      <x:c r="G1361" s="23" t="str">
        <x:f>IF(E1361=F1361,"PASS","FAIL")</x:f>
        <x:v>PASS</x:v>
      </x:c>
    </x:row>
    <x:row r="1362">
      <x:c r="B1362" s="21" t="str">
        <x:v>A01356</x:v>
      </x:c>
      <x:c r="C1362" s="21" t="str">
        <x:v>stage</x:v>
      </x:c>
      <x:c r="D1362" s="21" t="str">
        <x:v>stage 330 planned conservation</x:v>
      </x:c>
      <x:c r="E1362" s="21" t="n">
        <x:f>IF(ABS('Stage Ledger'!J336-MIN('Stage Ledger'!F336,'Stage Ledger'!H336,'Stage Ledger'!I336))&lt;0.000001,1,0)</x:f>
        <x:v>1</x:v>
      </x:c>
      <x:c r="F1362" s="21" t="n">
        <x:v>1</x:v>
      </x:c>
      <x:c r="G1362" s="23" t="str">
        <x:f>IF(E1362=F1362,"PASS","FAIL")</x:f>
        <x:v>PASS</x:v>
      </x:c>
    </x:row>
    <x:row r="1363">
      <x:c r="B1363" s="21" t="str">
        <x:v>A01357</x:v>
      </x:c>
      <x:c r="C1363" s="21" t="str">
        <x:v>stage</x:v>
      </x:c>
      <x:c r="D1363" s="21" t="str">
        <x:v>stage 330 observed conservation</x:v>
      </x:c>
      <x:c r="E1363" s="21" t="n">
        <x:f>IF(AND(ABS('Stage Ledger'!R336-IF(AND('Stage Ledger'!P336=1,'Stage Ledger'!Q336=1),MIN('Stage Ledger'!F336,'Stage Ledger'!M336,'Stage Ledger'!R335),0))&lt;0.000001,'Stage Ledger'!S336=IF('Stage Ledger'!R336&gt;='Stage Ledger'!F336,"ADMITTED","NOT ADMITTED")),1,0)</x:f>
        <x:v>1</x:v>
      </x:c>
      <x:c r="F1363" s="21" t="n">
        <x:v>1</x:v>
      </x:c>
      <x:c r="G1363" s="23" t="str">
        <x:f>IF(E1363=F1363,"PASS","FAIL")</x:f>
        <x:v>PASS</x:v>
      </x:c>
    </x:row>
    <x:row r="1364">
      <x:c r="B1364" s="21" t="str">
        <x:v>A01358</x:v>
      </x:c>
      <x:c r="C1364" s="21" t="str">
        <x:v>stage</x:v>
      </x:c>
      <x:c r="D1364" s="21" t="str">
        <x:v>stage 331 planned conservation</x:v>
      </x:c>
      <x:c r="E1364" s="21" t="n">
        <x:f>IF(ABS('Stage Ledger'!J337-MIN('Stage Ledger'!F337,'Stage Ledger'!H337,'Stage Ledger'!I337))&lt;0.000001,1,0)</x:f>
        <x:v>1</x:v>
      </x:c>
      <x:c r="F1364" s="21" t="n">
        <x:v>1</x:v>
      </x:c>
      <x:c r="G1364" s="23" t="str">
        <x:f>IF(E1364=F1364,"PASS","FAIL")</x:f>
        <x:v>PASS</x:v>
      </x:c>
    </x:row>
    <x:row r="1365">
      <x:c r="B1365" s="21" t="str">
        <x:v>A01359</x:v>
      </x:c>
      <x:c r="C1365" s="21" t="str">
        <x:v>stage</x:v>
      </x:c>
      <x:c r="D1365" s="21" t="str">
        <x:v>stage 331 observed conservation</x:v>
      </x:c>
      <x:c r="E1365" s="21" t="n">
        <x:f>IF(AND(ABS('Stage Ledger'!R337-IF(AND('Stage Ledger'!P337=1,'Stage Ledger'!Q337=1),MIN('Stage Ledger'!F337,'Stage Ledger'!M337,'Stage Ledger'!R336),0))&lt;0.000001,'Stage Ledger'!S337=IF('Stage Ledger'!R337&gt;='Stage Ledger'!F337,"ADMITTED","NOT ADMITTED")),1,0)</x:f>
        <x:v>1</x:v>
      </x:c>
      <x:c r="F1365" s="21" t="n">
        <x:v>1</x:v>
      </x:c>
      <x:c r="G1365" s="23" t="str">
        <x:f>IF(E1365=F1365,"PASS","FAIL")</x:f>
        <x:v>PASS</x:v>
      </x:c>
    </x:row>
    <x:row r="1366">
      <x:c r="B1366" s="21" t="str">
        <x:v>A01360</x:v>
      </x:c>
      <x:c r="C1366" s="21" t="str">
        <x:v>stage</x:v>
      </x:c>
      <x:c r="D1366" s="21" t="str">
        <x:v>stage 332 planned conservation</x:v>
      </x:c>
      <x:c r="E1366" s="21" t="n">
        <x:f>IF(ABS('Stage Ledger'!J338-MIN('Stage Ledger'!F338,'Stage Ledger'!H338,'Stage Ledger'!I338))&lt;0.000001,1,0)</x:f>
        <x:v>1</x:v>
      </x:c>
      <x:c r="F1366" s="21" t="n">
        <x:v>1</x:v>
      </x:c>
      <x:c r="G1366" s="23" t="str">
        <x:f>IF(E1366=F1366,"PASS","FAIL")</x:f>
        <x:v>PASS</x:v>
      </x:c>
    </x:row>
    <x:row r="1367">
      <x:c r="B1367" s="21" t="str">
        <x:v>A01361</x:v>
      </x:c>
      <x:c r="C1367" s="21" t="str">
        <x:v>stage</x:v>
      </x:c>
      <x:c r="D1367" s="21" t="str">
        <x:v>stage 332 observed conservation</x:v>
      </x:c>
      <x:c r="E1367" s="21" t="n">
        <x:f>IF(AND(ABS('Stage Ledger'!R338-IF(AND('Stage Ledger'!P338=1,'Stage Ledger'!Q338=1),MIN('Stage Ledger'!F338,'Stage Ledger'!M338,'Stage Ledger'!R337),0))&lt;0.000001,'Stage Ledger'!S338=IF('Stage Ledger'!R338&gt;='Stage Ledger'!F338,"ADMITTED","NOT ADMITTED")),1,0)</x:f>
        <x:v>1</x:v>
      </x:c>
      <x:c r="F1367" s="21" t="n">
        <x:v>1</x:v>
      </x:c>
      <x:c r="G1367" s="23" t="str">
        <x:f>IF(E1367=F1367,"PASS","FAIL")</x:f>
        <x:v>PASS</x:v>
      </x:c>
    </x:row>
    <x:row r="1368">
      <x:c r="B1368" s="21" t="str">
        <x:v>A01362</x:v>
      </x:c>
      <x:c r="C1368" s="21" t="str">
        <x:v>stage</x:v>
      </x:c>
      <x:c r="D1368" s="21" t="str">
        <x:v>stage 333 planned conservation</x:v>
      </x:c>
      <x:c r="E1368" s="21" t="n">
        <x:f>IF(ABS('Stage Ledger'!J339-MIN('Stage Ledger'!F339,'Stage Ledger'!H339,'Stage Ledger'!I339))&lt;0.000001,1,0)</x:f>
        <x:v>1</x:v>
      </x:c>
      <x:c r="F1368" s="21" t="n">
        <x:v>1</x:v>
      </x:c>
      <x:c r="G1368" s="23" t="str">
        <x:f>IF(E1368=F1368,"PASS","FAIL")</x:f>
        <x:v>PASS</x:v>
      </x:c>
    </x:row>
    <x:row r="1369">
      <x:c r="B1369" s="21" t="str">
        <x:v>A01363</x:v>
      </x:c>
      <x:c r="C1369" s="21" t="str">
        <x:v>stage</x:v>
      </x:c>
      <x:c r="D1369" s="21" t="str">
        <x:v>stage 333 observed conservation</x:v>
      </x:c>
      <x:c r="E1369" s="21" t="n">
        <x:f>IF(AND(ABS('Stage Ledger'!R339-IF(AND('Stage Ledger'!P339=1,'Stage Ledger'!Q339=1),MIN('Stage Ledger'!F339,'Stage Ledger'!M339,'Stage Ledger'!R338),0))&lt;0.000001,'Stage Ledger'!S339=IF('Stage Ledger'!R339&gt;='Stage Ledger'!F339,"ADMITTED","NOT ADMITTED")),1,0)</x:f>
        <x:v>1</x:v>
      </x:c>
      <x:c r="F1369" s="21" t="n">
        <x:v>1</x:v>
      </x:c>
      <x:c r="G1369" s="23" t="str">
        <x:f>IF(E1369=F1369,"PASS","FAIL")</x:f>
        <x:v>PASS</x:v>
      </x:c>
    </x:row>
    <x:row r="1370">
      <x:c r="B1370" s="21" t="str">
        <x:v>A01364</x:v>
      </x:c>
      <x:c r="C1370" s="21" t="str">
        <x:v>stage</x:v>
      </x:c>
      <x:c r="D1370" s="21" t="str">
        <x:v>stage 334 planned conservation</x:v>
      </x:c>
      <x:c r="E1370" s="21" t="n">
        <x:f>IF(ABS('Stage Ledger'!J340-MIN('Stage Ledger'!F340,'Stage Ledger'!H340,'Stage Ledger'!I340))&lt;0.000001,1,0)</x:f>
        <x:v>1</x:v>
      </x:c>
      <x:c r="F1370" s="21" t="n">
        <x:v>1</x:v>
      </x:c>
      <x:c r="G1370" s="23" t="str">
        <x:f>IF(E1370=F1370,"PASS","FAIL")</x:f>
        <x:v>PASS</x:v>
      </x:c>
    </x:row>
    <x:row r="1371">
      <x:c r="B1371" s="21" t="str">
        <x:v>A01365</x:v>
      </x:c>
      <x:c r="C1371" s="21" t="str">
        <x:v>stage</x:v>
      </x:c>
      <x:c r="D1371" s="21" t="str">
        <x:v>stage 334 observed conservation</x:v>
      </x:c>
      <x:c r="E1371" s="21" t="n">
        <x:f>IF(AND(ABS('Stage Ledger'!R340-IF(AND('Stage Ledger'!P340=1,'Stage Ledger'!Q340=1),MIN('Stage Ledger'!F340,'Stage Ledger'!M340,'Stage Ledger'!R339),0))&lt;0.000001,'Stage Ledger'!S340=IF('Stage Ledger'!R340&gt;='Stage Ledger'!F340,"ADMITTED","NOT ADMITTED")),1,0)</x:f>
        <x:v>1</x:v>
      </x:c>
      <x:c r="F1371" s="21" t="n">
        <x:v>1</x:v>
      </x:c>
      <x:c r="G1371" s="23" t="str">
        <x:f>IF(E1371=F1371,"PASS","FAIL")</x:f>
        <x:v>PASS</x:v>
      </x:c>
    </x:row>
    <x:row r="1372">
      <x:c r="B1372" s="21" t="str">
        <x:v>A01366</x:v>
      </x:c>
      <x:c r="C1372" s="21" t="str">
        <x:v>stage</x:v>
      </x:c>
      <x:c r="D1372" s="21" t="str">
        <x:v>stage 335 planned conservation</x:v>
      </x:c>
      <x:c r="E1372" s="21" t="n">
        <x:f>IF(ABS('Stage Ledger'!J341-MIN('Stage Ledger'!F341,'Stage Ledger'!H341,'Stage Ledger'!I341))&lt;0.000001,1,0)</x:f>
        <x:v>1</x:v>
      </x:c>
      <x:c r="F1372" s="21" t="n">
        <x:v>1</x:v>
      </x:c>
      <x:c r="G1372" s="23" t="str">
        <x:f>IF(E1372=F1372,"PASS","FAIL")</x:f>
        <x:v>PASS</x:v>
      </x:c>
    </x:row>
    <x:row r="1373">
      <x:c r="B1373" s="21" t="str">
        <x:v>A01367</x:v>
      </x:c>
      <x:c r="C1373" s="21" t="str">
        <x:v>stage</x:v>
      </x:c>
      <x:c r="D1373" s="21" t="str">
        <x:v>stage 335 observed conservation</x:v>
      </x:c>
      <x:c r="E1373" s="21" t="n">
        <x:f>IF(AND(ABS('Stage Ledger'!R341-IF(AND('Stage Ledger'!P341=1,'Stage Ledger'!Q341=1),MIN('Stage Ledger'!F341,'Stage Ledger'!M341,'Stage Ledger'!R340),0))&lt;0.000001,'Stage Ledger'!S341=IF('Stage Ledger'!R341&gt;='Stage Ledger'!F341,"ADMITTED","NOT ADMITTED")),1,0)</x:f>
        <x:v>1</x:v>
      </x:c>
      <x:c r="F1373" s="21" t="n">
        <x:v>1</x:v>
      </x:c>
      <x:c r="G1373" s="23" t="str">
        <x:f>IF(E1373=F1373,"PASS","FAIL")</x:f>
        <x:v>PASS</x:v>
      </x:c>
    </x:row>
    <x:row r="1374">
      <x:c r="B1374" s="21" t="str">
        <x:v>A01368</x:v>
      </x:c>
      <x:c r="C1374" s="21" t="str">
        <x:v>stage</x:v>
      </x:c>
      <x:c r="D1374" s="21" t="str">
        <x:v>stage 336 planned conservation</x:v>
      </x:c>
      <x:c r="E1374" s="21" t="n">
        <x:f>IF(ABS('Stage Ledger'!J342-MIN('Stage Ledger'!F342,'Stage Ledger'!H342,'Stage Ledger'!I342))&lt;0.000001,1,0)</x:f>
        <x:v>1</x:v>
      </x:c>
      <x:c r="F1374" s="21" t="n">
        <x:v>1</x:v>
      </x:c>
      <x:c r="G1374" s="23" t="str">
        <x:f>IF(E1374=F1374,"PASS","FAIL")</x:f>
        <x:v>PASS</x:v>
      </x:c>
    </x:row>
    <x:row r="1375">
      <x:c r="B1375" s="21" t="str">
        <x:v>A01369</x:v>
      </x:c>
      <x:c r="C1375" s="21" t="str">
        <x:v>stage</x:v>
      </x:c>
      <x:c r="D1375" s="21" t="str">
        <x:v>stage 336 observed conservation</x:v>
      </x:c>
      <x:c r="E1375" s="21" t="n">
        <x:f>IF(AND(ABS('Stage Ledger'!R342-IF(AND('Stage Ledger'!P342=1,'Stage Ledger'!Q342=1),MIN('Stage Ledger'!F342,'Stage Ledger'!M342,'Stage Ledger'!R341),0))&lt;0.000001,'Stage Ledger'!S342=IF('Stage Ledger'!R342&gt;='Stage Ledger'!F342,"ADMITTED","NOT ADMITTED")),1,0)</x:f>
        <x:v>1</x:v>
      </x:c>
      <x:c r="F1375" s="21" t="n">
        <x:v>1</x:v>
      </x:c>
      <x:c r="G1375" s="23" t="str">
        <x:f>IF(E1375=F1375,"PASS","FAIL")</x:f>
        <x:v>PASS</x:v>
      </x:c>
    </x:row>
    <x:row r="1376">
      <x:c r="B1376" s="21" t="str">
        <x:v>A01370</x:v>
      </x:c>
      <x:c r="C1376" s="21" t="str">
        <x:v>stage</x:v>
      </x:c>
      <x:c r="D1376" s="21" t="str">
        <x:v>stage 337 planned conservation</x:v>
      </x:c>
      <x:c r="E1376" s="21" t="n">
        <x:f>IF(ABS('Stage Ledger'!J343-MIN('Stage Ledger'!F343,'Stage Ledger'!H343,'Stage Ledger'!I343))&lt;0.000001,1,0)</x:f>
        <x:v>1</x:v>
      </x:c>
      <x:c r="F1376" s="21" t="n">
        <x:v>1</x:v>
      </x:c>
      <x:c r="G1376" s="23" t="str">
        <x:f>IF(E1376=F1376,"PASS","FAIL")</x:f>
        <x:v>PASS</x:v>
      </x:c>
    </x:row>
    <x:row r="1377">
      <x:c r="B1377" s="21" t="str">
        <x:v>A01371</x:v>
      </x:c>
      <x:c r="C1377" s="21" t="str">
        <x:v>stage</x:v>
      </x:c>
      <x:c r="D1377" s="21" t="str">
        <x:v>stage 337 observed conservation</x:v>
      </x:c>
      <x:c r="E1377" s="21" t="n">
        <x:f>IF(AND(ABS('Stage Ledger'!R343-IF(AND('Stage Ledger'!P343=1,'Stage Ledger'!Q343=1),MIN('Stage Ledger'!F343,'Stage Ledger'!M343),0))&lt;0.000001,'Stage Ledger'!S343=IF('Stage Ledger'!R343&gt;='Stage Ledger'!F343,"ADMITTED","NOT ADMITTED")),1,0)</x:f>
        <x:v>1</x:v>
      </x:c>
      <x:c r="F1377" s="21" t="n">
        <x:v>1</x:v>
      </x:c>
      <x:c r="G1377" s="23" t="str">
        <x:f>IF(E1377=F1377,"PASS","FAIL")</x:f>
        <x:v>PASS</x:v>
      </x:c>
    </x:row>
    <x:row r="1378">
      <x:c r="B1378" s="21" t="str">
        <x:v>A01372</x:v>
      </x:c>
      <x:c r="C1378" s="21" t="str">
        <x:v>stage</x:v>
      </x:c>
      <x:c r="D1378" s="21" t="str">
        <x:v>stage 338 planned conservation</x:v>
      </x:c>
      <x:c r="E1378" s="21" t="n">
        <x:f>IF(ABS('Stage Ledger'!J344-MIN('Stage Ledger'!F344,'Stage Ledger'!H344,'Stage Ledger'!I344))&lt;0.000001,1,0)</x:f>
        <x:v>1</x:v>
      </x:c>
      <x:c r="F1378" s="21" t="n">
        <x:v>1</x:v>
      </x:c>
      <x:c r="G1378" s="23" t="str">
        <x:f>IF(E1378=F1378,"PASS","FAIL")</x:f>
        <x:v>PASS</x:v>
      </x:c>
    </x:row>
    <x:row r="1379">
      <x:c r="B1379" s="21" t="str">
        <x:v>A01373</x:v>
      </x:c>
      <x:c r="C1379" s="21" t="str">
        <x:v>stage</x:v>
      </x:c>
      <x:c r="D1379" s="21" t="str">
        <x:v>stage 338 observed conservation</x:v>
      </x:c>
      <x:c r="E1379" s="21" t="n">
        <x:f>IF(AND(ABS('Stage Ledger'!R344-IF(AND('Stage Ledger'!P344=1,'Stage Ledger'!Q344=1),MIN('Stage Ledger'!F344,'Stage Ledger'!M344,'Stage Ledger'!R343),0))&lt;0.000001,'Stage Ledger'!S344=IF('Stage Ledger'!R344&gt;='Stage Ledger'!F344,"ADMITTED","NOT ADMITTED")),1,0)</x:f>
        <x:v>1</x:v>
      </x:c>
      <x:c r="F1379" s="21" t="n">
        <x:v>1</x:v>
      </x:c>
      <x:c r="G1379" s="23" t="str">
        <x:f>IF(E1379=F1379,"PASS","FAIL")</x:f>
        <x:v>PASS</x:v>
      </x:c>
    </x:row>
    <x:row r="1380">
      <x:c r="B1380" s="21" t="str">
        <x:v>A01374</x:v>
      </x:c>
      <x:c r="C1380" s="21" t="str">
        <x:v>stage</x:v>
      </x:c>
      <x:c r="D1380" s="21" t="str">
        <x:v>stage 339 planned conservation</x:v>
      </x:c>
      <x:c r="E1380" s="21" t="n">
        <x:f>IF(ABS('Stage Ledger'!J345-MIN('Stage Ledger'!F345,'Stage Ledger'!H345,'Stage Ledger'!I345))&lt;0.000001,1,0)</x:f>
        <x:v>1</x:v>
      </x:c>
      <x:c r="F1380" s="21" t="n">
        <x:v>1</x:v>
      </x:c>
      <x:c r="G1380" s="23" t="str">
        <x:f>IF(E1380=F1380,"PASS","FAIL")</x:f>
        <x:v>PASS</x:v>
      </x:c>
    </x:row>
    <x:row r="1381">
      <x:c r="B1381" s="21" t="str">
        <x:v>A01375</x:v>
      </x:c>
      <x:c r="C1381" s="21" t="str">
        <x:v>stage</x:v>
      </x:c>
      <x:c r="D1381" s="21" t="str">
        <x:v>stage 339 observed conservation</x:v>
      </x:c>
      <x:c r="E1381" s="21" t="n">
        <x:f>IF(AND(ABS('Stage Ledger'!R345-IF(AND('Stage Ledger'!P345=1,'Stage Ledger'!Q345=1),MIN('Stage Ledger'!F345,'Stage Ledger'!M345,'Stage Ledger'!R344),0))&lt;0.000001,'Stage Ledger'!S345=IF('Stage Ledger'!R345&gt;='Stage Ledger'!F345,"ADMITTED","NOT ADMITTED")),1,0)</x:f>
        <x:v>1</x:v>
      </x:c>
      <x:c r="F1381" s="21" t="n">
        <x:v>1</x:v>
      </x:c>
      <x:c r="G1381" s="23" t="str">
        <x:f>IF(E1381=F1381,"PASS","FAIL")</x:f>
        <x:v>PASS</x:v>
      </x:c>
    </x:row>
    <x:row r="1382">
      <x:c r="B1382" s="21" t="str">
        <x:v>A01376</x:v>
      </x:c>
      <x:c r="C1382" s="21" t="str">
        <x:v>stage</x:v>
      </x:c>
      <x:c r="D1382" s="21" t="str">
        <x:v>stage 340 planned conservation</x:v>
      </x:c>
      <x:c r="E1382" s="21" t="n">
        <x:f>IF(ABS('Stage Ledger'!J346-MIN('Stage Ledger'!F346,'Stage Ledger'!H346,'Stage Ledger'!I346))&lt;0.000001,1,0)</x:f>
        <x:v>1</x:v>
      </x:c>
      <x:c r="F1382" s="21" t="n">
        <x:v>1</x:v>
      </x:c>
      <x:c r="G1382" s="23" t="str">
        <x:f>IF(E1382=F1382,"PASS","FAIL")</x:f>
        <x:v>PASS</x:v>
      </x:c>
    </x:row>
    <x:row r="1383">
      <x:c r="B1383" s="21" t="str">
        <x:v>A01377</x:v>
      </x:c>
      <x:c r="C1383" s="21" t="str">
        <x:v>stage</x:v>
      </x:c>
      <x:c r="D1383" s="21" t="str">
        <x:v>stage 340 observed conservation</x:v>
      </x:c>
      <x:c r="E1383" s="21" t="n">
        <x:f>IF(AND(ABS('Stage Ledger'!R346-IF(AND('Stage Ledger'!P346=1,'Stage Ledger'!Q346=1),MIN('Stage Ledger'!F346,'Stage Ledger'!M346,'Stage Ledger'!R345),0))&lt;0.000001,'Stage Ledger'!S346=IF('Stage Ledger'!R346&gt;='Stage Ledger'!F346,"ADMITTED","NOT ADMITTED")),1,0)</x:f>
        <x:v>1</x:v>
      </x:c>
      <x:c r="F1383" s="21" t="n">
        <x:v>1</x:v>
      </x:c>
      <x:c r="G1383" s="23" t="str">
        <x:f>IF(E1383=F1383,"PASS","FAIL")</x:f>
        <x:v>PASS</x:v>
      </x:c>
    </x:row>
    <x:row r="1384">
      <x:c r="B1384" s="21" t="str">
        <x:v>A01378</x:v>
      </x:c>
      <x:c r="C1384" s="21" t="str">
        <x:v>stage</x:v>
      </x:c>
      <x:c r="D1384" s="21" t="str">
        <x:v>stage 341 planned conservation</x:v>
      </x:c>
      <x:c r="E1384" s="21" t="n">
        <x:f>IF(ABS('Stage Ledger'!J347-MIN('Stage Ledger'!F347,'Stage Ledger'!H347,'Stage Ledger'!I347))&lt;0.000001,1,0)</x:f>
        <x:v>1</x:v>
      </x:c>
      <x:c r="F1384" s="21" t="n">
        <x:v>1</x:v>
      </x:c>
      <x:c r="G1384" s="23" t="str">
        <x:f>IF(E1384=F1384,"PASS","FAIL")</x:f>
        <x:v>PASS</x:v>
      </x:c>
    </x:row>
    <x:row r="1385">
      <x:c r="B1385" s="21" t="str">
        <x:v>A01379</x:v>
      </x:c>
      <x:c r="C1385" s="21" t="str">
        <x:v>stage</x:v>
      </x:c>
      <x:c r="D1385" s="21" t="str">
        <x:v>stage 341 observed conservation</x:v>
      </x:c>
      <x:c r="E1385" s="21" t="n">
        <x:f>IF(AND(ABS('Stage Ledger'!R347-IF(AND('Stage Ledger'!P347=1,'Stage Ledger'!Q347=1),MIN('Stage Ledger'!F347,'Stage Ledger'!M347,'Stage Ledger'!R346),0))&lt;0.000001,'Stage Ledger'!S347=IF('Stage Ledger'!R347&gt;='Stage Ledger'!F347,"ADMITTED","NOT ADMITTED")),1,0)</x:f>
        <x:v>1</x:v>
      </x:c>
      <x:c r="F1385" s="21" t="n">
        <x:v>1</x:v>
      </x:c>
      <x:c r="G1385" s="23" t="str">
        <x:f>IF(E1385=F1385,"PASS","FAIL")</x:f>
        <x:v>PASS</x:v>
      </x:c>
    </x:row>
    <x:row r="1386">
      <x:c r="B1386" s="21" t="str">
        <x:v>A01380</x:v>
      </x:c>
      <x:c r="C1386" s="21" t="str">
        <x:v>stage</x:v>
      </x:c>
      <x:c r="D1386" s="21" t="str">
        <x:v>stage 342 planned conservation</x:v>
      </x:c>
      <x:c r="E1386" s="21" t="n">
        <x:f>IF(ABS('Stage Ledger'!J348-MIN('Stage Ledger'!F348,'Stage Ledger'!H348,'Stage Ledger'!I348))&lt;0.000001,1,0)</x:f>
        <x:v>1</x:v>
      </x:c>
      <x:c r="F1386" s="21" t="n">
        <x:v>1</x:v>
      </x:c>
      <x:c r="G1386" s="23" t="str">
        <x:f>IF(E1386=F1386,"PASS","FAIL")</x:f>
        <x:v>PASS</x:v>
      </x:c>
    </x:row>
    <x:row r="1387">
      <x:c r="B1387" s="21" t="str">
        <x:v>A01381</x:v>
      </x:c>
      <x:c r="C1387" s="21" t="str">
        <x:v>stage</x:v>
      </x:c>
      <x:c r="D1387" s="21" t="str">
        <x:v>stage 342 observed conservation</x:v>
      </x:c>
      <x:c r="E1387" s="21" t="n">
        <x:f>IF(AND(ABS('Stage Ledger'!R348-IF(AND('Stage Ledger'!P348=1,'Stage Ledger'!Q348=1),MIN('Stage Ledger'!F348,'Stage Ledger'!M348,'Stage Ledger'!R347),0))&lt;0.000001,'Stage Ledger'!S348=IF('Stage Ledger'!R348&gt;='Stage Ledger'!F348,"ADMITTED","NOT ADMITTED")),1,0)</x:f>
        <x:v>1</x:v>
      </x:c>
      <x:c r="F1387" s="21" t="n">
        <x:v>1</x:v>
      </x:c>
      <x:c r="G1387" s="23" t="str">
        <x:f>IF(E1387=F1387,"PASS","FAIL")</x:f>
        <x:v>PASS</x:v>
      </x:c>
    </x:row>
    <x:row r="1388">
      <x:c r="B1388" s="21" t="str">
        <x:v>A01382</x:v>
      </x:c>
      <x:c r="C1388" s="21" t="str">
        <x:v>stage</x:v>
      </x:c>
      <x:c r="D1388" s="21" t="str">
        <x:v>stage 343 planned conservation</x:v>
      </x:c>
      <x:c r="E1388" s="21" t="n">
        <x:f>IF(ABS('Stage Ledger'!J349-MIN('Stage Ledger'!F349,'Stage Ledger'!H349,'Stage Ledger'!I349))&lt;0.000001,1,0)</x:f>
        <x:v>1</x:v>
      </x:c>
      <x:c r="F1388" s="21" t="n">
        <x:v>1</x:v>
      </x:c>
      <x:c r="G1388" s="23" t="str">
        <x:f>IF(E1388=F1388,"PASS","FAIL")</x:f>
        <x:v>PASS</x:v>
      </x:c>
    </x:row>
    <x:row r="1389">
      <x:c r="B1389" s="21" t="str">
        <x:v>A01383</x:v>
      </x:c>
      <x:c r="C1389" s="21" t="str">
        <x:v>stage</x:v>
      </x:c>
      <x:c r="D1389" s="21" t="str">
        <x:v>stage 343 observed conservation</x:v>
      </x:c>
      <x:c r="E1389" s="21" t="n">
        <x:f>IF(AND(ABS('Stage Ledger'!R349-IF(AND('Stage Ledger'!P349=1,'Stage Ledger'!Q349=1),MIN('Stage Ledger'!F349,'Stage Ledger'!M349,'Stage Ledger'!R348),0))&lt;0.000001,'Stage Ledger'!S349=IF('Stage Ledger'!R349&gt;='Stage Ledger'!F349,"ADMITTED","NOT ADMITTED")),1,0)</x:f>
        <x:v>1</x:v>
      </x:c>
      <x:c r="F1389" s="21" t="n">
        <x:v>1</x:v>
      </x:c>
      <x:c r="G1389" s="23" t="str">
        <x:f>IF(E1389=F1389,"PASS","FAIL")</x:f>
        <x:v>PASS</x:v>
      </x:c>
    </x:row>
    <x:row r="1390">
      <x:c r="B1390" s="21" t="str">
        <x:v>A01384</x:v>
      </x:c>
      <x:c r="C1390" s="21" t="str">
        <x:v>stage</x:v>
      </x:c>
      <x:c r="D1390" s="21" t="str">
        <x:v>stage 344 planned conservation</x:v>
      </x:c>
      <x:c r="E1390" s="21" t="n">
        <x:f>IF(ABS('Stage Ledger'!J350-MIN('Stage Ledger'!F350,'Stage Ledger'!H350,'Stage Ledger'!I350))&lt;0.000001,1,0)</x:f>
        <x:v>1</x:v>
      </x:c>
      <x:c r="F1390" s="21" t="n">
        <x:v>1</x:v>
      </x:c>
      <x:c r="G1390" s="23" t="str">
        <x:f>IF(E1390=F1390,"PASS","FAIL")</x:f>
        <x:v>PASS</x:v>
      </x:c>
    </x:row>
    <x:row r="1391">
      <x:c r="B1391" s="21" t="str">
        <x:v>A01385</x:v>
      </x:c>
      <x:c r="C1391" s="21" t="str">
        <x:v>stage</x:v>
      </x:c>
      <x:c r="D1391" s="21" t="str">
        <x:v>stage 344 observed conservation</x:v>
      </x:c>
      <x:c r="E1391" s="21" t="n">
        <x:f>IF(AND(ABS('Stage Ledger'!R350-IF(AND('Stage Ledger'!P350=1,'Stage Ledger'!Q350=1),MIN('Stage Ledger'!F350,'Stage Ledger'!M350,'Stage Ledger'!R349),0))&lt;0.000001,'Stage Ledger'!S350=IF('Stage Ledger'!R350&gt;='Stage Ledger'!F350,"ADMITTED","NOT ADMITTED")),1,0)</x:f>
        <x:v>1</x:v>
      </x:c>
      <x:c r="F1391" s="21" t="n">
        <x:v>1</x:v>
      </x:c>
      <x:c r="G1391" s="23" t="str">
        <x:f>IF(E1391=F1391,"PASS","FAIL")</x:f>
        <x:v>PASS</x:v>
      </x:c>
    </x:row>
    <x:row r="1392">
      <x:c r="B1392" s="21" t="str">
        <x:v>A01386</x:v>
      </x:c>
      <x:c r="C1392" s="21" t="str">
        <x:v>stage</x:v>
      </x:c>
      <x:c r="D1392" s="21" t="str">
        <x:v>stage 345 planned conservation</x:v>
      </x:c>
      <x:c r="E1392" s="21" t="n">
        <x:f>IF(ABS('Stage Ledger'!J351-MIN('Stage Ledger'!F351,'Stage Ledger'!H351,'Stage Ledger'!I351))&lt;0.000001,1,0)</x:f>
        <x:v>1</x:v>
      </x:c>
      <x:c r="F1392" s="21" t="n">
        <x:v>1</x:v>
      </x:c>
      <x:c r="G1392" s="23" t="str">
        <x:f>IF(E1392=F1392,"PASS","FAIL")</x:f>
        <x:v>PASS</x:v>
      </x:c>
    </x:row>
    <x:row r="1393">
      <x:c r="B1393" s="21" t="str">
        <x:v>A01387</x:v>
      </x:c>
      <x:c r="C1393" s="21" t="str">
        <x:v>stage</x:v>
      </x:c>
      <x:c r="D1393" s="21" t="str">
        <x:v>stage 345 observed conservation</x:v>
      </x:c>
      <x:c r="E1393" s="21" t="n">
        <x:f>IF(AND(ABS('Stage Ledger'!R351-IF(AND('Stage Ledger'!P351=1,'Stage Ledger'!Q351=1),MIN('Stage Ledger'!F351,'Stage Ledger'!M351,'Stage Ledger'!R350),0))&lt;0.000001,'Stage Ledger'!S351=IF('Stage Ledger'!R351&gt;='Stage Ledger'!F351,"ADMITTED","NOT ADMITTED")),1,0)</x:f>
        <x:v>1</x:v>
      </x:c>
      <x:c r="F1393" s="21" t="n">
        <x:v>1</x:v>
      </x:c>
      <x:c r="G1393" s="23" t="str">
        <x:f>IF(E1393=F1393,"PASS","FAIL")</x:f>
        <x:v>PASS</x:v>
      </x:c>
    </x:row>
    <x:row r="1394">
      <x:c r="B1394" s="21" t="str">
        <x:v>A01388</x:v>
      </x:c>
      <x:c r="C1394" s="21" t="str">
        <x:v>stage</x:v>
      </x:c>
      <x:c r="D1394" s="21" t="str">
        <x:v>stage 346 planned conservation</x:v>
      </x:c>
      <x:c r="E1394" s="21" t="n">
        <x:f>IF(ABS('Stage Ledger'!J352-MIN('Stage Ledger'!F352,'Stage Ledger'!H352,'Stage Ledger'!I352))&lt;0.000001,1,0)</x:f>
        <x:v>1</x:v>
      </x:c>
      <x:c r="F1394" s="21" t="n">
        <x:v>1</x:v>
      </x:c>
      <x:c r="G1394" s="23" t="str">
        <x:f>IF(E1394=F1394,"PASS","FAIL")</x:f>
        <x:v>PASS</x:v>
      </x:c>
    </x:row>
    <x:row r="1395">
      <x:c r="B1395" s="21" t="str">
        <x:v>A01389</x:v>
      </x:c>
      <x:c r="C1395" s="21" t="str">
        <x:v>stage</x:v>
      </x:c>
      <x:c r="D1395" s="21" t="str">
        <x:v>stage 346 observed conservation</x:v>
      </x:c>
      <x:c r="E1395" s="21" t="n">
        <x:f>IF(AND(ABS('Stage Ledger'!R352-IF(AND('Stage Ledger'!P352=1,'Stage Ledger'!Q352=1),MIN('Stage Ledger'!F352,'Stage Ledger'!M352,'Stage Ledger'!R351),0))&lt;0.000001,'Stage Ledger'!S352=IF('Stage Ledger'!R352&gt;='Stage Ledger'!F352,"ADMITTED","NOT ADMITTED")),1,0)</x:f>
        <x:v>1</x:v>
      </x:c>
      <x:c r="F1395" s="21" t="n">
        <x:v>1</x:v>
      </x:c>
      <x:c r="G1395" s="23" t="str">
        <x:f>IF(E1395=F1395,"PASS","FAIL")</x:f>
        <x:v>PASS</x:v>
      </x:c>
    </x:row>
    <x:row r="1396">
      <x:c r="B1396" s="21" t="str">
        <x:v>A01390</x:v>
      </x:c>
      <x:c r="C1396" s="21" t="str">
        <x:v>stage</x:v>
      </x:c>
      <x:c r="D1396" s="21" t="str">
        <x:v>stage 347 planned conservation</x:v>
      </x:c>
      <x:c r="E1396" s="21" t="n">
        <x:f>IF(ABS('Stage Ledger'!J353-MIN('Stage Ledger'!F353,'Stage Ledger'!H353,'Stage Ledger'!I353))&lt;0.000001,1,0)</x:f>
        <x:v>1</x:v>
      </x:c>
      <x:c r="F1396" s="21" t="n">
        <x:v>1</x:v>
      </x:c>
      <x:c r="G1396" s="23" t="str">
        <x:f>IF(E1396=F1396,"PASS","FAIL")</x:f>
        <x:v>PASS</x:v>
      </x:c>
    </x:row>
    <x:row r="1397">
      <x:c r="B1397" s="21" t="str">
        <x:v>A01391</x:v>
      </x:c>
      <x:c r="C1397" s="21" t="str">
        <x:v>stage</x:v>
      </x:c>
      <x:c r="D1397" s="21" t="str">
        <x:v>stage 347 observed conservation</x:v>
      </x:c>
      <x:c r="E1397" s="21" t="n">
        <x:f>IF(AND(ABS('Stage Ledger'!R353-IF(AND('Stage Ledger'!P353=1,'Stage Ledger'!Q353=1),MIN('Stage Ledger'!F353,'Stage Ledger'!M353,'Stage Ledger'!R352),0))&lt;0.000001,'Stage Ledger'!S353=IF('Stage Ledger'!R353&gt;='Stage Ledger'!F353,"ADMITTED","NOT ADMITTED")),1,0)</x:f>
        <x:v>1</x:v>
      </x:c>
      <x:c r="F1397" s="21" t="n">
        <x:v>1</x:v>
      </x:c>
      <x:c r="G1397" s="23" t="str">
        <x:f>IF(E1397=F1397,"PASS","FAIL")</x:f>
        <x:v>PASS</x:v>
      </x:c>
    </x:row>
    <x:row r="1398">
      <x:c r="B1398" s="21" t="str">
        <x:v>A01392</x:v>
      </x:c>
      <x:c r="C1398" s="21" t="str">
        <x:v>stage</x:v>
      </x:c>
      <x:c r="D1398" s="21" t="str">
        <x:v>stage 348 planned conservation</x:v>
      </x:c>
      <x:c r="E1398" s="21" t="n">
        <x:f>IF(ABS('Stage Ledger'!J354-MIN('Stage Ledger'!F354,'Stage Ledger'!H354,'Stage Ledger'!I354))&lt;0.000001,1,0)</x:f>
        <x:v>1</x:v>
      </x:c>
      <x:c r="F1398" s="21" t="n">
        <x:v>1</x:v>
      </x:c>
      <x:c r="G1398" s="23" t="str">
        <x:f>IF(E1398=F1398,"PASS","FAIL")</x:f>
        <x:v>PASS</x:v>
      </x:c>
    </x:row>
    <x:row r="1399">
      <x:c r="B1399" s="21" t="str">
        <x:v>A01393</x:v>
      </x:c>
      <x:c r="C1399" s="21" t="str">
        <x:v>stage</x:v>
      </x:c>
      <x:c r="D1399" s="21" t="str">
        <x:v>stage 348 observed conservation</x:v>
      </x:c>
      <x:c r="E1399" s="21" t="n">
        <x:f>IF(AND(ABS('Stage Ledger'!R354-IF(AND('Stage Ledger'!P354=1,'Stage Ledger'!Q354=1),MIN('Stage Ledger'!F354,'Stage Ledger'!M354,'Stage Ledger'!R353),0))&lt;0.000001,'Stage Ledger'!S354=IF('Stage Ledger'!R354&gt;='Stage Ledger'!F354,"ADMITTED","NOT ADMITTED")),1,0)</x:f>
        <x:v>1</x:v>
      </x:c>
      <x:c r="F1399" s="21" t="n">
        <x:v>1</x:v>
      </x:c>
      <x:c r="G1399" s="23" t="str">
        <x:f>IF(E1399=F1399,"PASS","FAIL")</x:f>
        <x:v>PASS</x:v>
      </x:c>
    </x:row>
    <x:row r="1400">
      <x:c r="B1400" s="21" t="str">
        <x:v>A01394</x:v>
      </x:c>
      <x:c r="C1400" s="21" t="str">
        <x:v>stage</x:v>
      </x:c>
      <x:c r="D1400" s="21" t="str">
        <x:v>stage 349 planned conservation</x:v>
      </x:c>
      <x:c r="E1400" s="21" t="n">
        <x:f>IF(ABS('Stage Ledger'!J355-MIN('Stage Ledger'!F355,'Stage Ledger'!H355,'Stage Ledger'!I355))&lt;0.000001,1,0)</x:f>
        <x:v>1</x:v>
      </x:c>
      <x:c r="F1400" s="21" t="n">
        <x:v>1</x:v>
      </x:c>
      <x:c r="G1400" s="23" t="str">
        <x:f>IF(E1400=F1400,"PASS","FAIL")</x:f>
        <x:v>PASS</x:v>
      </x:c>
    </x:row>
    <x:row r="1401">
      <x:c r="B1401" s="21" t="str">
        <x:v>A01395</x:v>
      </x:c>
      <x:c r="C1401" s="21" t="str">
        <x:v>stage</x:v>
      </x:c>
      <x:c r="D1401" s="21" t="str">
        <x:v>stage 349 observed conservation</x:v>
      </x:c>
      <x:c r="E1401" s="21" t="n">
        <x:f>IF(AND(ABS('Stage Ledger'!R355-IF(AND('Stage Ledger'!P355=1,'Stage Ledger'!Q355=1),MIN('Stage Ledger'!F355,'Stage Ledger'!M355),0))&lt;0.000001,'Stage Ledger'!S355=IF('Stage Ledger'!R355&gt;='Stage Ledger'!F355,"ADMITTED","NOT ADMITTED")),1,0)</x:f>
        <x:v>1</x:v>
      </x:c>
      <x:c r="F1401" s="21" t="n">
        <x:v>1</x:v>
      </x:c>
      <x:c r="G1401" s="23" t="str">
        <x:f>IF(E1401=F1401,"PASS","FAIL")</x:f>
        <x:v>PASS</x:v>
      </x:c>
    </x:row>
    <x:row r="1402">
      <x:c r="B1402" s="21" t="str">
        <x:v>A01396</x:v>
      </x:c>
      <x:c r="C1402" s="21" t="str">
        <x:v>stage</x:v>
      </x:c>
      <x:c r="D1402" s="21" t="str">
        <x:v>stage 350 planned conservation</x:v>
      </x:c>
      <x:c r="E1402" s="21" t="n">
        <x:f>IF(ABS('Stage Ledger'!J356-MIN('Stage Ledger'!F356,'Stage Ledger'!H356,'Stage Ledger'!I356))&lt;0.000001,1,0)</x:f>
        <x:v>1</x:v>
      </x:c>
      <x:c r="F1402" s="21" t="n">
        <x:v>1</x:v>
      </x:c>
      <x:c r="G1402" s="23" t="str">
        <x:f>IF(E1402=F1402,"PASS","FAIL")</x:f>
        <x:v>PASS</x:v>
      </x:c>
    </x:row>
    <x:row r="1403">
      <x:c r="B1403" s="21" t="str">
        <x:v>A01397</x:v>
      </x:c>
      <x:c r="C1403" s="21" t="str">
        <x:v>stage</x:v>
      </x:c>
      <x:c r="D1403" s="21" t="str">
        <x:v>stage 350 observed conservation</x:v>
      </x:c>
      <x:c r="E1403" s="21" t="n">
        <x:f>IF(AND(ABS('Stage Ledger'!R356-IF(AND('Stage Ledger'!P356=1,'Stage Ledger'!Q356=1),MIN('Stage Ledger'!F356,'Stage Ledger'!M356,'Stage Ledger'!R355),0))&lt;0.000001,'Stage Ledger'!S356=IF('Stage Ledger'!R356&gt;='Stage Ledger'!F356,"ADMITTED","NOT ADMITTED")),1,0)</x:f>
        <x:v>1</x:v>
      </x:c>
      <x:c r="F1403" s="21" t="n">
        <x:v>1</x:v>
      </x:c>
      <x:c r="G1403" s="23" t="str">
        <x:f>IF(E1403=F1403,"PASS","FAIL")</x:f>
        <x:v>PASS</x:v>
      </x:c>
    </x:row>
    <x:row r="1404">
      <x:c r="B1404" s="21" t="str">
        <x:v>A01398</x:v>
      </x:c>
      <x:c r="C1404" s="21" t="str">
        <x:v>stage</x:v>
      </x:c>
      <x:c r="D1404" s="21" t="str">
        <x:v>stage 351 planned conservation</x:v>
      </x:c>
      <x:c r="E1404" s="21" t="n">
        <x:f>IF(ABS('Stage Ledger'!J357-MIN('Stage Ledger'!F357,'Stage Ledger'!H357,'Stage Ledger'!I357))&lt;0.000001,1,0)</x:f>
        <x:v>1</x:v>
      </x:c>
      <x:c r="F1404" s="21" t="n">
        <x:v>1</x:v>
      </x:c>
      <x:c r="G1404" s="23" t="str">
        <x:f>IF(E1404=F1404,"PASS","FAIL")</x:f>
        <x:v>PASS</x:v>
      </x:c>
    </x:row>
    <x:row r="1405">
      <x:c r="B1405" s="21" t="str">
        <x:v>A01399</x:v>
      </x:c>
      <x:c r="C1405" s="21" t="str">
        <x:v>stage</x:v>
      </x:c>
      <x:c r="D1405" s="21" t="str">
        <x:v>stage 351 observed conservation</x:v>
      </x:c>
      <x:c r="E1405" s="21" t="n">
        <x:f>IF(AND(ABS('Stage Ledger'!R357-IF(AND('Stage Ledger'!P357=1,'Stage Ledger'!Q357=1),MIN('Stage Ledger'!F357,'Stage Ledger'!M357,'Stage Ledger'!R356),0))&lt;0.000001,'Stage Ledger'!S357=IF('Stage Ledger'!R357&gt;='Stage Ledger'!F357,"ADMITTED","NOT ADMITTED")),1,0)</x:f>
        <x:v>1</x:v>
      </x:c>
      <x:c r="F1405" s="21" t="n">
        <x:v>1</x:v>
      </x:c>
      <x:c r="G1405" s="23" t="str">
        <x:f>IF(E1405=F1405,"PASS","FAIL")</x:f>
        <x:v>PASS</x:v>
      </x:c>
    </x:row>
    <x:row r="1406">
      <x:c r="B1406" s="21" t="str">
        <x:v>A01400</x:v>
      </x:c>
      <x:c r="C1406" s="21" t="str">
        <x:v>stage</x:v>
      </x:c>
      <x:c r="D1406" s="21" t="str">
        <x:v>stage 352 planned conservation</x:v>
      </x:c>
      <x:c r="E1406" s="21" t="n">
        <x:f>IF(ABS('Stage Ledger'!J358-MIN('Stage Ledger'!F358,'Stage Ledger'!H358,'Stage Ledger'!I358))&lt;0.000001,1,0)</x:f>
        <x:v>1</x:v>
      </x:c>
      <x:c r="F1406" s="21" t="n">
        <x:v>1</x:v>
      </x:c>
      <x:c r="G1406" s="23" t="str">
        <x:f>IF(E1406=F1406,"PASS","FAIL")</x:f>
        <x:v>PASS</x:v>
      </x:c>
    </x:row>
    <x:row r="1407">
      <x:c r="B1407" s="21" t="str">
        <x:v>A01401</x:v>
      </x:c>
      <x:c r="C1407" s="21" t="str">
        <x:v>stage</x:v>
      </x:c>
      <x:c r="D1407" s="21" t="str">
        <x:v>stage 352 observed conservation</x:v>
      </x:c>
      <x:c r="E1407" s="21" t="n">
        <x:f>IF(AND(ABS('Stage Ledger'!R358-IF(AND('Stage Ledger'!P358=1,'Stage Ledger'!Q358=1),MIN('Stage Ledger'!F358,'Stage Ledger'!M358,'Stage Ledger'!R357),0))&lt;0.000001,'Stage Ledger'!S358=IF('Stage Ledger'!R358&gt;='Stage Ledger'!F358,"ADMITTED","NOT ADMITTED")),1,0)</x:f>
        <x:v>1</x:v>
      </x:c>
      <x:c r="F1407" s="21" t="n">
        <x:v>1</x:v>
      </x:c>
      <x:c r="G1407" s="23" t="str">
        <x:f>IF(E1407=F1407,"PASS","FAIL")</x:f>
        <x:v>PASS</x:v>
      </x:c>
    </x:row>
    <x:row r="1408">
      <x:c r="B1408" s="21" t="str">
        <x:v>A01402</x:v>
      </x:c>
      <x:c r="C1408" s="21" t="str">
        <x:v>stage</x:v>
      </x:c>
      <x:c r="D1408" s="21" t="str">
        <x:v>stage 353 planned conservation</x:v>
      </x:c>
      <x:c r="E1408" s="21" t="n">
        <x:f>IF(ABS('Stage Ledger'!J359-MIN('Stage Ledger'!F359,'Stage Ledger'!H359,'Stage Ledger'!I359))&lt;0.000001,1,0)</x:f>
        <x:v>1</x:v>
      </x:c>
      <x:c r="F1408" s="21" t="n">
        <x:v>1</x:v>
      </x:c>
      <x:c r="G1408" s="23" t="str">
        <x:f>IF(E1408=F1408,"PASS","FAIL")</x:f>
        <x:v>PASS</x:v>
      </x:c>
    </x:row>
    <x:row r="1409">
      <x:c r="B1409" s="21" t="str">
        <x:v>A01403</x:v>
      </x:c>
      <x:c r="C1409" s="21" t="str">
        <x:v>stage</x:v>
      </x:c>
      <x:c r="D1409" s="21" t="str">
        <x:v>stage 353 observed conservation</x:v>
      </x:c>
      <x:c r="E1409" s="21" t="n">
        <x:f>IF(AND(ABS('Stage Ledger'!R359-IF(AND('Stage Ledger'!P359=1,'Stage Ledger'!Q359=1),MIN('Stage Ledger'!F359,'Stage Ledger'!M359,'Stage Ledger'!R358),0))&lt;0.000001,'Stage Ledger'!S359=IF('Stage Ledger'!R359&gt;='Stage Ledger'!F359,"ADMITTED","NOT ADMITTED")),1,0)</x:f>
        <x:v>1</x:v>
      </x:c>
      <x:c r="F1409" s="21" t="n">
        <x:v>1</x:v>
      </x:c>
      <x:c r="G1409" s="23" t="str">
        <x:f>IF(E1409=F1409,"PASS","FAIL")</x:f>
        <x:v>PASS</x:v>
      </x:c>
    </x:row>
    <x:row r="1410">
      <x:c r="B1410" s="21" t="str">
        <x:v>A01404</x:v>
      </x:c>
      <x:c r="C1410" s="21" t="str">
        <x:v>stage</x:v>
      </x:c>
      <x:c r="D1410" s="21" t="str">
        <x:v>stage 354 planned conservation</x:v>
      </x:c>
      <x:c r="E1410" s="21" t="n">
        <x:f>IF(ABS('Stage Ledger'!J360-MIN('Stage Ledger'!F360,'Stage Ledger'!H360,'Stage Ledger'!I360))&lt;0.000001,1,0)</x:f>
        <x:v>1</x:v>
      </x:c>
      <x:c r="F1410" s="21" t="n">
        <x:v>1</x:v>
      </x:c>
      <x:c r="G1410" s="23" t="str">
        <x:f>IF(E1410=F1410,"PASS","FAIL")</x:f>
        <x:v>PASS</x:v>
      </x:c>
    </x:row>
    <x:row r="1411">
      <x:c r="B1411" s="21" t="str">
        <x:v>A01405</x:v>
      </x:c>
      <x:c r="C1411" s="21" t="str">
        <x:v>stage</x:v>
      </x:c>
      <x:c r="D1411" s="21" t="str">
        <x:v>stage 354 observed conservation</x:v>
      </x:c>
      <x:c r="E1411" s="21" t="n">
        <x:f>IF(AND(ABS('Stage Ledger'!R360-IF(AND('Stage Ledger'!P360=1,'Stage Ledger'!Q360=1),MIN('Stage Ledger'!F360,'Stage Ledger'!M360,'Stage Ledger'!R359),0))&lt;0.000001,'Stage Ledger'!S360=IF('Stage Ledger'!R360&gt;='Stage Ledger'!F360,"ADMITTED","NOT ADMITTED")),1,0)</x:f>
        <x:v>1</x:v>
      </x:c>
      <x:c r="F1411" s="21" t="n">
        <x:v>1</x:v>
      </x:c>
      <x:c r="G1411" s="23" t="str">
        <x:f>IF(E1411=F1411,"PASS","FAIL")</x:f>
        <x:v>PASS</x:v>
      </x:c>
    </x:row>
    <x:row r="1412">
      <x:c r="B1412" s="21" t="str">
        <x:v>A01406</x:v>
      </x:c>
      <x:c r="C1412" s="21" t="str">
        <x:v>stage</x:v>
      </x:c>
      <x:c r="D1412" s="21" t="str">
        <x:v>stage 355 planned conservation</x:v>
      </x:c>
      <x:c r="E1412" s="21" t="n">
        <x:f>IF(ABS('Stage Ledger'!J361-MIN('Stage Ledger'!F361,'Stage Ledger'!H361,'Stage Ledger'!I361))&lt;0.000001,1,0)</x:f>
        <x:v>1</x:v>
      </x:c>
      <x:c r="F1412" s="21" t="n">
        <x:v>1</x:v>
      </x:c>
      <x:c r="G1412" s="23" t="str">
        <x:f>IF(E1412=F1412,"PASS","FAIL")</x:f>
        <x:v>PASS</x:v>
      </x:c>
    </x:row>
    <x:row r="1413">
      <x:c r="B1413" s="21" t="str">
        <x:v>A01407</x:v>
      </x:c>
      <x:c r="C1413" s="21" t="str">
        <x:v>stage</x:v>
      </x:c>
      <x:c r="D1413" s="21" t="str">
        <x:v>stage 355 observed conservation</x:v>
      </x:c>
      <x:c r="E1413" s="21" t="n">
        <x:f>IF(AND(ABS('Stage Ledger'!R361-IF(AND('Stage Ledger'!P361=1,'Stage Ledger'!Q361=1),MIN('Stage Ledger'!F361,'Stage Ledger'!M361,'Stage Ledger'!R360),0))&lt;0.000001,'Stage Ledger'!S361=IF('Stage Ledger'!R361&gt;='Stage Ledger'!F361,"ADMITTED","NOT ADMITTED")),1,0)</x:f>
        <x:v>1</x:v>
      </x:c>
      <x:c r="F1413" s="21" t="n">
        <x:v>1</x:v>
      </x:c>
      <x:c r="G1413" s="23" t="str">
        <x:f>IF(E1413=F1413,"PASS","FAIL")</x:f>
        <x:v>PASS</x:v>
      </x:c>
    </x:row>
    <x:row r="1414">
      <x:c r="B1414" s="21" t="str">
        <x:v>A01408</x:v>
      </x:c>
      <x:c r="C1414" s="21" t="str">
        <x:v>stage</x:v>
      </x:c>
      <x:c r="D1414" s="21" t="str">
        <x:v>stage 356 planned conservation</x:v>
      </x:c>
      <x:c r="E1414" s="21" t="n">
        <x:f>IF(ABS('Stage Ledger'!J362-MIN('Stage Ledger'!F362,'Stage Ledger'!H362,'Stage Ledger'!I362))&lt;0.000001,1,0)</x:f>
        <x:v>1</x:v>
      </x:c>
      <x:c r="F1414" s="21" t="n">
        <x:v>1</x:v>
      </x:c>
      <x:c r="G1414" s="23" t="str">
        <x:f>IF(E1414=F1414,"PASS","FAIL")</x:f>
        <x:v>PASS</x:v>
      </x:c>
    </x:row>
    <x:row r="1415">
      <x:c r="B1415" s="21" t="str">
        <x:v>A01409</x:v>
      </x:c>
      <x:c r="C1415" s="21" t="str">
        <x:v>stage</x:v>
      </x:c>
      <x:c r="D1415" s="21" t="str">
        <x:v>stage 356 observed conservation</x:v>
      </x:c>
      <x:c r="E1415" s="21" t="n">
        <x:f>IF(AND(ABS('Stage Ledger'!R362-IF(AND('Stage Ledger'!P362=1,'Stage Ledger'!Q362=1),MIN('Stage Ledger'!F362,'Stage Ledger'!M362,'Stage Ledger'!R361),0))&lt;0.000001,'Stage Ledger'!S362=IF('Stage Ledger'!R362&gt;='Stage Ledger'!F362,"ADMITTED","NOT ADMITTED")),1,0)</x:f>
        <x:v>1</x:v>
      </x:c>
      <x:c r="F1415" s="21" t="n">
        <x:v>1</x:v>
      </x:c>
      <x:c r="G1415" s="23" t="str">
        <x:f>IF(E1415=F1415,"PASS","FAIL")</x:f>
        <x:v>PASS</x:v>
      </x:c>
    </x:row>
    <x:row r="1416">
      <x:c r="B1416" s="21" t="str">
        <x:v>A01410</x:v>
      </x:c>
      <x:c r="C1416" s="21" t="str">
        <x:v>stage</x:v>
      </x:c>
      <x:c r="D1416" s="21" t="str">
        <x:v>stage 357 planned conservation</x:v>
      </x:c>
      <x:c r="E1416" s="21" t="n">
        <x:f>IF(ABS('Stage Ledger'!J363-MIN('Stage Ledger'!F363,'Stage Ledger'!H363,'Stage Ledger'!I363))&lt;0.000001,1,0)</x:f>
        <x:v>1</x:v>
      </x:c>
      <x:c r="F1416" s="21" t="n">
        <x:v>1</x:v>
      </x:c>
      <x:c r="G1416" s="23" t="str">
        <x:f>IF(E1416=F1416,"PASS","FAIL")</x:f>
        <x:v>PASS</x:v>
      </x:c>
    </x:row>
    <x:row r="1417">
      <x:c r="B1417" s="21" t="str">
        <x:v>A01411</x:v>
      </x:c>
      <x:c r="C1417" s="21" t="str">
        <x:v>stage</x:v>
      </x:c>
      <x:c r="D1417" s="21" t="str">
        <x:v>stage 357 observed conservation</x:v>
      </x:c>
      <x:c r="E1417" s="21" t="n">
        <x:f>IF(AND(ABS('Stage Ledger'!R363-IF(AND('Stage Ledger'!P363=1,'Stage Ledger'!Q363=1),MIN('Stage Ledger'!F363,'Stage Ledger'!M363,'Stage Ledger'!R362),0))&lt;0.000001,'Stage Ledger'!S363=IF('Stage Ledger'!R363&gt;='Stage Ledger'!F363,"ADMITTED","NOT ADMITTED")),1,0)</x:f>
        <x:v>1</x:v>
      </x:c>
      <x:c r="F1417" s="21" t="n">
        <x:v>1</x:v>
      </x:c>
      <x:c r="G1417" s="23" t="str">
        <x:f>IF(E1417=F1417,"PASS","FAIL")</x:f>
        <x:v>PASS</x:v>
      </x:c>
    </x:row>
    <x:row r="1418">
      <x:c r="B1418" s="21" t="str">
        <x:v>A01412</x:v>
      </x:c>
      <x:c r="C1418" s="21" t="str">
        <x:v>stage</x:v>
      </x:c>
      <x:c r="D1418" s="21" t="str">
        <x:v>stage 358 planned conservation</x:v>
      </x:c>
      <x:c r="E1418" s="21" t="n">
        <x:f>IF(ABS('Stage Ledger'!J364-MIN('Stage Ledger'!F364,'Stage Ledger'!H364,'Stage Ledger'!I364))&lt;0.000001,1,0)</x:f>
        <x:v>1</x:v>
      </x:c>
      <x:c r="F1418" s="21" t="n">
        <x:v>1</x:v>
      </x:c>
      <x:c r="G1418" s="23" t="str">
        <x:f>IF(E1418=F1418,"PASS","FAIL")</x:f>
        <x:v>PASS</x:v>
      </x:c>
    </x:row>
    <x:row r="1419">
      <x:c r="B1419" s="21" t="str">
        <x:v>A01413</x:v>
      </x:c>
      <x:c r="C1419" s="21" t="str">
        <x:v>stage</x:v>
      </x:c>
      <x:c r="D1419" s="21" t="str">
        <x:v>stage 358 observed conservation</x:v>
      </x:c>
      <x:c r="E1419" s="21" t="n">
        <x:f>IF(AND(ABS('Stage Ledger'!R364-IF(AND('Stage Ledger'!P364=1,'Stage Ledger'!Q364=1),MIN('Stage Ledger'!F364,'Stage Ledger'!M364,'Stage Ledger'!R363),0))&lt;0.000001,'Stage Ledger'!S364=IF('Stage Ledger'!R364&gt;='Stage Ledger'!F364,"ADMITTED","NOT ADMITTED")),1,0)</x:f>
        <x:v>1</x:v>
      </x:c>
      <x:c r="F1419" s="21" t="n">
        <x:v>1</x:v>
      </x:c>
      <x:c r="G1419" s="23" t="str">
        <x:f>IF(E1419=F1419,"PASS","FAIL")</x:f>
        <x:v>PASS</x:v>
      </x:c>
    </x:row>
    <x:row r="1420">
      <x:c r="B1420" s="21" t="str">
        <x:v>A01414</x:v>
      </x:c>
      <x:c r="C1420" s="21" t="str">
        <x:v>stage</x:v>
      </x:c>
      <x:c r="D1420" s="21" t="str">
        <x:v>stage 359 planned conservation</x:v>
      </x:c>
      <x:c r="E1420" s="21" t="n">
        <x:f>IF(ABS('Stage Ledger'!J365-MIN('Stage Ledger'!F365,'Stage Ledger'!H365,'Stage Ledger'!I365))&lt;0.000001,1,0)</x:f>
        <x:v>1</x:v>
      </x:c>
      <x:c r="F1420" s="21" t="n">
        <x:v>1</x:v>
      </x:c>
      <x:c r="G1420" s="23" t="str">
        <x:f>IF(E1420=F1420,"PASS","FAIL")</x:f>
        <x:v>PASS</x:v>
      </x:c>
    </x:row>
    <x:row r="1421">
      <x:c r="B1421" s="21" t="str">
        <x:v>A01415</x:v>
      </x:c>
      <x:c r="C1421" s="21" t="str">
        <x:v>stage</x:v>
      </x:c>
      <x:c r="D1421" s="21" t="str">
        <x:v>stage 359 observed conservation</x:v>
      </x:c>
      <x:c r="E1421" s="21" t="n">
        <x:f>IF(AND(ABS('Stage Ledger'!R365-IF(AND('Stage Ledger'!P365=1,'Stage Ledger'!Q365=1),MIN('Stage Ledger'!F365,'Stage Ledger'!M365,'Stage Ledger'!R364),0))&lt;0.000001,'Stage Ledger'!S365=IF('Stage Ledger'!R365&gt;='Stage Ledger'!F365,"ADMITTED","NOT ADMITTED")),1,0)</x:f>
        <x:v>1</x:v>
      </x:c>
      <x:c r="F1421" s="21" t="n">
        <x:v>1</x:v>
      </x:c>
      <x:c r="G1421" s="23" t="str">
        <x:f>IF(E1421=F1421,"PASS","FAIL")</x:f>
        <x:v>PASS</x:v>
      </x:c>
    </x:row>
    <x:row r="1422">
      <x:c r="B1422" s="21" t="str">
        <x:v>A01416</x:v>
      </x:c>
      <x:c r="C1422" s="21" t="str">
        <x:v>stage</x:v>
      </x:c>
      <x:c r="D1422" s="21" t="str">
        <x:v>stage 360 planned conservation</x:v>
      </x:c>
      <x:c r="E1422" s="21" t="n">
        <x:f>IF(ABS('Stage Ledger'!J366-MIN('Stage Ledger'!F366,'Stage Ledger'!H366,'Stage Ledger'!I366))&lt;0.000001,1,0)</x:f>
        <x:v>1</x:v>
      </x:c>
      <x:c r="F1422" s="21" t="n">
        <x:v>1</x:v>
      </x:c>
      <x:c r="G1422" s="23" t="str">
        <x:f>IF(E1422=F1422,"PASS","FAIL")</x:f>
        <x:v>PASS</x:v>
      </x:c>
    </x:row>
    <x:row r="1423">
      <x:c r="B1423" s="21" t="str">
        <x:v>A01417</x:v>
      </x:c>
      <x:c r="C1423" s="21" t="str">
        <x:v>stage</x:v>
      </x:c>
      <x:c r="D1423" s="21" t="str">
        <x:v>stage 360 observed conservation</x:v>
      </x:c>
      <x:c r="E1423" s="21" t="n">
        <x:f>IF(AND(ABS('Stage Ledger'!R366-IF(AND('Stage Ledger'!P366=1,'Stage Ledger'!Q366=1),MIN('Stage Ledger'!F366,'Stage Ledger'!M366,'Stage Ledger'!R365),0))&lt;0.000001,'Stage Ledger'!S366=IF('Stage Ledger'!R366&gt;='Stage Ledger'!F366,"ADMITTED","NOT ADMITTED")),1,0)</x:f>
        <x:v>1</x:v>
      </x:c>
      <x:c r="F1423" s="21" t="n">
        <x:v>1</x:v>
      </x:c>
      <x:c r="G1423" s="23" t="str">
        <x:f>IF(E1423=F1423,"PASS","FAIL")</x:f>
        <x:v>PASS</x:v>
      </x:c>
    </x:row>
    <x:row r="1424">
      <x:c r="B1424" s="21" t="str">
        <x:v>A01418</x:v>
      </x:c>
      <x:c r="C1424" s="21" t="str">
        <x:v>stage</x:v>
      </x:c>
      <x:c r="D1424" s="21" t="str">
        <x:v>stage 361 planned conservation</x:v>
      </x:c>
      <x:c r="E1424" s="21" t="n">
        <x:f>IF(ABS('Stage Ledger'!J367-MIN('Stage Ledger'!F367,'Stage Ledger'!H367,'Stage Ledger'!I367))&lt;0.000001,1,0)</x:f>
        <x:v>1</x:v>
      </x:c>
      <x:c r="F1424" s="21" t="n">
        <x:v>1</x:v>
      </x:c>
      <x:c r="G1424" s="23" t="str">
        <x:f>IF(E1424=F1424,"PASS","FAIL")</x:f>
        <x:v>PASS</x:v>
      </x:c>
    </x:row>
    <x:row r="1425">
      <x:c r="B1425" s="21" t="str">
        <x:v>A01419</x:v>
      </x:c>
      <x:c r="C1425" s="21" t="str">
        <x:v>stage</x:v>
      </x:c>
      <x:c r="D1425" s="21" t="str">
        <x:v>stage 361 observed conservation</x:v>
      </x:c>
      <x:c r="E1425" s="21" t="n">
        <x:f>IF(AND(ABS('Stage Ledger'!R367-IF(AND('Stage Ledger'!P367=1,'Stage Ledger'!Q367=1),MIN('Stage Ledger'!F367,'Stage Ledger'!M367),0))&lt;0.000001,'Stage Ledger'!S367=IF('Stage Ledger'!R367&gt;='Stage Ledger'!F367,"ADMITTED","NOT ADMITTED")),1,0)</x:f>
        <x:v>1</x:v>
      </x:c>
      <x:c r="F1425" s="21" t="n">
        <x:v>1</x:v>
      </x:c>
      <x:c r="G1425" s="23" t="str">
        <x:f>IF(E1425=F1425,"PASS","FAIL")</x:f>
        <x:v>PASS</x:v>
      </x:c>
    </x:row>
    <x:row r="1426">
      <x:c r="B1426" s="21" t="str">
        <x:v>A01420</x:v>
      </x:c>
      <x:c r="C1426" s="21" t="str">
        <x:v>stage</x:v>
      </x:c>
      <x:c r="D1426" s="21" t="str">
        <x:v>stage 362 planned conservation</x:v>
      </x:c>
      <x:c r="E1426" s="21" t="n">
        <x:f>IF(ABS('Stage Ledger'!J368-MIN('Stage Ledger'!F368,'Stage Ledger'!H368,'Stage Ledger'!I368))&lt;0.000001,1,0)</x:f>
        <x:v>1</x:v>
      </x:c>
      <x:c r="F1426" s="21" t="n">
        <x:v>1</x:v>
      </x:c>
      <x:c r="G1426" s="23" t="str">
        <x:f>IF(E1426=F1426,"PASS","FAIL")</x:f>
        <x:v>PASS</x:v>
      </x:c>
    </x:row>
    <x:row r="1427">
      <x:c r="B1427" s="21" t="str">
        <x:v>A01421</x:v>
      </x:c>
      <x:c r="C1427" s="21" t="str">
        <x:v>stage</x:v>
      </x:c>
      <x:c r="D1427" s="21" t="str">
        <x:v>stage 362 observed conservation</x:v>
      </x:c>
      <x:c r="E1427" s="21" t="n">
        <x:f>IF(AND(ABS('Stage Ledger'!R368-IF(AND('Stage Ledger'!P368=1,'Stage Ledger'!Q368=1),MIN('Stage Ledger'!F368,'Stage Ledger'!M368,'Stage Ledger'!R367),0))&lt;0.000001,'Stage Ledger'!S368=IF('Stage Ledger'!R368&gt;='Stage Ledger'!F368,"ADMITTED","NOT ADMITTED")),1,0)</x:f>
        <x:v>1</x:v>
      </x:c>
      <x:c r="F1427" s="21" t="n">
        <x:v>1</x:v>
      </x:c>
      <x:c r="G1427" s="23" t="str">
        <x:f>IF(E1427=F1427,"PASS","FAIL")</x:f>
        <x:v>PASS</x:v>
      </x:c>
    </x:row>
    <x:row r="1428">
      <x:c r="B1428" s="21" t="str">
        <x:v>A01422</x:v>
      </x:c>
      <x:c r="C1428" s="21" t="str">
        <x:v>stage</x:v>
      </x:c>
      <x:c r="D1428" s="21" t="str">
        <x:v>stage 363 planned conservation</x:v>
      </x:c>
      <x:c r="E1428" s="21" t="n">
        <x:f>IF(ABS('Stage Ledger'!J369-MIN('Stage Ledger'!F369,'Stage Ledger'!H369,'Stage Ledger'!I369))&lt;0.000001,1,0)</x:f>
        <x:v>1</x:v>
      </x:c>
      <x:c r="F1428" s="21" t="n">
        <x:v>1</x:v>
      </x:c>
      <x:c r="G1428" s="23" t="str">
        <x:f>IF(E1428=F1428,"PASS","FAIL")</x:f>
        <x:v>PASS</x:v>
      </x:c>
    </x:row>
    <x:row r="1429">
      <x:c r="B1429" s="21" t="str">
        <x:v>A01423</x:v>
      </x:c>
      <x:c r="C1429" s="21" t="str">
        <x:v>stage</x:v>
      </x:c>
      <x:c r="D1429" s="21" t="str">
        <x:v>stage 363 observed conservation</x:v>
      </x:c>
      <x:c r="E1429" s="21" t="n">
        <x:f>IF(AND(ABS('Stage Ledger'!R369-IF(AND('Stage Ledger'!P369=1,'Stage Ledger'!Q369=1),MIN('Stage Ledger'!F369,'Stage Ledger'!M369,'Stage Ledger'!R368),0))&lt;0.000001,'Stage Ledger'!S369=IF('Stage Ledger'!R369&gt;='Stage Ledger'!F369,"ADMITTED","NOT ADMITTED")),1,0)</x:f>
        <x:v>1</x:v>
      </x:c>
      <x:c r="F1429" s="21" t="n">
        <x:v>1</x:v>
      </x:c>
      <x:c r="G1429" s="23" t="str">
        <x:f>IF(E1429=F1429,"PASS","FAIL")</x:f>
        <x:v>PASS</x:v>
      </x:c>
    </x:row>
    <x:row r="1430">
      <x:c r="B1430" s="21" t="str">
        <x:v>A01424</x:v>
      </x:c>
      <x:c r="C1430" s="21" t="str">
        <x:v>stage</x:v>
      </x:c>
      <x:c r="D1430" s="21" t="str">
        <x:v>stage 364 planned conservation</x:v>
      </x:c>
      <x:c r="E1430" s="21" t="n">
        <x:f>IF(ABS('Stage Ledger'!J370-MIN('Stage Ledger'!F370,'Stage Ledger'!H370,'Stage Ledger'!I370))&lt;0.000001,1,0)</x:f>
        <x:v>1</x:v>
      </x:c>
      <x:c r="F1430" s="21" t="n">
        <x:v>1</x:v>
      </x:c>
      <x:c r="G1430" s="23" t="str">
        <x:f>IF(E1430=F1430,"PASS","FAIL")</x:f>
        <x:v>PASS</x:v>
      </x:c>
    </x:row>
    <x:row r="1431">
      <x:c r="B1431" s="21" t="str">
        <x:v>A01425</x:v>
      </x:c>
      <x:c r="C1431" s="21" t="str">
        <x:v>stage</x:v>
      </x:c>
      <x:c r="D1431" s="21" t="str">
        <x:v>stage 364 observed conservation</x:v>
      </x:c>
      <x:c r="E1431" s="21" t="n">
        <x:f>IF(AND(ABS('Stage Ledger'!R370-IF(AND('Stage Ledger'!P370=1,'Stage Ledger'!Q370=1),MIN('Stage Ledger'!F370,'Stage Ledger'!M370,'Stage Ledger'!R369),0))&lt;0.000001,'Stage Ledger'!S370=IF('Stage Ledger'!R370&gt;='Stage Ledger'!F370,"ADMITTED","NOT ADMITTED")),1,0)</x:f>
        <x:v>1</x:v>
      </x:c>
      <x:c r="F1431" s="21" t="n">
        <x:v>1</x:v>
      </x:c>
      <x:c r="G1431" s="23" t="str">
        <x:f>IF(E1431=F1431,"PASS","FAIL")</x:f>
        <x:v>PASS</x:v>
      </x:c>
    </x:row>
    <x:row r="1432">
      <x:c r="B1432" s="21" t="str">
        <x:v>A01426</x:v>
      </x:c>
      <x:c r="C1432" s="21" t="str">
        <x:v>stage</x:v>
      </x:c>
      <x:c r="D1432" s="21" t="str">
        <x:v>stage 365 planned conservation</x:v>
      </x:c>
      <x:c r="E1432" s="21" t="n">
        <x:f>IF(ABS('Stage Ledger'!J371-MIN('Stage Ledger'!F371,'Stage Ledger'!H371,'Stage Ledger'!I371))&lt;0.000001,1,0)</x:f>
        <x:v>1</x:v>
      </x:c>
      <x:c r="F1432" s="21" t="n">
        <x:v>1</x:v>
      </x:c>
      <x:c r="G1432" s="23" t="str">
        <x:f>IF(E1432=F1432,"PASS","FAIL")</x:f>
        <x:v>PASS</x:v>
      </x:c>
    </x:row>
    <x:row r="1433">
      <x:c r="B1433" s="21" t="str">
        <x:v>A01427</x:v>
      </x:c>
      <x:c r="C1433" s="21" t="str">
        <x:v>stage</x:v>
      </x:c>
      <x:c r="D1433" s="21" t="str">
        <x:v>stage 365 observed conservation</x:v>
      </x:c>
      <x:c r="E1433" s="21" t="n">
        <x:f>IF(AND(ABS('Stage Ledger'!R371-IF(AND('Stage Ledger'!P371=1,'Stage Ledger'!Q371=1),MIN('Stage Ledger'!F371,'Stage Ledger'!M371,'Stage Ledger'!R370),0))&lt;0.000001,'Stage Ledger'!S371=IF('Stage Ledger'!R371&gt;='Stage Ledger'!F371,"ADMITTED","NOT ADMITTED")),1,0)</x:f>
        <x:v>1</x:v>
      </x:c>
      <x:c r="F1433" s="21" t="n">
        <x:v>1</x:v>
      </x:c>
      <x:c r="G1433" s="23" t="str">
        <x:f>IF(E1433=F1433,"PASS","FAIL")</x:f>
        <x:v>PASS</x:v>
      </x:c>
    </x:row>
    <x:row r="1434">
      <x:c r="B1434" s="21" t="str">
        <x:v>A01428</x:v>
      </x:c>
      <x:c r="C1434" s="21" t="str">
        <x:v>stage</x:v>
      </x:c>
      <x:c r="D1434" s="21" t="str">
        <x:v>stage 366 planned conservation</x:v>
      </x:c>
      <x:c r="E1434" s="21" t="n">
        <x:f>IF(ABS('Stage Ledger'!J372-MIN('Stage Ledger'!F372,'Stage Ledger'!H372,'Stage Ledger'!I372))&lt;0.000001,1,0)</x:f>
        <x:v>1</x:v>
      </x:c>
      <x:c r="F1434" s="21" t="n">
        <x:v>1</x:v>
      </x:c>
      <x:c r="G1434" s="23" t="str">
        <x:f>IF(E1434=F1434,"PASS","FAIL")</x:f>
        <x:v>PASS</x:v>
      </x:c>
    </x:row>
    <x:row r="1435">
      <x:c r="B1435" s="21" t="str">
        <x:v>A01429</x:v>
      </x:c>
      <x:c r="C1435" s="21" t="str">
        <x:v>stage</x:v>
      </x:c>
      <x:c r="D1435" s="21" t="str">
        <x:v>stage 366 observed conservation</x:v>
      </x:c>
      <x:c r="E1435" s="21" t="n">
        <x:f>IF(AND(ABS('Stage Ledger'!R372-IF(AND('Stage Ledger'!P372=1,'Stage Ledger'!Q372=1),MIN('Stage Ledger'!F372,'Stage Ledger'!M372,'Stage Ledger'!R371),0))&lt;0.000001,'Stage Ledger'!S372=IF('Stage Ledger'!R372&gt;='Stage Ledger'!F372,"ADMITTED","NOT ADMITTED")),1,0)</x:f>
        <x:v>1</x:v>
      </x:c>
      <x:c r="F1435" s="21" t="n">
        <x:v>1</x:v>
      </x:c>
      <x:c r="G1435" s="23" t="str">
        <x:f>IF(E1435=F1435,"PASS","FAIL")</x:f>
        <x:v>PASS</x:v>
      </x:c>
    </x:row>
    <x:row r="1436">
      <x:c r="B1436" s="21" t="str">
        <x:v>A01430</x:v>
      </x:c>
      <x:c r="C1436" s="21" t="str">
        <x:v>stage</x:v>
      </x:c>
      <x:c r="D1436" s="21" t="str">
        <x:v>stage 367 planned conservation</x:v>
      </x:c>
      <x:c r="E1436" s="21" t="n">
        <x:f>IF(ABS('Stage Ledger'!J373-MIN('Stage Ledger'!F373,'Stage Ledger'!H373,'Stage Ledger'!I373))&lt;0.000001,1,0)</x:f>
        <x:v>1</x:v>
      </x:c>
      <x:c r="F1436" s="21" t="n">
        <x:v>1</x:v>
      </x:c>
      <x:c r="G1436" s="23" t="str">
        <x:f>IF(E1436=F1436,"PASS","FAIL")</x:f>
        <x:v>PASS</x:v>
      </x:c>
    </x:row>
    <x:row r="1437">
      <x:c r="B1437" s="21" t="str">
        <x:v>A01431</x:v>
      </x:c>
      <x:c r="C1437" s="21" t="str">
        <x:v>stage</x:v>
      </x:c>
      <x:c r="D1437" s="21" t="str">
        <x:v>stage 367 observed conservation</x:v>
      </x:c>
      <x:c r="E1437" s="21" t="n">
        <x:f>IF(AND(ABS('Stage Ledger'!R373-IF(AND('Stage Ledger'!P373=1,'Stage Ledger'!Q373=1),MIN('Stage Ledger'!F373,'Stage Ledger'!M373,'Stage Ledger'!R372),0))&lt;0.000001,'Stage Ledger'!S373=IF('Stage Ledger'!R373&gt;='Stage Ledger'!F373,"ADMITTED","NOT ADMITTED")),1,0)</x:f>
        <x:v>1</x:v>
      </x:c>
      <x:c r="F1437" s="21" t="n">
        <x:v>1</x:v>
      </x:c>
      <x:c r="G1437" s="23" t="str">
        <x:f>IF(E1437=F1437,"PASS","FAIL")</x:f>
        <x:v>PASS</x:v>
      </x:c>
    </x:row>
    <x:row r="1438">
      <x:c r="B1438" s="21" t="str">
        <x:v>A01432</x:v>
      </x:c>
      <x:c r="C1438" s="21" t="str">
        <x:v>stage</x:v>
      </x:c>
      <x:c r="D1438" s="21" t="str">
        <x:v>stage 368 planned conservation</x:v>
      </x:c>
      <x:c r="E1438" s="21" t="n">
        <x:f>IF(ABS('Stage Ledger'!J374-MIN('Stage Ledger'!F374,'Stage Ledger'!H374,'Stage Ledger'!I374))&lt;0.000001,1,0)</x:f>
        <x:v>1</x:v>
      </x:c>
      <x:c r="F1438" s="21" t="n">
        <x:v>1</x:v>
      </x:c>
      <x:c r="G1438" s="23" t="str">
        <x:f>IF(E1438=F1438,"PASS","FAIL")</x:f>
        <x:v>PASS</x:v>
      </x:c>
    </x:row>
    <x:row r="1439">
      <x:c r="B1439" s="21" t="str">
        <x:v>A01433</x:v>
      </x:c>
      <x:c r="C1439" s="21" t="str">
        <x:v>stage</x:v>
      </x:c>
      <x:c r="D1439" s="21" t="str">
        <x:v>stage 368 observed conservation</x:v>
      </x:c>
      <x:c r="E1439" s="21" t="n">
        <x:f>IF(AND(ABS('Stage Ledger'!R374-IF(AND('Stage Ledger'!P374=1,'Stage Ledger'!Q374=1),MIN('Stage Ledger'!F374,'Stage Ledger'!M374,'Stage Ledger'!R373),0))&lt;0.000001,'Stage Ledger'!S374=IF('Stage Ledger'!R374&gt;='Stage Ledger'!F374,"ADMITTED","NOT ADMITTED")),1,0)</x:f>
        <x:v>1</x:v>
      </x:c>
      <x:c r="F1439" s="21" t="n">
        <x:v>1</x:v>
      </x:c>
      <x:c r="G1439" s="23" t="str">
        <x:f>IF(E1439=F1439,"PASS","FAIL")</x:f>
        <x:v>PASS</x:v>
      </x:c>
    </x:row>
    <x:row r="1440">
      <x:c r="B1440" s="21" t="str">
        <x:v>A01434</x:v>
      </x:c>
      <x:c r="C1440" s="21" t="str">
        <x:v>stage</x:v>
      </x:c>
      <x:c r="D1440" s="21" t="str">
        <x:v>stage 369 planned conservation</x:v>
      </x:c>
      <x:c r="E1440" s="21" t="n">
        <x:f>IF(ABS('Stage Ledger'!J375-MIN('Stage Ledger'!F375,'Stage Ledger'!H375,'Stage Ledger'!I375))&lt;0.000001,1,0)</x:f>
        <x:v>1</x:v>
      </x:c>
      <x:c r="F1440" s="21" t="n">
        <x:v>1</x:v>
      </x:c>
      <x:c r="G1440" s="23" t="str">
        <x:f>IF(E1440=F1440,"PASS","FAIL")</x:f>
        <x:v>PASS</x:v>
      </x:c>
    </x:row>
    <x:row r="1441">
      <x:c r="B1441" s="21" t="str">
        <x:v>A01435</x:v>
      </x:c>
      <x:c r="C1441" s="21" t="str">
        <x:v>stage</x:v>
      </x:c>
      <x:c r="D1441" s="21" t="str">
        <x:v>stage 369 observed conservation</x:v>
      </x:c>
      <x:c r="E1441" s="21" t="n">
        <x:f>IF(AND(ABS('Stage Ledger'!R375-IF(AND('Stage Ledger'!P375=1,'Stage Ledger'!Q375=1),MIN('Stage Ledger'!F375,'Stage Ledger'!M375,'Stage Ledger'!R374),0))&lt;0.000001,'Stage Ledger'!S375=IF('Stage Ledger'!R375&gt;='Stage Ledger'!F375,"ADMITTED","NOT ADMITTED")),1,0)</x:f>
        <x:v>1</x:v>
      </x:c>
      <x:c r="F1441" s="21" t="n">
        <x:v>1</x:v>
      </x:c>
      <x:c r="G1441" s="23" t="str">
        <x:f>IF(E1441=F1441,"PASS","FAIL")</x:f>
        <x:v>PASS</x:v>
      </x:c>
    </x:row>
    <x:row r="1442">
      <x:c r="B1442" s="21" t="str">
        <x:v>A01436</x:v>
      </x:c>
      <x:c r="C1442" s="21" t="str">
        <x:v>stage</x:v>
      </x:c>
      <x:c r="D1442" s="21" t="str">
        <x:v>stage 370 planned conservation</x:v>
      </x:c>
      <x:c r="E1442" s="21" t="n">
        <x:f>IF(ABS('Stage Ledger'!J376-MIN('Stage Ledger'!F376,'Stage Ledger'!H376,'Stage Ledger'!I376))&lt;0.000001,1,0)</x:f>
        <x:v>1</x:v>
      </x:c>
      <x:c r="F1442" s="21" t="n">
        <x:v>1</x:v>
      </x:c>
      <x:c r="G1442" s="23" t="str">
        <x:f>IF(E1442=F1442,"PASS","FAIL")</x:f>
        <x:v>PASS</x:v>
      </x:c>
    </x:row>
    <x:row r="1443">
      <x:c r="B1443" s="21" t="str">
        <x:v>A01437</x:v>
      </x:c>
      <x:c r="C1443" s="21" t="str">
        <x:v>stage</x:v>
      </x:c>
      <x:c r="D1443" s="21" t="str">
        <x:v>stage 370 observed conservation</x:v>
      </x:c>
      <x:c r="E1443" s="21" t="n">
        <x:f>IF(AND(ABS('Stage Ledger'!R376-IF(AND('Stage Ledger'!P376=1,'Stage Ledger'!Q376=1),MIN('Stage Ledger'!F376,'Stage Ledger'!M376,'Stage Ledger'!R375),0))&lt;0.000001,'Stage Ledger'!S376=IF('Stage Ledger'!R376&gt;='Stage Ledger'!F376,"ADMITTED","NOT ADMITTED")),1,0)</x:f>
        <x:v>1</x:v>
      </x:c>
      <x:c r="F1443" s="21" t="n">
        <x:v>1</x:v>
      </x:c>
      <x:c r="G1443" s="23" t="str">
        <x:f>IF(E1443=F1443,"PASS","FAIL")</x:f>
        <x:v>PASS</x:v>
      </x:c>
    </x:row>
    <x:row r="1444">
      <x:c r="B1444" s="21" t="str">
        <x:v>A01438</x:v>
      </x:c>
      <x:c r="C1444" s="21" t="str">
        <x:v>stage</x:v>
      </x:c>
      <x:c r="D1444" s="21" t="str">
        <x:v>stage 371 planned conservation</x:v>
      </x:c>
      <x:c r="E1444" s="21" t="n">
        <x:f>IF(ABS('Stage Ledger'!J377-MIN('Stage Ledger'!F377,'Stage Ledger'!H377,'Stage Ledger'!I377))&lt;0.000001,1,0)</x:f>
        <x:v>1</x:v>
      </x:c>
      <x:c r="F1444" s="21" t="n">
        <x:v>1</x:v>
      </x:c>
      <x:c r="G1444" s="23" t="str">
        <x:f>IF(E1444=F1444,"PASS","FAIL")</x:f>
        <x:v>PASS</x:v>
      </x:c>
    </x:row>
    <x:row r="1445">
      <x:c r="B1445" s="21" t="str">
        <x:v>A01439</x:v>
      </x:c>
      <x:c r="C1445" s="21" t="str">
        <x:v>stage</x:v>
      </x:c>
      <x:c r="D1445" s="21" t="str">
        <x:v>stage 371 observed conservation</x:v>
      </x:c>
      <x:c r="E1445" s="21" t="n">
        <x:f>IF(AND(ABS('Stage Ledger'!R377-IF(AND('Stage Ledger'!P377=1,'Stage Ledger'!Q377=1),MIN('Stage Ledger'!F377,'Stage Ledger'!M377,'Stage Ledger'!R376),0))&lt;0.000001,'Stage Ledger'!S377=IF('Stage Ledger'!R377&gt;='Stage Ledger'!F377,"ADMITTED","NOT ADMITTED")),1,0)</x:f>
        <x:v>1</x:v>
      </x:c>
      <x:c r="F1445" s="21" t="n">
        <x:v>1</x:v>
      </x:c>
      <x:c r="G1445" s="23" t="str">
        <x:f>IF(E1445=F1445,"PASS","FAIL")</x:f>
        <x:v>PASS</x:v>
      </x:c>
    </x:row>
    <x:row r="1446">
      <x:c r="B1446" s="21" t="str">
        <x:v>A01440</x:v>
      </x:c>
      <x:c r="C1446" s="21" t="str">
        <x:v>stage</x:v>
      </x:c>
      <x:c r="D1446" s="21" t="str">
        <x:v>stage 372 planned conservation</x:v>
      </x:c>
      <x:c r="E1446" s="21" t="n">
        <x:f>IF(ABS('Stage Ledger'!J378-MIN('Stage Ledger'!F378,'Stage Ledger'!H378,'Stage Ledger'!I378))&lt;0.000001,1,0)</x:f>
        <x:v>1</x:v>
      </x:c>
      <x:c r="F1446" s="21" t="n">
        <x:v>1</x:v>
      </x:c>
      <x:c r="G1446" s="23" t="str">
        <x:f>IF(E1446=F1446,"PASS","FAIL")</x:f>
        <x:v>PASS</x:v>
      </x:c>
    </x:row>
    <x:row r="1447">
      <x:c r="B1447" s="21" t="str">
        <x:v>A01441</x:v>
      </x:c>
      <x:c r="C1447" s="21" t="str">
        <x:v>stage</x:v>
      </x:c>
      <x:c r="D1447" s="21" t="str">
        <x:v>stage 372 observed conservation</x:v>
      </x:c>
      <x:c r="E1447" s="21" t="n">
        <x:f>IF(AND(ABS('Stage Ledger'!R378-IF(AND('Stage Ledger'!P378=1,'Stage Ledger'!Q378=1),MIN('Stage Ledger'!F378,'Stage Ledger'!M378,'Stage Ledger'!R377),0))&lt;0.000001,'Stage Ledger'!S378=IF('Stage Ledger'!R378&gt;='Stage Ledger'!F378,"ADMITTED","NOT ADMITTED")),1,0)</x:f>
        <x:v>1</x:v>
      </x:c>
      <x:c r="F1447" s="21" t="n">
        <x:v>1</x:v>
      </x:c>
      <x:c r="G1447" s="23" t="str">
        <x:f>IF(E1447=F1447,"PASS","FAIL")</x:f>
        <x:v>PASS</x:v>
      </x:c>
    </x:row>
    <x:row r="1448">
      <x:c r="B1448" s="21" t="str">
        <x:v>A01442</x:v>
      </x:c>
      <x:c r="C1448" s="21" t="str">
        <x:v>stage</x:v>
      </x:c>
      <x:c r="D1448" s="21" t="str">
        <x:v>stage 373 planned conservation</x:v>
      </x:c>
      <x:c r="E1448" s="21" t="n">
        <x:f>IF(ABS('Stage Ledger'!J379-MIN('Stage Ledger'!F379,'Stage Ledger'!H379,'Stage Ledger'!I379))&lt;0.000001,1,0)</x:f>
        <x:v>1</x:v>
      </x:c>
      <x:c r="F1448" s="21" t="n">
        <x:v>1</x:v>
      </x:c>
      <x:c r="G1448" s="23" t="str">
        <x:f>IF(E1448=F1448,"PASS","FAIL")</x:f>
        <x:v>PASS</x:v>
      </x:c>
    </x:row>
    <x:row r="1449">
      <x:c r="B1449" s="21" t="str">
        <x:v>A01443</x:v>
      </x:c>
      <x:c r="C1449" s="21" t="str">
        <x:v>stage</x:v>
      </x:c>
      <x:c r="D1449" s="21" t="str">
        <x:v>stage 373 observed conservation</x:v>
      </x:c>
      <x:c r="E1449" s="21" t="n">
        <x:f>IF(AND(ABS('Stage Ledger'!R379-IF(AND('Stage Ledger'!P379=1,'Stage Ledger'!Q379=1),MIN('Stage Ledger'!F379,'Stage Ledger'!M379),0))&lt;0.000001,'Stage Ledger'!S379=IF('Stage Ledger'!R379&gt;='Stage Ledger'!F379,"ADMITTED","NOT ADMITTED")),1,0)</x:f>
        <x:v>1</x:v>
      </x:c>
      <x:c r="F1449" s="21" t="n">
        <x:v>1</x:v>
      </x:c>
      <x:c r="G1449" s="23" t="str">
        <x:f>IF(E1449=F1449,"PASS","FAIL")</x:f>
        <x:v>PASS</x:v>
      </x:c>
    </x:row>
    <x:row r="1450">
      <x:c r="B1450" s="21" t="str">
        <x:v>A01444</x:v>
      </x:c>
      <x:c r="C1450" s="21" t="str">
        <x:v>stage</x:v>
      </x:c>
      <x:c r="D1450" s="21" t="str">
        <x:v>stage 374 planned conservation</x:v>
      </x:c>
      <x:c r="E1450" s="21" t="n">
        <x:f>IF(ABS('Stage Ledger'!J380-MIN('Stage Ledger'!F380,'Stage Ledger'!H380,'Stage Ledger'!I380))&lt;0.000001,1,0)</x:f>
        <x:v>1</x:v>
      </x:c>
      <x:c r="F1450" s="21" t="n">
        <x:v>1</x:v>
      </x:c>
      <x:c r="G1450" s="23" t="str">
        <x:f>IF(E1450=F1450,"PASS","FAIL")</x:f>
        <x:v>PASS</x:v>
      </x:c>
    </x:row>
    <x:row r="1451">
      <x:c r="B1451" s="21" t="str">
        <x:v>A01445</x:v>
      </x:c>
      <x:c r="C1451" s="21" t="str">
        <x:v>stage</x:v>
      </x:c>
      <x:c r="D1451" s="21" t="str">
        <x:v>stage 374 observed conservation</x:v>
      </x:c>
      <x:c r="E1451" s="21" t="n">
        <x:f>IF(AND(ABS('Stage Ledger'!R380-IF(AND('Stage Ledger'!P380=1,'Stage Ledger'!Q380=1),MIN('Stage Ledger'!F380,'Stage Ledger'!M380,'Stage Ledger'!R379),0))&lt;0.000001,'Stage Ledger'!S380=IF('Stage Ledger'!R380&gt;='Stage Ledger'!F380,"ADMITTED","NOT ADMITTED")),1,0)</x:f>
        <x:v>1</x:v>
      </x:c>
      <x:c r="F1451" s="21" t="n">
        <x:v>1</x:v>
      </x:c>
      <x:c r="G1451" s="23" t="str">
        <x:f>IF(E1451=F1451,"PASS","FAIL")</x:f>
        <x:v>PASS</x:v>
      </x:c>
    </x:row>
    <x:row r="1452">
      <x:c r="B1452" s="21" t="str">
        <x:v>A01446</x:v>
      </x:c>
      <x:c r="C1452" s="21" t="str">
        <x:v>stage</x:v>
      </x:c>
      <x:c r="D1452" s="21" t="str">
        <x:v>stage 375 planned conservation</x:v>
      </x:c>
      <x:c r="E1452" s="21" t="n">
        <x:f>IF(ABS('Stage Ledger'!J381-MIN('Stage Ledger'!F381,'Stage Ledger'!H381,'Stage Ledger'!I381))&lt;0.000001,1,0)</x:f>
        <x:v>1</x:v>
      </x:c>
      <x:c r="F1452" s="21" t="n">
        <x:v>1</x:v>
      </x:c>
      <x:c r="G1452" s="23" t="str">
        <x:f>IF(E1452=F1452,"PASS","FAIL")</x:f>
        <x:v>PASS</x:v>
      </x:c>
    </x:row>
    <x:row r="1453">
      <x:c r="B1453" s="21" t="str">
        <x:v>A01447</x:v>
      </x:c>
      <x:c r="C1453" s="21" t="str">
        <x:v>stage</x:v>
      </x:c>
      <x:c r="D1453" s="21" t="str">
        <x:v>stage 375 observed conservation</x:v>
      </x:c>
      <x:c r="E1453" s="21" t="n">
        <x:f>IF(AND(ABS('Stage Ledger'!R381-IF(AND('Stage Ledger'!P381=1,'Stage Ledger'!Q381=1),MIN('Stage Ledger'!F381,'Stage Ledger'!M381,'Stage Ledger'!R380),0))&lt;0.000001,'Stage Ledger'!S381=IF('Stage Ledger'!R381&gt;='Stage Ledger'!F381,"ADMITTED","NOT ADMITTED")),1,0)</x:f>
        <x:v>1</x:v>
      </x:c>
      <x:c r="F1453" s="21" t="n">
        <x:v>1</x:v>
      </x:c>
      <x:c r="G1453" s="23" t="str">
        <x:f>IF(E1453=F1453,"PASS","FAIL")</x:f>
        <x:v>PASS</x:v>
      </x:c>
    </x:row>
    <x:row r="1454">
      <x:c r="B1454" s="21" t="str">
        <x:v>A01448</x:v>
      </x:c>
      <x:c r="C1454" s="21" t="str">
        <x:v>stage</x:v>
      </x:c>
      <x:c r="D1454" s="21" t="str">
        <x:v>stage 376 planned conservation</x:v>
      </x:c>
      <x:c r="E1454" s="21" t="n">
        <x:f>IF(ABS('Stage Ledger'!J382-MIN('Stage Ledger'!F382,'Stage Ledger'!H382,'Stage Ledger'!I382))&lt;0.000001,1,0)</x:f>
        <x:v>1</x:v>
      </x:c>
      <x:c r="F1454" s="21" t="n">
        <x:v>1</x:v>
      </x:c>
      <x:c r="G1454" s="23" t="str">
        <x:f>IF(E1454=F1454,"PASS","FAIL")</x:f>
        <x:v>PASS</x:v>
      </x:c>
    </x:row>
    <x:row r="1455">
      <x:c r="B1455" s="21" t="str">
        <x:v>A01449</x:v>
      </x:c>
      <x:c r="C1455" s="21" t="str">
        <x:v>stage</x:v>
      </x:c>
      <x:c r="D1455" s="21" t="str">
        <x:v>stage 376 observed conservation</x:v>
      </x:c>
      <x:c r="E1455" s="21" t="n">
        <x:f>IF(AND(ABS('Stage Ledger'!R382-IF(AND('Stage Ledger'!P382=1,'Stage Ledger'!Q382=1),MIN('Stage Ledger'!F382,'Stage Ledger'!M382,'Stage Ledger'!R381),0))&lt;0.000001,'Stage Ledger'!S382=IF('Stage Ledger'!R382&gt;='Stage Ledger'!F382,"ADMITTED","NOT ADMITTED")),1,0)</x:f>
        <x:v>1</x:v>
      </x:c>
      <x:c r="F1455" s="21" t="n">
        <x:v>1</x:v>
      </x:c>
      <x:c r="G1455" s="23" t="str">
        <x:f>IF(E1455=F1455,"PASS","FAIL")</x:f>
        <x:v>PASS</x:v>
      </x:c>
    </x:row>
    <x:row r="1456">
      <x:c r="B1456" s="21" t="str">
        <x:v>A01450</x:v>
      </x:c>
      <x:c r="C1456" s="21" t="str">
        <x:v>stage</x:v>
      </x:c>
      <x:c r="D1456" s="21" t="str">
        <x:v>stage 377 planned conservation</x:v>
      </x:c>
      <x:c r="E1456" s="21" t="n">
        <x:f>IF(ABS('Stage Ledger'!J383-MIN('Stage Ledger'!F383,'Stage Ledger'!H383,'Stage Ledger'!I383))&lt;0.000001,1,0)</x:f>
        <x:v>1</x:v>
      </x:c>
      <x:c r="F1456" s="21" t="n">
        <x:v>1</x:v>
      </x:c>
      <x:c r="G1456" s="23" t="str">
        <x:f>IF(E1456=F1456,"PASS","FAIL")</x:f>
        <x:v>PASS</x:v>
      </x:c>
    </x:row>
    <x:row r="1457">
      <x:c r="B1457" s="21" t="str">
        <x:v>A01451</x:v>
      </x:c>
      <x:c r="C1457" s="21" t="str">
        <x:v>stage</x:v>
      </x:c>
      <x:c r="D1457" s="21" t="str">
        <x:v>stage 377 observed conservation</x:v>
      </x:c>
      <x:c r="E1457" s="21" t="n">
        <x:f>IF(AND(ABS('Stage Ledger'!R383-IF(AND('Stage Ledger'!P383=1,'Stage Ledger'!Q383=1),MIN('Stage Ledger'!F383,'Stage Ledger'!M383,'Stage Ledger'!R382),0))&lt;0.000001,'Stage Ledger'!S383=IF('Stage Ledger'!R383&gt;='Stage Ledger'!F383,"ADMITTED","NOT ADMITTED")),1,0)</x:f>
        <x:v>1</x:v>
      </x:c>
      <x:c r="F1457" s="21" t="n">
        <x:v>1</x:v>
      </x:c>
      <x:c r="G1457" s="23" t="str">
        <x:f>IF(E1457=F1457,"PASS","FAIL")</x:f>
        <x:v>PASS</x:v>
      </x:c>
    </x:row>
    <x:row r="1458">
      <x:c r="B1458" s="21" t="str">
        <x:v>A01452</x:v>
      </x:c>
      <x:c r="C1458" s="21" t="str">
        <x:v>stage</x:v>
      </x:c>
      <x:c r="D1458" s="21" t="str">
        <x:v>stage 378 planned conservation</x:v>
      </x:c>
      <x:c r="E1458" s="21" t="n">
        <x:f>IF(ABS('Stage Ledger'!J384-MIN('Stage Ledger'!F384,'Stage Ledger'!H384,'Stage Ledger'!I384))&lt;0.000001,1,0)</x:f>
        <x:v>1</x:v>
      </x:c>
      <x:c r="F1458" s="21" t="n">
        <x:v>1</x:v>
      </x:c>
      <x:c r="G1458" s="23" t="str">
        <x:f>IF(E1458=F1458,"PASS","FAIL")</x:f>
        <x:v>PASS</x:v>
      </x:c>
    </x:row>
    <x:row r="1459">
      <x:c r="B1459" s="21" t="str">
        <x:v>A01453</x:v>
      </x:c>
      <x:c r="C1459" s="21" t="str">
        <x:v>stage</x:v>
      </x:c>
      <x:c r="D1459" s="21" t="str">
        <x:v>stage 378 observed conservation</x:v>
      </x:c>
      <x:c r="E1459" s="21" t="n">
        <x:f>IF(AND(ABS('Stage Ledger'!R384-IF(AND('Stage Ledger'!P384=1,'Stage Ledger'!Q384=1),MIN('Stage Ledger'!F384,'Stage Ledger'!M384,'Stage Ledger'!R383),0))&lt;0.000001,'Stage Ledger'!S384=IF('Stage Ledger'!R384&gt;='Stage Ledger'!F384,"ADMITTED","NOT ADMITTED")),1,0)</x:f>
        <x:v>1</x:v>
      </x:c>
      <x:c r="F1459" s="21" t="n">
        <x:v>1</x:v>
      </x:c>
      <x:c r="G1459" s="23" t="str">
        <x:f>IF(E1459=F1459,"PASS","FAIL")</x:f>
        <x:v>PASS</x:v>
      </x:c>
    </x:row>
    <x:row r="1460">
      <x:c r="B1460" s="21" t="str">
        <x:v>A01454</x:v>
      </x:c>
      <x:c r="C1460" s="21" t="str">
        <x:v>stage</x:v>
      </x:c>
      <x:c r="D1460" s="21" t="str">
        <x:v>stage 379 planned conservation</x:v>
      </x:c>
      <x:c r="E1460" s="21" t="n">
        <x:f>IF(ABS('Stage Ledger'!J385-MIN('Stage Ledger'!F385,'Stage Ledger'!H385,'Stage Ledger'!I385))&lt;0.000001,1,0)</x:f>
        <x:v>1</x:v>
      </x:c>
      <x:c r="F1460" s="21" t="n">
        <x:v>1</x:v>
      </x:c>
      <x:c r="G1460" s="23" t="str">
        <x:f>IF(E1460=F1460,"PASS","FAIL")</x:f>
        <x:v>PASS</x:v>
      </x:c>
    </x:row>
    <x:row r="1461">
      <x:c r="B1461" s="21" t="str">
        <x:v>A01455</x:v>
      </x:c>
      <x:c r="C1461" s="21" t="str">
        <x:v>stage</x:v>
      </x:c>
      <x:c r="D1461" s="21" t="str">
        <x:v>stage 379 observed conservation</x:v>
      </x:c>
      <x:c r="E1461" s="21" t="n">
        <x:f>IF(AND(ABS('Stage Ledger'!R385-IF(AND('Stage Ledger'!P385=1,'Stage Ledger'!Q385=1),MIN('Stage Ledger'!F385,'Stage Ledger'!M385,'Stage Ledger'!R384),0))&lt;0.000001,'Stage Ledger'!S385=IF('Stage Ledger'!R385&gt;='Stage Ledger'!F385,"ADMITTED","NOT ADMITTED")),1,0)</x:f>
        <x:v>1</x:v>
      </x:c>
      <x:c r="F1461" s="21" t="n">
        <x:v>1</x:v>
      </x:c>
      <x:c r="G1461" s="23" t="str">
        <x:f>IF(E1461=F1461,"PASS","FAIL")</x:f>
        <x:v>PASS</x:v>
      </x:c>
    </x:row>
    <x:row r="1462">
      <x:c r="B1462" s="21" t="str">
        <x:v>A01456</x:v>
      </x:c>
      <x:c r="C1462" s="21" t="str">
        <x:v>stage</x:v>
      </x:c>
      <x:c r="D1462" s="21" t="str">
        <x:v>stage 380 planned conservation</x:v>
      </x:c>
      <x:c r="E1462" s="21" t="n">
        <x:f>IF(ABS('Stage Ledger'!J386-MIN('Stage Ledger'!F386,'Stage Ledger'!H386,'Stage Ledger'!I386))&lt;0.000001,1,0)</x:f>
        <x:v>1</x:v>
      </x:c>
      <x:c r="F1462" s="21" t="n">
        <x:v>1</x:v>
      </x:c>
      <x:c r="G1462" s="23" t="str">
        <x:f>IF(E1462=F1462,"PASS","FAIL")</x:f>
        <x:v>PASS</x:v>
      </x:c>
    </x:row>
    <x:row r="1463">
      <x:c r="B1463" s="21" t="str">
        <x:v>A01457</x:v>
      </x:c>
      <x:c r="C1463" s="21" t="str">
        <x:v>stage</x:v>
      </x:c>
      <x:c r="D1463" s="21" t="str">
        <x:v>stage 380 observed conservation</x:v>
      </x:c>
      <x:c r="E1463" s="21" t="n">
        <x:f>IF(AND(ABS('Stage Ledger'!R386-IF(AND('Stage Ledger'!P386=1,'Stage Ledger'!Q386=1),MIN('Stage Ledger'!F386,'Stage Ledger'!M386,'Stage Ledger'!R385),0))&lt;0.000001,'Stage Ledger'!S386=IF('Stage Ledger'!R386&gt;='Stage Ledger'!F386,"ADMITTED","NOT ADMITTED")),1,0)</x:f>
        <x:v>1</x:v>
      </x:c>
      <x:c r="F1463" s="21" t="n">
        <x:v>1</x:v>
      </x:c>
      <x:c r="G1463" s="23" t="str">
        <x:f>IF(E1463=F1463,"PASS","FAIL")</x:f>
        <x:v>PASS</x:v>
      </x:c>
    </x:row>
    <x:row r="1464">
      <x:c r="B1464" s="21" t="str">
        <x:v>A01458</x:v>
      </x:c>
      <x:c r="C1464" s="21" t="str">
        <x:v>stage</x:v>
      </x:c>
      <x:c r="D1464" s="21" t="str">
        <x:v>stage 381 planned conservation</x:v>
      </x:c>
      <x:c r="E1464" s="21" t="n">
        <x:f>IF(ABS('Stage Ledger'!J387-MIN('Stage Ledger'!F387,'Stage Ledger'!H387,'Stage Ledger'!I387))&lt;0.000001,1,0)</x:f>
        <x:v>1</x:v>
      </x:c>
      <x:c r="F1464" s="21" t="n">
        <x:v>1</x:v>
      </x:c>
      <x:c r="G1464" s="23" t="str">
        <x:f>IF(E1464=F1464,"PASS","FAIL")</x:f>
        <x:v>PASS</x:v>
      </x:c>
    </x:row>
    <x:row r="1465">
      <x:c r="B1465" s="21" t="str">
        <x:v>A01459</x:v>
      </x:c>
      <x:c r="C1465" s="21" t="str">
        <x:v>stage</x:v>
      </x:c>
      <x:c r="D1465" s="21" t="str">
        <x:v>stage 381 observed conservation</x:v>
      </x:c>
      <x:c r="E1465" s="21" t="n">
        <x:f>IF(AND(ABS('Stage Ledger'!R387-IF(AND('Stage Ledger'!P387=1,'Stage Ledger'!Q387=1),MIN('Stage Ledger'!F387,'Stage Ledger'!M387,'Stage Ledger'!R386),0))&lt;0.000001,'Stage Ledger'!S387=IF('Stage Ledger'!R387&gt;='Stage Ledger'!F387,"ADMITTED","NOT ADMITTED")),1,0)</x:f>
        <x:v>1</x:v>
      </x:c>
      <x:c r="F1465" s="21" t="n">
        <x:v>1</x:v>
      </x:c>
      <x:c r="G1465" s="23" t="str">
        <x:f>IF(E1465=F1465,"PASS","FAIL")</x:f>
        <x:v>PASS</x:v>
      </x:c>
    </x:row>
    <x:row r="1466">
      <x:c r="B1466" s="21" t="str">
        <x:v>A01460</x:v>
      </x:c>
      <x:c r="C1466" s="21" t="str">
        <x:v>stage</x:v>
      </x:c>
      <x:c r="D1466" s="21" t="str">
        <x:v>stage 382 planned conservation</x:v>
      </x:c>
      <x:c r="E1466" s="21" t="n">
        <x:f>IF(ABS('Stage Ledger'!J388-MIN('Stage Ledger'!F388,'Stage Ledger'!H388,'Stage Ledger'!I388))&lt;0.000001,1,0)</x:f>
        <x:v>1</x:v>
      </x:c>
      <x:c r="F1466" s="21" t="n">
        <x:v>1</x:v>
      </x:c>
      <x:c r="G1466" s="23" t="str">
        <x:f>IF(E1466=F1466,"PASS","FAIL")</x:f>
        <x:v>PASS</x:v>
      </x:c>
    </x:row>
    <x:row r="1467">
      <x:c r="B1467" s="21" t="str">
        <x:v>A01461</x:v>
      </x:c>
      <x:c r="C1467" s="21" t="str">
        <x:v>stage</x:v>
      </x:c>
      <x:c r="D1467" s="21" t="str">
        <x:v>stage 382 observed conservation</x:v>
      </x:c>
      <x:c r="E1467" s="21" t="n">
        <x:f>IF(AND(ABS('Stage Ledger'!R388-IF(AND('Stage Ledger'!P388=1,'Stage Ledger'!Q388=1),MIN('Stage Ledger'!F388,'Stage Ledger'!M388,'Stage Ledger'!R387),0))&lt;0.000001,'Stage Ledger'!S388=IF('Stage Ledger'!R388&gt;='Stage Ledger'!F388,"ADMITTED","NOT ADMITTED")),1,0)</x:f>
        <x:v>1</x:v>
      </x:c>
      <x:c r="F1467" s="21" t="n">
        <x:v>1</x:v>
      </x:c>
      <x:c r="G1467" s="23" t="str">
        <x:f>IF(E1467=F1467,"PASS","FAIL")</x:f>
        <x:v>PASS</x:v>
      </x:c>
    </x:row>
    <x:row r="1468">
      <x:c r="B1468" s="21" t="str">
        <x:v>A01462</x:v>
      </x:c>
      <x:c r="C1468" s="21" t="str">
        <x:v>stage</x:v>
      </x:c>
      <x:c r="D1468" s="21" t="str">
        <x:v>stage 383 planned conservation</x:v>
      </x:c>
      <x:c r="E1468" s="21" t="n">
        <x:f>IF(ABS('Stage Ledger'!J389-MIN('Stage Ledger'!F389,'Stage Ledger'!H389,'Stage Ledger'!I389))&lt;0.000001,1,0)</x:f>
        <x:v>1</x:v>
      </x:c>
      <x:c r="F1468" s="21" t="n">
        <x:v>1</x:v>
      </x:c>
      <x:c r="G1468" s="23" t="str">
        <x:f>IF(E1468=F1468,"PASS","FAIL")</x:f>
        <x:v>PASS</x:v>
      </x:c>
    </x:row>
    <x:row r="1469">
      <x:c r="B1469" s="21" t="str">
        <x:v>A01463</x:v>
      </x:c>
      <x:c r="C1469" s="21" t="str">
        <x:v>stage</x:v>
      </x:c>
      <x:c r="D1469" s="21" t="str">
        <x:v>stage 383 observed conservation</x:v>
      </x:c>
      <x:c r="E1469" s="21" t="n">
        <x:f>IF(AND(ABS('Stage Ledger'!R389-IF(AND('Stage Ledger'!P389=1,'Stage Ledger'!Q389=1),MIN('Stage Ledger'!F389,'Stage Ledger'!M389,'Stage Ledger'!R388),0))&lt;0.000001,'Stage Ledger'!S389=IF('Stage Ledger'!R389&gt;='Stage Ledger'!F389,"ADMITTED","NOT ADMITTED")),1,0)</x:f>
        <x:v>1</x:v>
      </x:c>
      <x:c r="F1469" s="21" t="n">
        <x:v>1</x:v>
      </x:c>
      <x:c r="G1469" s="23" t="str">
        <x:f>IF(E1469=F1469,"PASS","FAIL")</x:f>
        <x:v>PASS</x:v>
      </x:c>
    </x:row>
    <x:row r="1470">
      <x:c r="B1470" s="21" t="str">
        <x:v>A01464</x:v>
      </x:c>
      <x:c r="C1470" s="21" t="str">
        <x:v>stage</x:v>
      </x:c>
      <x:c r="D1470" s="21" t="str">
        <x:v>stage 384 planned conservation</x:v>
      </x:c>
      <x:c r="E1470" s="21" t="n">
        <x:f>IF(ABS('Stage Ledger'!J390-MIN('Stage Ledger'!F390,'Stage Ledger'!H390,'Stage Ledger'!I390))&lt;0.000001,1,0)</x:f>
        <x:v>1</x:v>
      </x:c>
      <x:c r="F1470" s="21" t="n">
        <x:v>1</x:v>
      </x:c>
      <x:c r="G1470" s="23" t="str">
        <x:f>IF(E1470=F1470,"PASS","FAIL")</x:f>
        <x:v>PASS</x:v>
      </x:c>
    </x:row>
    <x:row r="1471">
      <x:c r="B1471" s="21" t="str">
        <x:v>A01465</x:v>
      </x:c>
      <x:c r="C1471" s="21" t="str">
        <x:v>stage</x:v>
      </x:c>
      <x:c r="D1471" s="21" t="str">
        <x:v>stage 384 observed conservation</x:v>
      </x:c>
      <x:c r="E1471" s="21" t="n">
        <x:f>IF(AND(ABS('Stage Ledger'!R390-IF(AND('Stage Ledger'!P390=1,'Stage Ledger'!Q390=1),MIN('Stage Ledger'!F390,'Stage Ledger'!M390,'Stage Ledger'!R389),0))&lt;0.000001,'Stage Ledger'!S390=IF('Stage Ledger'!R390&gt;='Stage Ledger'!F390,"ADMITTED","NOT ADMITTED")),1,0)</x:f>
        <x:v>1</x:v>
      </x:c>
      <x:c r="F1471" s="21" t="n">
        <x:v>1</x:v>
      </x:c>
      <x:c r="G1471" s="23" t="str">
        <x:f>IF(E1471=F1471,"PASS","FAIL")</x:f>
        <x:v>PASS</x:v>
      </x:c>
    </x:row>
    <x:row r="1472">
      <x:c r="B1472" s="21" t="str">
        <x:v>A01466</x:v>
      </x:c>
      <x:c r="C1472" s="21" t="str">
        <x:v>stage</x:v>
      </x:c>
      <x:c r="D1472" s="21" t="str">
        <x:v>stage 385 planned conservation</x:v>
      </x:c>
      <x:c r="E1472" s="21" t="n">
        <x:f>IF(ABS('Stage Ledger'!J391-MIN('Stage Ledger'!F391,'Stage Ledger'!H391,'Stage Ledger'!I391))&lt;0.000001,1,0)</x:f>
        <x:v>1</x:v>
      </x:c>
      <x:c r="F1472" s="21" t="n">
        <x:v>1</x:v>
      </x:c>
      <x:c r="G1472" s="23" t="str">
        <x:f>IF(E1472=F1472,"PASS","FAIL")</x:f>
        <x:v>PASS</x:v>
      </x:c>
    </x:row>
    <x:row r="1473">
      <x:c r="B1473" s="21" t="str">
        <x:v>A01467</x:v>
      </x:c>
      <x:c r="C1473" s="21" t="str">
        <x:v>stage</x:v>
      </x:c>
      <x:c r="D1473" s="21" t="str">
        <x:v>stage 385 observed conservation</x:v>
      </x:c>
      <x:c r="E1473" s="21" t="n">
        <x:f>IF(AND(ABS('Stage Ledger'!R391-IF(AND('Stage Ledger'!P391=1,'Stage Ledger'!Q391=1),MIN('Stage Ledger'!F391,'Stage Ledger'!M391),0))&lt;0.000001,'Stage Ledger'!S391=IF('Stage Ledger'!R391&gt;='Stage Ledger'!F391,"ADMITTED","NOT ADMITTED")),1,0)</x:f>
        <x:v>1</x:v>
      </x:c>
      <x:c r="F1473" s="21" t="n">
        <x:v>1</x:v>
      </x:c>
      <x:c r="G1473" s="23" t="str">
        <x:f>IF(E1473=F1473,"PASS","FAIL")</x:f>
        <x:v>PASS</x:v>
      </x:c>
    </x:row>
    <x:row r="1474">
      <x:c r="B1474" s="21" t="str">
        <x:v>A01468</x:v>
      </x:c>
      <x:c r="C1474" s="21" t="str">
        <x:v>stage</x:v>
      </x:c>
      <x:c r="D1474" s="21" t="str">
        <x:v>stage 386 planned conservation</x:v>
      </x:c>
      <x:c r="E1474" s="21" t="n">
        <x:f>IF(ABS('Stage Ledger'!J392-MIN('Stage Ledger'!F392,'Stage Ledger'!H392,'Stage Ledger'!I392))&lt;0.000001,1,0)</x:f>
        <x:v>1</x:v>
      </x:c>
      <x:c r="F1474" s="21" t="n">
        <x:v>1</x:v>
      </x:c>
      <x:c r="G1474" s="23" t="str">
        <x:f>IF(E1474=F1474,"PASS","FAIL")</x:f>
        <x:v>PASS</x:v>
      </x:c>
    </x:row>
    <x:row r="1475">
      <x:c r="B1475" s="21" t="str">
        <x:v>A01469</x:v>
      </x:c>
      <x:c r="C1475" s="21" t="str">
        <x:v>stage</x:v>
      </x:c>
      <x:c r="D1475" s="21" t="str">
        <x:v>stage 386 observed conservation</x:v>
      </x:c>
      <x:c r="E1475" s="21" t="n">
        <x:f>IF(AND(ABS('Stage Ledger'!R392-IF(AND('Stage Ledger'!P392=1,'Stage Ledger'!Q392=1),MIN('Stage Ledger'!F392,'Stage Ledger'!M392,'Stage Ledger'!R391),0))&lt;0.000001,'Stage Ledger'!S392=IF('Stage Ledger'!R392&gt;='Stage Ledger'!F392,"ADMITTED","NOT ADMITTED")),1,0)</x:f>
        <x:v>1</x:v>
      </x:c>
      <x:c r="F1475" s="21" t="n">
        <x:v>1</x:v>
      </x:c>
      <x:c r="G1475" s="23" t="str">
        <x:f>IF(E1475=F1475,"PASS","FAIL")</x:f>
        <x:v>PASS</x:v>
      </x:c>
    </x:row>
    <x:row r="1476">
      <x:c r="B1476" s="21" t="str">
        <x:v>A01470</x:v>
      </x:c>
      <x:c r="C1476" s="21" t="str">
        <x:v>stage</x:v>
      </x:c>
      <x:c r="D1476" s="21" t="str">
        <x:v>stage 387 planned conservation</x:v>
      </x:c>
      <x:c r="E1476" s="21" t="n">
        <x:f>IF(ABS('Stage Ledger'!J393-MIN('Stage Ledger'!F393,'Stage Ledger'!H393,'Stage Ledger'!I393))&lt;0.000001,1,0)</x:f>
        <x:v>1</x:v>
      </x:c>
      <x:c r="F1476" s="21" t="n">
        <x:v>1</x:v>
      </x:c>
      <x:c r="G1476" s="23" t="str">
        <x:f>IF(E1476=F1476,"PASS","FAIL")</x:f>
        <x:v>PASS</x:v>
      </x:c>
    </x:row>
    <x:row r="1477">
      <x:c r="B1477" s="21" t="str">
        <x:v>A01471</x:v>
      </x:c>
      <x:c r="C1477" s="21" t="str">
        <x:v>stage</x:v>
      </x:c>
      <x:c r="D1477" s="21" t="str">
        <x:v>stage 387 observed conservation</x:v>
      </x:c>
      <x:c r="E1477" s="21" t="n">
        <x:f>IF(AND(ABS('Stage Ledger'!R393-IF(AND('Stage Ledger'!P393=1,'Stage Ledger'!Q393=1),MIN('Stage Ledger'!F393,'Stage Ledger'!M393,'Stage Ledger'!R392),0))&lt;0.000001,'Stage Ledger'!S393=IF('Stage Ledger'!R393&gt;='Stage Ledger'!F393,"ADMITTED","NOT ADMITTED")),1,0)</x:f>
        <x:v>1</x:v>
      </x:c>
      <x:c r="F1477" s="21" t="n">
        <x:v>1</x:v>
      </x:c>
      <x:c r="G1477" s="23" t="str">
        <x:f>IF(E1477=F1477,"PASS","FAIL")</x:f>
        <x:v>PASS</x:v>
      </x:c>
    </x:row>
    <x:row r="1478">
      <x:c r="B1478" s="21" t="str">
        <x:v>A01472</x:v>
      </x:c>
      <x:c r="C1478" s="21" t="str">
        <x:v>stage</x:v>
      </x:c>
      <x:c r="D1478" s="21" t="str">
        <x:v>stage 388 planned conservation</x:v>
      </x:c>
      <x:c r="E1478" s="21" t="n">
        <x:f>IF(ABS('Stage Ledger'!J394-MIN('Stage Ledger'!F394,'Stage Ledger'!H394,'Stage Ledger'!I394))&lt;0.000001,1,0)</x:f>
        <x:v>1</x:v>
      </x:c>
      <x:c r="F1478" s="21" t="n">
        <x:v>1</x:v>
      </x:c>
      <x:c r="G1478" s="23" t="str">
        <x:f>IF(E1478=F1478,"PASS","FAIL")</x:f>
        <x:v>PASS</x:v>
      </x:c>
    </x:row>
    <x:row r="1479">
      <x:c r="B1479" s="21" t="str">
        <x:v>A01473</x:v>
      </x:c>
      <x:c r="C1479" s="21" t="str">
        <x:v>stage</x:v>
      </x:c>
      <x:c r="D1479" s="21" t="str">
        <x:v>stage 388 observed conservation</x:v>
      </x:c>
      <x:c r="E1479" s="21" t="n">
        <x:f>IF(AND(ABS('Stage Ledger'!R394-IF(AND('Stage Ledger'!P394=1,'Stage Ledger'!Q394=1),MIN('Stage Ledger'!F394,'Stage Ledger'!M394,'Stage Ledger'!R393),0))&lt;0.000001,'Stage Ledger'!S394=IF('Stage Ledger'!R394&gt;='Stage Ledger'!F394,"ADMITTED","NOT ADMITTED")),1,0)</x:f>
        <x:v>1</x:v>
      </x:c>
      <x:c r="F1479" s="21" t="n">
        <x:v>1</x:v>
      </x:c>
      <x:c r="G1479" s="23" t="str">
        <x:f>IF(E1479=F1479,"PASS","FAIL")</x:f>
        <x:v>PASS</x:v>
      </x:c>
    </x:row>
    <x:row r="1480">
      <x:c r="B1480" s="21" t="str">
        <x:v>A01474</x:v>
      </x:c>
      <x:c r="C1480" s="21" t="str">
        <x:v>stage</x:v>
      </x:c>
      <x:c r="D1480" s="21" t="str">
        <x:v>stage 389 planned conservation</x:v>
      </x:c>
      <x:c r="E1480" s="21" t="n">
        <x:f>IF(ABS('Stage Ledger'!J395-MIN('Stage Ledger'!F395,'Stage Ledger'!H395,'Stage Ledger'!I395))&lt;0.000001,1,0)</x:f>
        <x:v>1</x:v>
      </x:c>
      <x:c r="F1480" s="21" t="n">
        <x:v>1</x:v>
      </x:c>
      <x:c r="G1480" s="23" t="str">
        <x:f>IF(E1480=F1480,"PASS","FAIL")</x:f>
        <x:v>PASS</x:v>
      </x:c>
    </x:row>
    <x:row r="1481">
      <x:c r="B1481" s="21" t="str">
        <x:v>A01475</x:v>
      </x:c>
      <x:c r="C1481" s="21" t="str">
        <x:v>stage</x:v>
      </x:c>
      <x:c r="D1481" s="21" t="str">
        <x:v>stage 389 observed conservation</x:v>
      </x:c>
      <x:c r="E1481" s="21" t="n">
        <x:f>IF(AND(ABS('Stage Ledger'!R395-IF(AND('Stage Ledger'!P395=1,'Stage Ledger'!Q395=1),MIN('Stage Ledger'!F395,'Stage Ledger'!M395,'Stage Ledger'!R394),0))&lt;0.000001,'Stage Ledger'!S395=IF('Stage Ledger'!R395&gt;='Stage Ledger'!F395,"ADMITTED","NOT ADMITTED")),1,0)</x:f>
        <x:v>1</x:v>
      </x:c>
      <x:c r="F1481" s="21" t="n">
        <x:v>1</x:v>
      </x:c>
      <x:c r="G1481" s="23" t="str">
        <x:f>IF(E1481=F1481,"PASS","FAIL")</x:f>
        <x:v>PASS</x:v>
      </x:c>
    </x:row>
    <x:row r="1482">
      <x:c r="B1482" s="21" t="str">
        <x:v>A01476</x:v>
      </x:c>
      <x:c r="C1482" s="21" t="str">
        <x:v>stage</x:v>
      </x:c>
      <x:c r="D1482" s="21" t="str">
        <x:v>stage 390 planned conservation</x:v>
      </x:c>
      <x:c r="E1482" s="21" t="n">
        <x:f>IF(ABS('Stage Ledger'!J396-MIN('Stage Ledger'!F396,'Stage Ledger'!H396,'Stage Ledger'!I396))&lt;0.000001,1,0)</x:f>
        <x:v>1</x:v>
      </x:c>
      <x:c r="F1482" s="21" t="n">
        <x:v>1</x:v>
      </x:c>
      <x:c r="G1482" s="23" t="str">
        <x:f>IF(E1482=F1482,"PASS","FAIL")</x:f>
        <x:v>PASS</x:v>
      </x:c>
    </x:row>
    <x:row r="1483">
      <x:c r="B1483" s="21" t="str">
        <x:v>A01477</x:v>
      </x:c>
      <x:c r="C1483" s="21" t="str">
        <x:v>stage</x:v>
      </x:c>
      <x:c r="D1483" s="21" t="str">
        <x:v>stage 390 observed conservation</x:v>
      </x:c>
      <x:c r="E1483" s="21" t="n">
        <x:f>IF(AND(ABS('Stage Ledger'!R396-IF(AND('Stage Ledger'!P396=1,'Stage Ledger'!Q396=1),MIN('Stage Ledger'!F396,'Stage Ledger'!M396,'Stage Ledger'!R395),0))&lt;0.000001,'Stage Ledger'!S396=IF('Stage Ledger'!R396&gt;='Stage Ledger'!F396,"ADMITTED","NOT ADMITTED")),1,0)</x:f>
        <x:v>1</x:v>
      </x:c>
      <x:c r="F1483" s="21" t="n">
        <x:v>1</x:v>
      </x:c>
      <x:c r="G1483" s="23" t="str">
        <x:f>IF(E1483=F1483,"PASS","FAIL")</x:f>
        <x:v>PASS</x:v>
      </x:c>
    </x:row>
    <x:row r="1484">
      <x:c r="B1484" s="21" t="str">
        <x:v>A01478</x:v>
      </x:c>
      <x:c r="C1484" s="21" t="str">
        <x:v>stage</x:v>
      </x:c>
      <x:c r="D1484" s="21" t="str">
        <x:v>stage 391 planned conservation</x:v>
      </x:c>
      <x:c r="E1484" s="21" t="n">
        <x:f>IF(ABS('Stage Ledger'!J397-MIN('Stage Ledger'!F397,'Stage Ledger'!H397,'Stage Ledger'!I397))&lt;0.000001,1,0)</x:f>
        <x:v>1</x:v>
      </x:c>
      <x:c r="F1484" s="21" t="n">
        <x:v>1</x:v>
      </x:c>
      <x:c r="G1484" s="23" t="str">
        <x:f>IF(E1484=F1484,"PASS","FAIL")</x:f>
        <x:v>PASS</x:v>
      </x:c>
    </x:row>
    <x:row r="1485">
      <x:c r="B1485" s="21" t="str">
        <x:v>A01479</x:v>
      </x:c>
      <x:c r="C1485" s="21" t="str">
        <x:v>stage</x:v>
      </x:c>
      <x:c r="D1485" s="21" t="str">
        <x:v>stage 391 observed conservation</x:v>
      </x:c>
      <x:c r="E1485" s="21" t="n">
        <x:f>IF(AND(ABS('Stage Ledger'!R397-IF(AND('Stage Ledger'!P397=1,'Stage Ledger'!Q397=1),MIN('Stage Ledger'!F397,'Stage Ledger'!M397,'Stage Ledger'!R396),0))&lt;0.000001,'Stage Ledger'!S397=IF('Stage Ledger'!R397&gt;='Stage Ledger'!F397,"ADMITTED","NOT ADMITTED")),1,0)</x:f>
        <x:v>1</x:v>
      </x:c>
      <x:c r="F1485" s="21" t="n">
        <x:v>1</x:v>
      </x:c>
      <x:c r="G1485" s="23" t="str">
        <x:f>IF(E1485=F1485,"PASS","FAIL")</x:f>
        <x:v>PASS</x:v>
      </x:c>
    </x:row>
    <x:row r="1486">
      <x:c r="B1486" s="21" t="str">
        <x:v>A01480</x:v>
      </x:c>
      <x:c r="C1486" s="21" t="str">
        <x:v>stage</x:v>
      </x:c>
      <x:c r="D1486" s="21" t="str">
        <x:v>stage 392 planned conservation</x:v>
      </x:c>
      <x:c r="E1486" s="21" t="n">
        <x:f>IF(ABS('Stage Ledger'!J398-MIN('Stage Ledger'!F398,'Stage Ledger'!H398,'Stage Ledger'!I398))&lt;0.000001,1,0)</x:f>
        <x:v>1</x:v>
      </x:c>
      <x:c r="F1486" s="21" t="n">
        <x:v>1</x:v>
      </x:c>
      <x:c r="G1486" s="23" t="str">
        <x:f>IF(E1486=F1486,"PASS","FAIL")</x:f>
        <x:v>PASS</x:v>
      </x:c>
    </x:row>
    <x:row r="1487">
      <x:c r="B1487" s="21" t="str">
        <x:v>A01481</x:v>
      </x:c>
      <x:c r="C1487" s="21" t="str">
        <x:v>stage</x:v>
      </x:c>
      <x:c r="D1487" s="21" t="str">
        <x:v>stage 392 observed conservation</x:v>
      </x:c>
      <x:c r="E1487" s="21" t="n">
        <x:f>IF(AND(ABS('Stage Ledger'!R398-IF(AND('Stage Ledger'!P398=1,'Stage Ledger'!Q398=1),MIN('Stage Ledger'!F398,'Stage Ledger'!M398,'Stage Ledger'!R397),0))&lt;0.000001,'Stage Ledger'!S398=IF('Stage Ledger'!R398&gt;='Stage Ledger'!F398,"ADMITTED","NOT ADMITTED")),1,0)</x:f>
        <x:v>1</x:v>
      </x:c>
      <x:c r="F1487" s="21" t="n">
        <x:v>1</x:v>
      </x:c>
      <x:c r="G1487" s="23" t="str">
        <x:f>IF(E1487=F1487,"PASS","FAIL")</x:f>
        <x:v>PASS</x:v>
      </x:c>
    </x:row>
    <x:row r="1488">
      <x:c r="B1488" s="21" t="str">
        <x:v>A01482</x:v>
      </x:c>
      <x:c r="C1488" s="21" t="str">
        <x:v>stage</x:v>
      </x:c>
      <x:c r="D1488" s="21" t="str">
        <x:v>stage 393 planned conservation</x:v>
      </x:c>
      <x:c r="E1488" s="21" t="n">
        <x:f>IF(ABS('Stage Ledger'!J399-MIN('Stage Ledger'!F399,'Stage Ledger'!H399,'Stage Ledger'!I399))&lt;0.000001,1,0)</x:f>
        <x:v>1</x:v>
      </x:c>
      <x:c r="F1488" s="21" t="n">
        <x:v>1</x:v>
      </x:c>
      <x:c r="G1488" s="23" t="str">
        <x:f>IF(E1488=F1488,"PASS","FAIL")</x:f>
        <x:v>PASS</x:v>
      </x:c>
    </x:row>
    <x:row r="1489">
      <x:c r="B1489" s="21" t="str">
        <x:v>A01483</x:v>
      </x:c>
      <x:c r="C1489" s="21" t="str">
        <x:v>stage</x:v>
      </x:c>
      <x:c r="D1489" s="21" t="str">
        <x:v>stage 393 observed conservation</x:v>
      </x:c>
      <x:c r="E1489" s="21" t="n">
        <x:f>IF(AND(ABS('Stage Ledger'!R399-IF(AND('Stage Ledger'!P399=1,'Stage Ledger'!Q399=1),MIN('Stage Ledger'!F399,'Stage Ledger'!M399,'Stage Ledger'!R398),0))&lt;0.000001,'Stage Ledger'!S399=IF('Stage Ledger'!R399&gt;='Stage Ledger'!F399,"ADMITTED","NOT ADMITTED")),1,0)</x:f>
        <x:v>1</x:v>
      </x:c>
      <x:c r="F1489" s="21" t="n">
        <x:v>1</x:v>
      </x:c>
      <x:c r="G1489" s="23" t="str">
        <x:f>IF(E1489=F1489,"PASS","FAIL")</x:f>
        <x:v>PASS</x:v>
      </x:c>
    </x:row>
    <x:row r="1490">
      <x:c r="B1490" s="21" t="str">
        <x:v>A01484</x:v>
      </x:c>
      <x:c r="C1490" s="21" t="str">
        <x:v>stage</x:v>
      </x:c>
      <x:c r="D1490" s="21" t="str">
        <x:v>stage 394 planned conservation</x:v>
      </x:c>
      <x:c r="E1490" s="21" t="n">
        <x:f>IF(ABS('Stage Ledger'!J400-MIN('Stage Ledger'!F400,'Stage Ledger'!H400,'Stage Ledger'!I400))&lt;0.000001,1,0)</x:f>
        <x:v>1</x:v>
      </x:c>
      <x:c r="F1490" s="21" t="n">
        <x:v>1</x:v>
      </x:c>
      <x:c r="G1490" s="23" t="str">
        <x:f>IF(E1490=F1490,"PASS","FAIL")</x:f>
        <x:v>PASS</x:v>
      </x:c>
    </x:row>
    <x:row r="1491">
      <x:c r="B1491" s="21" t="str">
        <x:v>A01485</x:v>
      </x:c>
      <x:c r="C1491" s="21" t="str">
        <x:v>stage</x:v>
      </x:c>
      <x:c r="D1491" s="21" t="str">
        <x:v>stage 394 observed conservation</x:v>
      </x:c>
      <x:c r="E1491" s="21" t="n">
        <x:f>IF(AND(ABS('Stage Ledger'!R400-IF(AND('Stage Ledger'!P400=1,'Stage Ledger'!Q400=1),MIN('Stage Ledger'!F400,'Stage Ledger'!M400,'Stage Ledger'!R399),0))&lt;0.000001,'Stage Ledger'!S400=IF('Stage Ledger'!R400&gt;='Stage Ledger'!F400,"ADMITTED","NOT ADMITTED")),1,0)</x:f>
        <x:v>1</x:v>
      </x:c>
      <x:c r="F1491" s="21" t="n">
        <x:v>1</x:v>
      </x:c>
      <x:c r="G1491" s="23" t="str">
        <x:f>IF(E1491=F1491,"PASS","FAIL")</x:f>
        <x:v>PASS</x:v>
      </x:c>
    </x:row>
    <x:row r="1492">
      <x:c r="B1492" s="21" t="str">
        <x:v>A01486</x:v>
      </x:c>
      <x:c r="C1492" s="21" t="str">
        <x:v>stage</x:v>
      </x:c>
      <x:c r="D1492" s="21" t="str">
        <x:v>stage 395 planned conservation</x:v>
      </x:c>
      <x:c r="E1492" s="21" t="n">
        <x:f>IF(ABS('Stage Ledger'!J401-MIN('Stage Ledger'!F401,'Stage Ledger'!H401,'Stage Ledger'!I401))&lt;0.000001,1,0)</x:f>
        <x:v>1</x:v>
      </x:c>
      <x:c r="F1492" s="21" t="n">
        <x:v>1</x:v>
      </x:c>
      <x:c r="G1492" s="23" t="str">
        <x:f>IF(E1492=F1492,"PASS","FAIL")</x:f>
        <x:v>PASS</x:v>
      </x:c>
    </x:row>
    <x:row r="1493">
      <x:c r="B1493" s="21" t="str">
        <x:v>A01487</x:v>
      </x:c>
      <x:c r="C1493" s="21" t="str">
        <x:v>stage</x:v>
      </x:c>
      <x:c r="D1493" s="21" t="str">
        <x:v>stage 395 observed conservation</x:v>
      </x:c>
      <x:c r="E1493" s="21" t="n">
        <x:f>IF(AND(ABS('Stage Ledger'!R401-IF(AND('Stage Ledger'!P401=1,'Stage Ledger'!Q401=1),MIN('Stage Ledger'!F401,'Stage Ledger'!M401,'Stage Ledger'!R400),0))&lt;0.000001,'Stage Ledger'!S401=IF('Stage Ledger'!R401&gt;='Stage Ledger'!F401,"ADMITTED","NOT ADMITTED")),1,0)</x:f>
        <x:v>1</x:v>
      </x:c>
      <x:c r="F1493" s="21" t="n">
        <x:v>1</x:v>
      </x:c>
      <x:c r="G1493" s="23" t="str">
        <x:f>IF(E1493=F1493,"PASS","FAIL")</x:f>
        <x:v>PASS</x:v>
      </x:c>
    </x:row>
    <x:row r="1494">
      <x:c r="B1494" s="21" t="str">
        <x:v>A01488</x:v>
      </x:c>
      <x:c r="C1494" s="21" t="str">
        <x:v>stage</x:v>
      </x:c>
      <x:c r="D1494" s="21" t="str">
        <x:v>stage 396 planned conservation</x:v>
      </x:c>
      <x:c r="E1494" s="21" t="n">
        <x:f>IF(ABS('Stage Ledger'!J402-MIN('Stage Ledger'!F402,'Stage Ledger'!H402,'Stage Ledger'!I402))&lt;0.000001,1,0)</x:f>
        <x:v>1</x:v>
      </x:c>
      <x:c r="F1494" s="21" t="n">
        <x:v>1</x:v>
      </x:c>
      <x:c r="G1494" s="23" t="str">
        <x:f>IF(E1494=F1494,"PASS","FAIL")</x:f>
        <x:v>PASS</x:v>
      </x:c>
    </x:row>
    <x:row r="1495">
      <x:c r="B1495" s="21" t="str">
        <x:v>A01489</x:v>
      </x:c>
      <x:c r="C1495" s="21" t="str">
        <x:v>stage</x:v>
      </x:c>
      <x:c r="D1495" s="21" t="str">
        <x:v>stage 396 observed conservation</x:v>
      </x:c>
      <x:c r="E1495" s="21" t="n">
        <x:f>IF(AND(ABS('Stage Ledger'!R402-IF(AND('Stage Ledger'!P402=1,'Stage Ledger'!Q402=1),MIN('Stage Ledger'!F402,'Stage Ledger'!M402,'Stage Ledger'!R401),0))&lt;0.000001,'Stage Ledger'!S402=IF('Stage Ledger'!R402&gt;='Stage Ledger'!F402,"ADMITTED","NOT ADMITTED")),1,0)</x:f>
        <x:v>1</x:v>
      </x:c>
      <x:c r="F1495" s="21" t="n">
        <x:v>1</x:v>
      </x:c>
      <x:c r="G1495" s="23" t="str">
        <x:f>IF(E1495=F1495,"PASS","FAIL")</x:f>
        <x:v>PASS</x:v>
      </x:c>
    </x:row>
    <x:row r="1496">
      <x:c r="B1496" s="21" t="str">
        <x:v>A01490</x:v>
      </x:c>
      <x:c r="C1496" s="21" t="str">
        <x:v>stage</x:v>
      </x:c>
      <x:c r="D1496" s="21" t="str">
        <x:v>stage 397 planned conservation</x:v>
      </x:c>
      <x:c r="E1496" s="21" t="n">
        <x:f>IF(ABS('Stage Ledger'!J403-MIN('Stage Ledger'!F403,'Stage Ledger'!H403,'Stage Ledger'!I403))&lt;0.000001,1,0)</x:f>
        <x:v>1</x:v>
      </x:c>
      <x:c r="F1496" s="21" t="n">
        <x:v>1</x:v>
      </x:c>
      <x:c r="G1496" s="23" t="str">
        <x:f>IF(E1496=F1496,"PASS","FAIL")</x:f>
        <x:v>PASS</x:v>
      </x:c>
    </x:row>
    <x:row r="1497">
      <x:c r="B1497" s="21" t="str">
        <x:v>A01491</x:v>
      </x:c>
      <x:c r="C1497" s="21" t="str">
        <x:v>stage</x:v>
      </x:c>
      <x:c r="D1497" s="21" t="str">
        <x:v>stage 397 observed conservation</x:v>
      </x:c>
      <x:c r="E1497" s="21" t="n">
        <x:f>IF(AND(ABS('Stage Ledger'!R403-IF(AND('Stage Ledger'!P403=1,'Stage Ledger'!Q403=1),MIN('Stage Ledger'!F403,'Stage Ledger'!M403),0))&lt;0.000001,'Stage Ledger'!S403=IF('Stage Ledger'!R403&gt;='Stage Ledger'!F403,"ADMITTED","NOT ADMITTED")),1,0)</x:f>
        <x:v>1</x:v>
      </x:c>
      <x:c r="F1497" s="21" t="n">
        <x:v>1</x:v>
      </x:c>
      <x:c r="G1497" s="23" t="str">
        <x:f>IF(E1497=F1497,"PASS","FAIL")</x:f>
        <x:v>PASS</x:v>
      </x:c>
    </x:row>
    <x:row r="1498">
      <x:c r="B1498" s="21" t="str">
        <x:v>A01492</x:v>
      </x:c>
      <x:c r="C1498" s="21" t="str">
        <x:v>stage</x:v>
      </x:c>
      <x:c r="D1498" s="21" t="str">
        <x:v>stage 398 planned conservation</x:v>
      </x:c>
      <x:c r="E1498" s="21" t="n">
        <x:f>IF(ABS('Stage Ledger'!J404-MIN('Stage Ledger'!F404,'Stage Ledger'!H404,'Stage Ledger'!I404))&lt;0.000001,1,0)</x:f>
        <x:v>1</x:v>
      </x:c>
      <x:c r="F1498" s="21" t="n">
        <x:v>1</x:v>
      </x:c>
      <x:c r="G1498" s="23" t="str">
        <x:f>IF(E1498=F1498,"PASS","FAIL")</x:f>
        <x:v>PASS</x:v>
      </x:c>
    </x:row>
    <x:row r="1499">
      <x:c r="B1499" s="21" t="str">
        <x:v>A01493</x:v>
      </x:c>
      <x:c r="C1499" s="21" t="str">
        <x:v>stage</x:v>
      </x:c>
      <x:c r="D1499" s="21" t="str">
        <x:v>stage 398 observed conservation</x:v>
      </x:c>
      <x:c r="E1499" s="21" t="n">
        <x:f>IF(AND(ABS('Stage Ledger'!R404-IF(AND('Stage Ledger'!P404=1,'Stage Ledger'!Q404=1),MIN('Stage Ledger'!F404,'Stage Ledger'!M404,'Stage Ledger'!R403),0))&lt;0.000001,'Stage Ledger'!S404=IF('Stage Ledger'!R404&gt;='Stage Ledger'!F404,"ADMITTED","NOT ADMITTED")),1,0)</x:f>
        <x:v>1</x:v>
      </x:c>
      <x:c r="F1499" s="21" t="n">
        <x:v>1</x:v>
      </x:c>
      <x:c r="G1499" s="23" t="str">
        <x:f>IF(E1499=F1499,"PASS","FAIL")</x:f>
        <x:v>PASS</x:v>
      </x:c>
    </x:row>
    <x:row r="1500">
      <x:c r="B1500" s="21" t="str">
        <x:v>A01494</x:v>
      </x:c>
      <x:c r="C1500" s="21" t="str">
        <x:v>stage</x:v>
      </x:c>
      <x:c r="D1500" s="21" t="str">
        <x:v>stage 399 planned conservation</x:v>
      </x:c>
      <x:c r="E1500" s="21" t="n">
        <x:f>IF(ABS('Stage Ledger'!J405-MIN('Stage Ledger'!F405,'Stage Ledger'!H405,'Stage Ledger'!I405))&lt;0.000001,1,0)</x:f>
        <x:v>1</x:v>
      </x:c>
      <x:c r="F1500" s="21" t="n">
        <x:v>1</x:v>
      </x:c>
      <x:c r="G1500" s="23" t="str">
        <x:f>IF(E1500=F1500,"PASS","FAIL")</x:f>
        <x:v>PASS</x:v>
      </x:c>
    </x:row>
    <x:row r="1501">
      <x:c r="B1501" s="21" t="str">
        <x:v>A01495</x:v>
      </x:c>
      <x:c r="C1501" s="21" t="str">
        <x:v>stage</x:v>
      </x:c>
      <x:c r="D1501" s="21" t="str">
        <x:v>stage 399 observed conservation</x:v>
      </x:c>
      <x:c r="E1501" s="21" t="n">
        <x:f>IF(AND(ABS('Stage Ledger'!R405-IF(AND('Stage Ledger'!P405=1,'Stage Ledger'!Q405=1),MIN('Stage Ledger'!F405,'Stage Ledger'!M405,'Stage Ledger'!R404),0))&lt;0.000001,'Stage Ledger'!S405=IF('Stage Ledger'!R405&gt;='Stage Ledger'!F405,"ADMITTED","NOT ADMITTED")),1,0)</x:f>
        <x:v>1</x:v>
      </x:c>
      <x:c r="F1501" s="21" t="n">
        <x:v>1</x:v>
      </x:c>
      <x:c r="G1501" s="23" t="str">
        <x:f>IF(E1501=F1501,"PASS","FAIL")</x:f>
        <x:v>PASS</x:v>
      </x:c>
    </x:row>
    <x:row r="1502">
      <x:c r="B1502" s="21" t="str">
        <x:v>A01496</x:v>
      </x:c>
      <x:c r="C1502" s="21" t="str">
        <x:v>stage</x:v>
      </x:c>
      <x:c r="D1502" s="21" t="str">
        <x:v>stage 400 planned conservation</x:v>
      </x:c>
      <x:c r="E1502" s="21" t="n">
        <x:f>IF(ABS('Stage Ledger'!J406-MIN('Stage Ledger'!F406,'Stage Ledger'!H406,'Stage Ledger'!I406))&lt;0.000001,1,0)</x:f>
        <x:v>1</x:v>
      </x:c>
      <x:c r="F1502" s="21" t="n">
        <x:v>1</x:v>
      </x:c>
      <x:c r="G1502" s="23" t="str">
        <x:f>IF(E1502=F1502,"PASS","FAIL")</x:f>
        <x:v>PASS</x:v>
      </x:c>
    </x:row>
    <x:row r="1503">
      <x:c r="B1503" s="21" t="str">
        <x:v>A01497</x:v>
      </x:c>
      <x:c r="C1503" s="21" t="str">
        <x:v>stage</x:v>
      </x:c>
      <x:c r="D1503" s="21" t="str">
        <x:v>stage 400 observed conservation</x:v>
      </x:c>
      <x:c r="E1503" s="21" t="n">
        <x:f>IF(AND(ABS('Stage Ledger'!R406-IF(AND('Stage Ledger'!P406=1,'Stage Ledger'!Q406=1),MIN('Stage Ledger'!F406,'Stage Ledger'!M406,'Stage Ledger'!R405),0))&lt;0.000001,'Stage Ledger'!S406=IF('Stage Ledger'!R406&gt;='Stage Ledger'!F406,"ADMITTED","NOT ADMITTED")),1,0)</x:f>
        <x:v>1</x:v>
      </x:c>
      <x:c r="F1503" s="21" t="n">
        <x:v>1</x:v>
      </x:c>
      <x:c r="G1503" s="23" t="str">
        <x:f>IF(E1503=F1503,"PASS","FAIL")</x:f>
        <x:v>PASS</x:v>
      </x:c>
    </x:row>
    <x:row r="1504">
      <x:c r="B1504" s="21" t="str">
        <x:v>A01498</x:v>
      </x:c>
      <x:c r="C1504" s="21" t="str">
        <x:v>stage</x:v>
      </x:c>
      <x:c r="D1504" s="21" t="str">
        <x:v>stage 401 planned conservation</x:v>
      </x:c>
      <x:c r="E1504" s="21" t="n">
        <x:f>IF(ABS('Stage Ledger'!J407-MIN('Stage Ledger'!F407,'Stage Ledger'!H407,'Stage Ledger'!I407))&lt;0.000001,1,0)</x:f>
        <x:v>1</x:v>
      </x:c>
      <x:c r="F1504" s="21" t="n">
        <x:v>1</x:v>
      </x:c>
      <x:c r="G1504" s="23" t="str">
        <x:f>IF(E1504=F1504,"PASS","FAIL")</x:f>
        <x:v>PASS</x:v>
      </x:c>
    </x:row>
    <x:row r="1505">
      <x:c r="B1505" s="21" t="str">
        <x:v>A01499</x:v>
      </x:c>
      <x:c r="C1505" s="21" t="str">
        <x:v>stage</x:v>
      </x:c>
      <x:c r="D1505" s="21" t="str">
        <x:v>stage 401 observed conservation</x:v>
      </x:c>
      <x:c r="E1505" s="21" t="n">
        <x:f>IF(AND(ABS('Stage Ledger'!R407-IF(AND('Stage Ledger'!P407=1,'Stage Ledger'!Q407=1),MIN('Stage Ledger'!F407,'Stage Ledger'!M407,'Stage Ledger'!R406),0))&lt;0.000001,'Stage Ledger'!S407=IF('Stage Ledger'!R407&gt;='Stage Ledger'!F407,"ADMITTED","NOT ADMITTED")),1,0)</x:f>
        <x:v>1</x:v>
      </x:c>
      <x:c r="F1505" s="21" t="n">
        <x:v>1</x:v>
      </x:c>
      <x:c r="G1505" s="23" t="str">
        <x:f>IF(E1505=F1505,"PASS","FAIL")</x:f>
        <x:v>PASS</x:v>
      </x:c>
    </x:row>
    <x:row r="1506">
      <x:c r="B1506" s="21" t="str">
        <x:v>A01500</x:v>
      </x:c>
      <x:c r="C1506" s="21" t="str">
        <x:v>stage</x:v>
      </x:c>
      <x:c r="D1506" s="21" t="str">
        <x:v>stage 402 planned conservation</x:v>
      </x:c>
      <x:c r="E1506" s="21" t="n">
        <x:f>IF(ABS('Stage Ledger'!J408-MIN('Stage Ledger'!F408,'Stage Ledger'!H408,'Stage Ledger'!I408))&lt;0.000001,1,0)</x:f>
        <x:v>1</x:v>
      </x:c>
      <x:c r="F1506" s="21" t="n">
        <x:v>1</x:v>
      </x:c>
      <x:c r="G1506" s="23" t="str">
        <x:f>IF(E1506=F1506,"PASS","FAIL")</x:f>
        <x:v>PASS</x:v>
      </x:c>
    </x:row>
    <x:row r="1507">
      <x:c r="B1507" s="21" t="str">
        <x:v>A01501</x:v>
      </x:c>
      <x:c r="C1507" s="21" t="str">
        <x:v>stage</x:v>
      </x:c>
      <x:c r="D1507" s="21" t="str">
        <x:v>stage 402 observed conservation</x:v>
      </x:c>
      <x:c r="E1507" s="21" t="n">
        <x:f>IF(AND(ABS('Stage Ledger'!R408-IF(AND('Stage Ledger'!P408=1,'Stage Ledger'!Q408=1),MIN('Stage Ledger'!F408,'Stage Ledger'!M408,'Stage Ledger'!R407),0))&lt;0.000001,'Stage Ledger'!S408=IF('Stage Ledger'!R408&gt;='Stage Ledger'!F408,"ADMITTED","NOT ADMITTED")),1,0)</x:f>
        <x:v>1</x:v>
      </x:c>
      <x:c r="F1507" s="21" t="n">
        <x:v>1</x:v>
      </x:c>
      <x:c r="G1507" s="23" t="str">
        <x:f>IF(E1507=F1507,"PASS","FAIL")</x:f>
        <x:v>PASS</x:v>
      </x:c>
    </x:row>
    <x:row r="1508">
      <x:c r="B1508" s="21" t="str">
        <x:v>A01502</x:v>
      </x:c>
      <x:c r="C1508" s="21" t="str">
        <x:v>stage</x:v>
      </x:c>
      <x:c r="D1508" s="21" t="str">
        <x:v>stage 403 planned conservation</x:v>
      </x:c>
      <x:c r="E1508" s="21" t="n">
        <x:f>IF(ABS('Stage Ledger'!J409-MIN('Stage Ledger'!F409,'Stage Ledger'!H409,'Stage Ledger'!I409))&lt;0.000001,1,0)</x:f>
        <x:v>1</x:v>
      </x:c>
      <x:c r="F1508" s="21" t="n">
        <x:v>1</x:v>
      </x:c>
      <x:c r="G1508" s="23" t="str">
        <x:f>IF(E1508=F1508,"PASS","FAIL")</x:f>
        <x:v>PASS</x:v>
      </x:c>
    </x:row>
    <x:row r="1509">
      <x:c r="B1509" s="21" t="str">
        <x:v>A01503</x:v>
      </x:c>
      <x:c r="C1509" s="21" t="str">
        <x:v>stage</x:v>
      </x:c>
      <x:c r="D1509" s="21" t="str">
        <x:v>stage 403 observed conservation</x:v>
      </x:c>
      <x:c r="E1509" s="21" t="n">
        <x:f>IF(AND(ABS('Stage Ledger'!R409-IF(AND('Stage Ledger'!P409=1,'Stage Ledger'!Q409=1),MIN('Stage Ledger'!F409,'Stage Ledger'!M409,'Stage Ledger'!R408),0))&lt;0.000001,'Stage Ledger'!S409=IF('Stage Ledger'!R409&gt;='Stage Ledger'!F409,"ADMITTED","NOT ADMITTED")),1,0)</x:f>
        <x:v>1</x:v>
      </x:c>
      <x:c r="F1509" s="21" t="n">
        <x:v>1</x:v>
      </x:c>
      <x:c r="G1509" s="23" t="str">
        <x:f>IF(E1509=F1509,"PASS","FAIL")</x:f>
        <x:v>PASS</x:v>
      </x:c>
    </x:row>
    <x:row r="1510">
      <x:c r="B1510" s="21" t="str">
        <x:v>A01504</x:v>
      </x:c>
      <x:c r="C1510" s="21" t="str">
        <x:v>stage</x:v>
      </x:c>
      <x:c r="D1510" s="21" t="str">
        <x:v>stage 404 planned conservation</x:v>
      </x:c>
      <x:c r="E1510" s="21" t="n">
        <x:f>IF(ABS('Stage Ledger'!J410-MIN('Stage Ledger'!F410,'Stage Ledger'!H410,'Stage Ledger'!I410))&lt;0.000001,1,0)</x:f>
        <x:v>1</x:v>
      </x:c>
      <x:c r="F1510" s="21" t="n">
        <x:v>1</x:v>
      </x:c>
      <x:c r="G1510" s="23" t="str">
        <x:f>IF(E1510=F1510,"PASS","FAIL")</x:f>
        <x:v>PASS</x:v>
      </x:c>
    </x:row>
    <x:row r="1511">
      <x:c r="B1511" s="21" t="str">
        <x:v>A01505</x:v>
      </x:c>
      <x:c r="C1511" s="21" t="str">
        <x:v>stage</x:v>
      </x:c>
      <x:c r="D1511" s="21" t="str">
        <x:v>stage 404 observed conservation</x:v>
      </x:c>
      <x:c r="E1511" s="21" t="n">
        <x:f>IF(AND(ABS('Stage Ledger'!R410-IF(AND('Stage Ledger'!P410=1,'Stage Ledger'!Q410=1),MIN('Stage Ledger'!F410,'Stage Ledger'!M410,'Stage Ledger'!R409),0))&lt;0.000001,'Stage Ledger'!S410=IF('Stage Ledger'!R410&gt;='Stage Ledger'!F410,"ADMITTED","NOT ADMITTED")),1,0)</x:f>
        <x:v>1</x:v>
      </x:c>
      <x:c r="F1511" s="21" t="n">
        <x:v>1</x:v>
      </x:c>
      <x:c r="G1511" s="23" t="str">
        <x:f>IF(E1511=F1511,"PASS","FAIL")</x:f>
        <x:v>PASS</x:v>
      </x:c>
    </x:row>
    <x:row r="1512">
      <x:c r="B1512" s="21" t="str">
        <x:v>A01506</x:v>
      </x:c>
      <x:c r="C1512" s="21" t="str">
        <x:v>stage</x:v>
      </x:c>
      <x:c r="D1512" s="21" t="str">
        <x:v>stage 405 planned conservation</x:v>
      </x:c>
      <x:c r="E1512" s="21" t="n">
        <x:f>IF(ABS('Stage Ledger'!J411-MIN('Stage Ledger'!F411,'Stage Ledger'!H411,'Stage Ledger'!I411))&lt;0.000001,1,0)</x:f>
        <x:v>1</x:v>
      </x:c>
      <x:c r="F1512" s="21" t="n">
        <x:v>1</x:v>
      </x:c>
      <x:c r="G1512" s="23" t="str">
        <x:f>IF(E1512=F1512,"PASS","FAIL")</x:f>
        <x:v>PASS</x:v>
      </x:c>
    </x:row>
    <x:row r="1513">
      <x:c r="B1513" s="21" t="str">
        <x:v>A01507</x:v>
      </x:c>
      <x:c r="C1513" s="21" t="str">
        <x:v>stage</x:v>
      </x:c>
      <x:c r="D1513" s="21" t="str">
        <x:v>stage 405 observed conservation</x:v>
      </x:c>
      <x:c r="E1513" s="21" t="n">
        <x:f>IF(AND(ABS('Stage Ledger'!R411-IF(AND('Stage Ledger'!P411=1,'Stage Ledger'!Q411=1),MIN('Stage Ledger'!F411,'Stage Ledger'!M411,'Stage Ledger'!R410),0))&lt;0.000001,'Stage Ledger'!S411=IF('Stage Ledger'!R411&gt;='Stage Ledger'!F411,"ADMITTED","NOT ADMITTED")),1,0)</x:f>
        <x:v>1</x:v>
      </x:c>
      <x:c r="F1513" s="21" t="n">
        <x:v>1</x:v>
      </x:c>
      <x:c r="G1513" s="23" t="str">
        <x:f>IF(E1513=F1513,"PASS","FAIL")</x:f>
        <x:v>PASS</x:v>
      </x:c>
    </x:row>
    <x:row r="1514">
      <x:c r="B1514" s="21" t="str">
        <x:v>A01508</x:v>
      </x:c>
      <x:c r="C1514" s="21" t="str">
        <x:v>stage</x:v>
      </x:c>
      <x:c r="D1514" s="21" t="str">
        <x:v>stage 406 planned conservation</x:v>
      </x:c>
      <x:c r="E1514" s="21" t="n">
        <x:f>IF(ABS('Stage Ledger'!J412-MIN('Stage Ledger'!F412,'Stage Ledger'!H412,'Stage Ledger'!I412))&lt;0.000001,1,0)</x:f>
        <x:v>1</x:v>
      </x:c>
      <x:c r="F1514" s="21" t="n">
        <x:v>1</x:v>
      </x:c>
      <x:c r="G1514" s="23" t="str">
        <x:f>IF(E1514=F1514,"PASS","FAIL")</x:f>
        <x:v>PASS</x:v>
      </x:c>
    </x:row>
    <x:row r="1515">
      <x:c r="B1515" s="21" t="str">
        <x:v>A01509</x:v>
      </x:c>
      <x:c r="C1515" s="21" t="str">
        <x:v>stage</x:v>
      </x:c>
      <x:c r="D1515" s="21" t="str">
        <x:v>stage 406 observed conservation</x:v>
      </x:c>
      <x:c r="E1515" s="21" t="n">
        <x:f>IF(AND(ABS('Stage Ledger'!R412-IF(AND('Stage Ledger'!P412=1,'Stage Ledger'!Q412=1),MIN('Stage Ledger'!F412,'Stage Ledger'!M412,'Stage Ledger'!R411),0))&lt;0.000001,'Stage Ledger'!S412=IF('Stage Ledger'!R412&gt;='Stage Ledger'!F412,"ADMITTED","NOT ADMITTED")),1,0)</x:f>
        <x:v>1</x:v>
      </x:c>
      <x:c r="F1515" s="21" t="n">
        <x:v>1</x:v>
      </x:c>
      <x:c r="G1515" s="23" t="str">
        <x:f>IF(E1515=F1515,"PASS","FAIL")</x:f>
        <x:v>PASS</x:v>
      </x:c>
    </x:row>
    <x:row r="1516">
      <x:c r="B1516" s="21" t="str">
        <x:v>A01510</x:v>
      </x:c>
      <x:c r="C1516" s="21" t="str">
        <x:v>stage</x:v>
      </x:c>
      <x:c r="D1516" s="21" t="str">
        <x:v>stage 407 planned conservation</x:v>
      </x:c>
      <x:c r="E1516" s="21" t="n">
        <x:f>IF(ABS('Stage Ledger'!J413-MIN('Stage Ledger'!F413,'Stage Ledger'!H413,'Stage Ledger'!I413))&lt;0.000001,1,0)</x:f>
        <x:v>1</x:v>
      </x:c>
      <x:c r="F1516" s="21" t="n">
        <x:v>1</x:v>
      </x:c>
      <x:c r="G1516" s="23" t="str">
        <x:f>IF(E1516=F1516,"PASS","FAIL")</x:f>
        <x:v>PASS</x:v>
      </x:c>
    </x:row>
    <x:row r="1517">
      <x:c r="B1517" s="21" t="str">
        <x:v>A01511</x:v>
      </x:c>
      <x:c r="C1517" s="21" t="str">
        <x:v>stage</x:v>
      </x:c>
      <x:c r="D1517" s="21" t="str">
        <x:v>stage 407 observed conservation</x:v>
      </x:c>
      <x:c r="E1517" s="21" t="n">
        <x:f>IF(AND(ABS('Stage Ledger'!R413-IF(AND('Stage Ledger'!P413=1,'Stage Ledger'!Q413=1),MIN('Stage Ledger'!F413,'Stage Ledger'!M413,'Stage Ledger'!R412),0))&lt;0.000001,'Stage Ledger'!S413=IF('Stage Ledger'!R413&gt;='Stage Ledger'!F413,"ADMITTED","NOT ADMITTED")),1,0)</x:f>
        <x:v>1</x:v>
      </x:c>
      <x:c r="F1517" s="21" t="n">
        <x:v>1</x:v>
      </x:c>
      <x:c r="G1517" s="23" t="str">
        <x:f>IF(E1517=F1517,"PASS","FAIL")</x:f>
        <x:v>PASS</x:v>
      </x:c>
    </x:row>
    <x:row r="1518">
      <x:c r="B1518" s="21" t="str">
        <x:v>A01512</x:v>
      </x:c>
      <x:c r="C1518" s="21" t="str">
        <x:v>stage</x:v>
      </x:c>
      <x:c r="D1518" s="21" t="str">
        <x:v>stage 408 planned conservation</x:v>
      </x:c>
      <x:c r="E1518" s="21" t="n">
        <x:f>IF(ABS('Stage Ledger'!J414-MIN('Stage Ledger'!F414,'Stage Ledger'!H414,'Stage Ledger'!I414))&lt;0.000001,1,0)</x:f>
        <x:v>1</x:v>
      </x:c>
      <x:c r="F1518" s="21" t="n">
        <x:v>1</x:v>
      </x:c>
      <x:c r="G1518" s="23" t="str">
        <x:f>IF(E1518=F1518,"PASS","FAIL")</x:f>
        <x:v>PASS</x:v>
      </x:c>
    </x:row>
    <x:row r="1519">
      <x:c r="B1519" s="21" t="str">
        <x:v>A01513</x:v>
      </x:c>
      <x:c r="C1519" s="21" t="str">
        <x:v>stage</x:v>
      </x:c>
      <x:c r="D1519" s="21" t="str">
        <x:v>stage 408 observed conservation</x:v>
      </x:c>
      <x:c r="E1519" s="21" t="n">
        <x:f>IF(AND(ABS('Stage Ledger'!R414-IF(AND('Stage Ledger'!P414=1,'Stage Ledger'!Q414=1),MIN('Stage Ledger'!F414,'Stage Ledger'!M414,'Stage Ledger'!R413),0))&lt;0.000001,'Stage Ledger'!S414=IF('Stage Ledger'!R414&gt;='Stage Ledger'!F414,"ADMITTED","NOT ADMITTED")),1,0)</x:f>
        <x:v>1</x:v>
      </x:c>
      <x:c r="F1519" s="21" t="n">
        <x:v>1</x:v>
      </x:c>
      <x:c r="G1519" s="23" t="str">
        <x:f>IF(E1519=F1519,"PASS","FAIL")</x:f>
        <x:v>PASS</x:v>
      </x:c>
    </x:row>
    <x:row r="1520">
      <x:c r="B1520" s="21" t="str">
        <x:v>A01514</x:v>
      </x:c>
      <x:c r="C1520" s="21" t="str">
        <x:v>stage</x:v>
      </x:c>
      <x:c r="D1520" s="21" t="str">
        <x:v>stage 409 planned conservation</x:v>
      </x:c>
      <x:c r="E1520" s="21" t="n">
        <x:f>IF(ABS('Stage Ledger'!J415-MIN('Stage Ledger'!F415,'Stage Ledger'!H415,'Stage Ledger'!I415))&lt;0.000001,1,0)</x:f>
        <x:v>1</x:v>
      </x:c>
      <x:c r="F1520" s="21" t="n">
        <x:v>1</x:v>
      </x:c>
      <x:c r="G1520" s="23" t="str">
        <x:f>IF(E1520=F1520,"PASS","FAIL")</x:f>
        <x:v>PASS</x:v>
      </x:c>
    </x:row>
    <x:row r="1521">
      <x:c r="B1521" s="21" t="str">
        <x:v>A01515</x:v>
      </x:c>
      <x:c r="C1521" s="21" t="str">
        <x:v>stage</x:v>
      </x:c>
      <x:c r="D1521" s="21" t="str">
        <x:v>stage 409 observed conservation</x:v>
      </x:c>
      <x:c r="E1521" s="21" t="n">
        <x:f>IF(AND(ABS('Stage Ledger'!R415-IF(AND('Stage Ledger'!P415=1,'Stage Ledger'!Q415=1),MIN('Stage Ledger'!F415,'Stage Ledger'!M415),0))&lt;0.000001,'Stage Ledger'!S415=IF('Stage Ledger'!R415&gt;='Stage Ledger'!F415,"ADMITTED","NOT ADMITTED")),1,0)</x:f>
        <x:v>1</x:v>
      </x:c>
      <x:c r="F1521" s="21" t="n">
        <x:v>1</x:v>
      </x:c>
      <x:c r="G1521" s="23" t="str">
        <x:f>IF(E1521=F1521,"PASS","FAIL")</x:f>
        <x:v>PASS</x:v>
      </x:c>
    </x:row>
    <x:row r="1522">
      <x:c r="B1522" s="21" t="str">
        <x:v>A01516</x:v>
      </x:c>
      <x:c r="C1522" s="21" t="str">
        <x:v>stage</x:v>
      </x:c>
      <x:c r="D1522" s="21" t="str">
        <x:v>stage 410 planned conservation</x:v>
      </x:c>
      <x:c r="E1522" s="21" t="n">
        <x:f>IF(ABS('Stage Ledger'!J416-MIN('Stage Ledger'!F416,'Stage Ledger'!H416,'Stage Ledger'!I416))&lt;0.000001,1,0)</x:f>
        <x:v>1</x:v>
      </x:c>
      <x:c r="F1522" s="21" t="n">
        <x:v>1</x:v>
      </x:c>
      <x:c r="G1522" s="23" t="str">
        <x:f>IF(E1522=F1522,"PASS","FAIL")</x:f>
        <x:v>PASS</x:v>
      </x:c>
    </x:row>
    <x:row r="1523">
      <x:c r="B1523" s="21" t="str">
        <x:v>A01517</x:v>
      </x:c>
      <x:c r="C1523" s="21" t="str">
        <x:v>stage</x:v>
      </x:c>
      <x:c r="D1523" s="21" t="str">
        <x:v>stage 410 observed conservation</x:v>
      </x:c>
      <x:c r="E1523" s="21" t="n">
        <x:f>IF(AND(ABS('Stage Ledger'!R416-IF(AND('Stage Ledger'!P416=1,'Stage Ledger'!Q416=1),MIN('Stage Ledger'!F416,'Stage Ledger'!M416,'Stage Ledger'!R415),0))&lt;0.000001,'Stage Ledger'!S416=IF('Stage Ledger'!R416&gt;='Stage Ledger'!F416,"ADMITTED","NOT ADMITTED")),1,0)</x:f>
        <x:v>1</x:v>
      </x:c>
      <x:c r="F1523" s="21" t="n">
        <x:v>1</x:v>
      </x:c>
      <x:c r="G1523" s="23" t="str">
        <x:f>IF(E1523=F1523,"PASS","FAIL")</x:f>
        <x:v>PASS</x:v>
      </x:c>
    </x:row>
    <x:row r="1524">
      <x:c r="B1524" s="21" t="str">
        <x:v>A01518</x:v>
      </x:c>
      <x:c r="C1524" s="21" t="str">
        <x:v>stage</x:v>
      </x:c>
      <x:c r="D1524" s="21" t="str">
        <x:v>stage 411 planned conservation</x:v>
      </x:c>
      <x:c r="E1524" s="21" t="n">
        <x:f>IF(ABS('Stage Ledger'!J417-MIN('Stage Ledger'!F417,'Stage Ledger'!H417,'Stage Ledger'!I417))&lt;0.000001,1,0)</x:f>
        <x:v>1</x:v>
      </x:c>
      <x:c r="F1524" s="21" t="n">
        <x:v>1</x:v>
      </x:c>
      <x:c r="G1524" s="23" t="str">
        <x:f>IF(E1524=F1524,"PASS","FAIL")</x:f>
        <x:v>PASS</x:v>
      </x:c>
    </x:row>
    <x:row r="1525">
      <x:c r="B1525" s="21" t="str">
        <x:v>A01519</x:v>
      </x:c>
      <x:c r="C1525" s="21" t="str">
        <x:v>stage</x:v>
      </x:c>
      <x:c r="D1525" s="21" t="str">
        <x:v>stage 411 observed conservation</x:v>
      </x:c>
      <x:c r="E1525" s="21" t="n">
        <x:f>IF(AND(ABS('Stage Ledger'!R417-IF(AND('Stage Ledger'!P417=1,'Stage Ledger'!Q417=1),MIN('Stage Ledger'!F417,'Stage Ledger'!M417,'Stage Ledger'!R416),0))&lt;0.000001,'Stage Ledger'!S417=IF('Stage Ledger'!R417&gt;='Stage Ledger'!F417,"ADMITTED","NOT ADMITTED")),1,0)</x:f>
        <x:v>1</x:v>
      </x:c>
      <x:c r="F1525" s="21" t="n">
        <x:v>1</x:v>
      </x:c>
      <x:c r="G1525" s="23" t="str">
        <x:f>IF(E1525=F1525,"PASS","FAIL")</x:f>
        <x:v>PASS</x:v>
      </x:c>
    </x:row>
    <x:row r="1526">
      <x:c r="B1526" s="21" t="str">
        <x:v>A01520</x:v>
      </x:c>
      <x:c r="C1526" s="21" t="str">
        <x:v>stage</x:v>
      </x:c>
      <x:c r="D1526" s="21" t="str">
        <x:v>stage 412 planned conservation</x:v>
      </x:c>
      <x:c r="E1526" s="21" t="n">
        <x:f>IF(ABS('Stage Ledger'!J418-MIN('Stage Ledger'!F418,'Stage Ledger'!H418,'Stage Ledger'!I418))&lt;0.000001,1,0)</x:f>
        <x:v>1</x:v>
      </x:c>
      <x:c r="F1526" s="21" t="n">
        <x:v>1</x:v>
      </x:c>
      <x:c r="G1526" s="23" t="str">
        <x:f>IF(E1526=F1526,"PASS","FAIL")</x:f>
        <x:v>PASS</x:v>
      </x:c>
    </x:row>
    <x:row r="1527">
      <x:c r="B1527" s="21" t="str">
        <x:v>A01521</x:v>
      </x:c>
      <x:c r="C1527" s="21" t="str">
        <x:v>stage</x:v>
      </x:c>
      <x:c r="D1527" s="21" t="str">
        <x:v>stage 412 observed conservation</x:v>
      </x:c>
      <x:c r="E1527" s="21" t="n">
        <x:f>IF(AND(ABS('Stage Ledger'!R418-IF(AND('Stage Ledger'!P418=1,'Stage Ledger'!Q418=1),MIN('Stage Ledger'!F418,'Stage Ledger'!M418,'Stage Ledger'!R417),0))&lt;0.000001,'Stage Ledger'!S418=IF('Stage Ledger'!R418&gt;='Stage Ledger'!F418,"ADMITTED","NOT ADMITTED")),1,0)</x:f>
        <x:v>1</x:v>
      </x:c>
      <x:c r="F1527" s="21" t="n">
        <x:v>1</x:v>
      </x:c>
      <x:c r="G1527" s="23" t="str">
        <x:f>IF(E1527=F1527,"PASS","FAIL")</x:f>
        <x:v>PASS</x:v>
      </x:c>
    </x:row>
    <x:row r="1528">
      <x:c r="B1528" s="21" t="str">
        <x:v>A01522</x:v>
      </x:c>
      <x:c r="C1528" s="21" t="str">
        <x:v>stage</x:v>
      </x:c>
      <x:c r="D1528" s="21" t="str">
        <x:v>stage 413 planned conservation</x:v>
      </x:c>
      <x:c r="E1528" s="21" t="n">
        <x:f>IF(ABS('Stage Ledger'!J419-MIN('Stage Ledger'!F419,'Stage Ledger'!H419,'Stage Ledger'!I419))&lt;0.000001,1,0)</x:f>
        <x:v>1</x:v>
      </x:c>
      <x:c r="F1528" s="21" t="n">
        <x:v>1</x:v>
      </x:c>
      <x:c r="G1528" s="23" t="str">
        <x:f>IF(E1528=F1528,"PASS","FAIL")</x:f>
        <x:v>PASS</x:v>
      </x:c>
    </x:row>
    <x:row r="1529">
      <x:c r="B1529" s="21" t="str">
        <x:v>A01523</x:v>
      </x:c>
      <x:c r="C1529" s="21" t="str">
        <x:v>stage</x:v>
      </x:c>
      <x:c r="D1529" s="21" t="str">
        <x:v>stage 413 observed conservation</x:v>
      </x:c>
      <x:c r="E1529" s="21" t="n">
        <x:f>IF(AND(ABS('Stage Ledger'!R419-IF(AND('Stage Ledger'!P419=1,'Stage Ledger'!Q419=1),MIN('Stage Ledger'!F419,'Stage Ledger'!M419,'Stage Ledger'!R418),0))&lt;0.000001,'Stage Ledger'!S419=IF('Stage Ledger'!R419&gt;='Stage Ledger'!F419,"ADMITTED","NOT ADMITTED")),1,0)</x:f>
        <x:v>1</x:v>
      </x:c>
      <x:c r="F1529" s="21" t="n">
        <x:v>1</x:v>
      </x:c>
      <x:c r="G1529" s="23" t="str">
        <x:f>IF(E1529=F1529,"PASS","FAIL")</x:f>
        <x:v>PASS</x:v>
      </x:c>
    </x:row>
    <x:row r="1530">
      <x:c r="B1530" s="21" t="str">
        <x:v>A01524</x:v>
      </x:c>
      <x:c r="C1530" s="21" t="str">
        <x:v>stage</x:v>
      </x:c>
      <x:c r="D1530" s="21" t="str">
        <x:v>stage 414 planned conservation</x:v>
      </x:c>
      <x:c r="E1530" s="21" t="n">
        <x:f>IF(ABS('Stage Ledger'!J420-MIN('Stage Ledger'!F420,'Stage Ledger'!H420,'Stage Ledger'!I420))&lt;0.000001,1,0)</x:f>
        <x:v>1</x:v>
      </x:c>
      <x:c r="F1530" s="21" t="n">
        <x:v>1</x:v>
      </x:c>
      <x:c r="G1530" s="23" t="str">
        <x:f>IF(E1530=F1530,"PASS","FAIL")</x:f>
        <x:v>PASS</x:v>
      </x:c>
    </x:row>
    <x:row r="1531">
      <x:c r="B1531" s="21" t="str">
        <x:v>A01525</x:v>
      </x:c>
      <x:c r="C1531" s="21" t="str">
        <x:v>stage</x:v>
      </x:c>
      <x:c r="D1531" s="21" t="str">
        <x:v>stage 414 observed conservation</x:v>
      </x:c>
      <x:c r="E1531" s="21" t="n">
        <x:f>IF(AND(ABS('Stage Ledger'!R420-IF(AND('Stage Ledger'!P420=1,'Stage Ledger'!Q420=1),MIN('Stage Ledger'!F420,'Stage Ledger'!M420,'Stage Ledger'!R419),0))&lt;0.000001,'Stage Ledger'!S420=IF('Stage Ledger'!R420&gt;='Stage Ledger'!F420,"ADMITTED","NOT ADMITTED")),1,0)</x:f>
        <x:v>1</x:v>
      </x:c>
      <x:c r="F1531" s="21" t="n">
        <x:v>1</x:v>
      </x:c>
      <x:c r="G1531" s="23" t="str">
        <x:f>IF(E1531=F1531,"PASS","FAIL")</x:f>
        <x:v>PASS</x:v>
      </x:c>
    </x:row>
    <x:row r="1532">
      <x:c r="B1532" s="21" t="str">
        <x:v>A01526</x:v>
      </x:c>
      <x:c r="C1532" s="21" t="str">
        <x:v>stage</x:v>
      </x:c>
      <x:c r="D1532" s="21" t="str">
        <x:v>stage 415 planned conservation</x:v>
      </x:c>
      <x:c r="E1532" s="21" t="n">
        <x:f>IF(ABS('Stage Ledger'!J421-MIN('Stage Ledger'!F421,'Stage Ledger'!H421,'Stage Ledger'!I421))&lt;0.000001,1,0)</x:f>
        <x:v>1</x:v>
      </x:c>
      <x:c r="F1532" s="21" t="n">
        <x:v>1</x:v>
      </x:c>
      <x:c r="G1532" s="23" t="str">
        <x:f>IF(E1532=F1532,"PASS","FAIL")</x:f>
        <x:v>PASS</x:v>
      </x:c>
    </x:row>
    <x:row r="1533">
      <x:c r="B1533" s="21" t="str">
        <x:v>A01527</x:v>
      </x:c>
      <x:c r="C1533" s="21" t="str">
        <x:v>stage</x:v>
      </x:c>
      <x:c r="D1533" s="21" t="str">
        <x:v>stage 415 observed conservation</x:v>
      </x:c>
      <x:c r="E1533" s="21" t="n">
        <x:f>IF(AND(ABS('Stage Ledger'!R421-IF(AND('Stage Ledger'!P421=1,'Stage Ledger'!Q421=1),MIN('Stage Ledger'!F421,'Stage Ledger'!M421,'Stage Ledger'!R420),0))&lt;0.000001,'Stage Ledger'!S421=IF('Stage Ledger'!R421&gt;='Stage Ledger'!F421,"ADMITTED","NOT ADMITTED")),1,0)</x:f>
        <x:v>1</x:v>
      </x:c>
      <x:c r="F1533" s="21" t="n">
        <x:v>1</x:v>
      </x:c>
      <x:c r="G1533" s="23" t="str">
        <x:f>IF(E1533=F1533,"PASS","FAIL")</x:f>
        <x:v>PASS</x:v>
      </x:c>
    </x:row>
    <x:row r="1534">
      <x:c r="B1534" s="21" t="str">
        <x:v>A01528</x:v>
      </x:c>
      <x:c r="C1534" s="21" t="str">
        <x:v>stage</x:v>
      </x:c>
      <x:c r="D1534" s="21" t="str">
        <x:v>stage 416 planned conservation</x:v>
      </x:c>
      <x:c r="E1534" s="21" t="n">
        <x:f>IF(ABS('Stage Ledger'!J422-MIN('Stage Ledger'!F422,'Stage Ledger'!H422,'Stage Ledger'!I422))&lt;0.000001,1,0)</x:f>
        <x:v>1</x:v>
      </x:c>
      <x:c r="F1534" s="21" t="n">
        <x:v>1</x:v>
      </x:c>
      <x:c r="G1534" s="23" t="str">
        <x:f>IF(E1534=F1534,"PASS","FAIL")</x:f>
        <x:v>PASS</x:v>
      </x:c>
    </x:row>
    <x:row r="1535">
      <x:c r="B1535" s="21" t="str">
        <x:v>A01529</x:v>
      </x:c>
      <x:c r="C1535" s="21" t="str">
        <x:v>stage</x:v>
      </x:c>
      <x:c r="D1535" s="21" t="str">
        <x:v>stage 416 observed conservation</x:v>
      </x:c>
      <x:c r="E1535" s="21" t="n">
        <x:f>IF(AND(ABS('Stage Ledger'!R422-IF(AND('Stage Ledger'!P422=1,'Stage Ledger'!Q422=1),MIN('Stage Ledger'!F422,'Stage Ledger'!M422,'Stage Ledger'!R421),0))&lt;0.000001,'Stage Ledger'!S422=IF('Stage Ledger'!R422&gt;='Stage Ledger'!F422,"ADMITTED","NOT ADMITTED")),1,0)</x:f>
        <x:v>1</x:v>
      </x:c>
      <x:c r="F1535" s="21" t="n">
        <x:v>1</x:v>
      </x:c>
      <x:c r="G1535" s="23" t="str">
        <x:f>IF(E1535=F1535,"PASS","FAIL")</x:f>
        <x:v>PASS</x:v>
      </x:c>
    </x:row>
    <x:row r="1536">
      <x:c r="B1536" s="21" t="str">
        <x:v>A01530</x:v>
      </x:c>
      <x:c r="C1536" s="21" t="str">
        <x:v>stage</x:v>
      </x:c>
      <x:c r="D1536" s="21" t="str">
        <x:v>stage 417 planned conservation</x:v>
      </x:c>
      <x:c r="E1536" s="21" t="n">
        <x:f>IF(ABS('Stage Ledger'!J423-MIN('Stage Ledger'!F423,'Stage Ledger'!H423,'Stage Ledger'!I423))&lt;0.000001,1,0)</x:f>
        <x:v>1</x:v>
      </x:c>
      <x:c r="F1536" s="21" t="n">
        <x:v>1</x:v>
      </x:c>
      <x:c r="G1536" s="23" t="str">
        <x:f>IF(E1536=F1536,"PASS","FAIL")</x:f>
        <x:v>PASS</x:v>
      </x:c>
    </x:row>
    <x:row r="1537">
      <x:c r="B1537" s="21" t="str">
        <x:v>A01531</x:v>
      </x:c>
      <x:c r="C1537" s="21" t="str">
        <x:v>stage</x:v>
      </x:c>
      <x:c r="D1537" s="21" t="str">
        <x:v>stage 417 observed conservation</x:v>
      </x:c>
      <x:c r="E1537" s="21" t="n">
        <x:f>IF(AND(ABS('Stage Ledger'!R423-IF(AND('Stage Ledger'!P423=1,'Stage Ledger'!Q423=1),MIN('Stage Ledger'!F423,'Stage Ledger'!M423,'Stage Ledger'!R422),0))&lt;0.000001,'Stage Ledger'!S423=IF('Stage Ledger'!R423&gt;='Stage Ledger'!F423,"ADMITTED","NOT ADMITTED")),1,0)</x:f>
        <x:v>1</x:v>
      </x:c>
      <x:c r="F1537" s="21" t="n">
        <x:v>1</x:v>
      </x:c>
      <x:c r="G1537" s="23" t="str">
        <x:f>IF(E1537=F1537,"PASS","FAIL")</x:f>
        <x:v>PASS</x:v>
      </x:c>
    </x:row>
    <x:row r="1538">
      <x:c r="B1538" s="21" t="str">
        <x:v>A01532</x:v>
      </x:c>
      <x:c r="C1538" s="21" t="str">
        <x:v>stage</x:v>
      </x:c>
      <x:c r="D1538" s="21" t="str">
        <x:v>stage 418 planned conservation</x:v>
      </x:c>
      <x:c r="E1538" s="21" t="n">
        <x:f>IF(ABS('Stage Ledger'!J424-MIN('Stage Ledger'!F424,'Stage Ledger'!H424,'Stage Ledger'!I424))&lt;0.000001,1,0)</x:f>
        <x:v>1</x:v>
      </x:c>
      <x:c r="F1538" s="21" t="n">
        <x:v>1</x:v>
      </x:c>
      <x:c r="G1538" s="23" t="str">
        <x:f>IF(E1538=F1538,"PASS","FAIL")</x:f>
        <x:v>PASS</x:v>
      </x:c>
    </x:row>
    <x:row r="1539">
      <x:c r="B1539" s="21" t="str">
        <x:v>A01533</x:v>
      </x:c>
      <x:c r="C1539" s="21" t="str">
        <x:v>stage</x:v>
      </x:c>
      <x:c r="D1539" s="21" t="str">
        <x:v>stage 418 observed conservation</x:v>
      </x:c>
      <x:c r="E1539" s="21" t="n">
        <x:f>IF(AND(ABS('Stage Ledger'!R424-IF(AND('Stage Ledger'!P424=1,'Stage Ledger'!Q424=1),MIN('Stage Ledger'!F424,'Stage Ledger'!M424,'Stage Ledger'!R423),0))&lt;0.000001,'Stage Ledger'!S424=IF('Stage Ledger'!R424&gt;='Stage Ledger'!F424,"ADMITTED","NOT ADMITTED")),1,0)</x:f>
        <x:v>1</x:v>
      </x:c>
      <x:c r="F1539" s="21" t="n">
        <x:v>1</x:v>
      </x:c>
      <x:c r="G1539" s="23" t="str">
        <x:f>IF(E1539=F1539,"PASS","FAIL")</x:f>
        <x:v>PASS</x:v>
      </x:c>
    </x:row>
    <x:row r="1540">
      <x:c r="B1540" s="21" t="str">
        <x:v>A01534</x:v>
      </x:c>
      <x:c r="C1540" s="21" t="str">
        <x:v>stage</x:v>
      </x:c>
      <x:c r="D1540" s="21" t="str">
        <x:v>stage 419 planned conservation</x:v>
      </x:c>
      <x:c r="E1540" s="21" t="n">
        <x:f>IF(ABS('Stage Ledger'!J425-MIN('Stage Ledger'!F425,'Stage Ledger'!H425,'Stage Ledger'!I425))&lt;0.000001,1,0)</x:f>
        <x:v>1</x:v>
      </x:c>
      <x:c r="F1540" s="21" t="n">
        <x:v>1</x:v>
      </x:c>
      <x:c r="G1540" s="23" t="str">
        <x:f>IF(E1540=F1540,"PASS","FAIL")</x:f>
        <x:v>PASS</x:v>
      </x:c>
    </x:row>
    <x:row r="1541">
      <x:c r="B1541" s="21" t="str">
        <x:v>A01535</x:v>
      </x:c>
      <x:c r="C1541" s="21" t="str">
        <x:v>stage</x:v>
      </x:c>
      <x:c r="D1541" s="21" t="str">
        <x:v>stage 419 observed conservation</x:v>
      </x:c>
      <x:c r="E1541" s="21" t="n">
        <x:f>IF(AND(ABS('Stage Ledger'!R425-IF(AND('Stage Ledger'!P425=1,'Stage Ledger'!Q425=1),MIN('Stage Ledger'!F425,'Stage Ledger'!M425,'Stage Ledger'!R424),0))&lt;0.000001,'Stage Ledger'!S425=IF('Stage Ledger'!R425&gt;='Stage Ledger'!F425,"ADMITTED","NOT ADMITTED")),1,0)</x:f>
        <x:v>1</x:v>
      </x:c>
      <x:c r="F1541" s="21" t="n">
        <x:v>1</x:v>
      </x:c>
      <x:c r="G1541" s="23" t="str">
        <x:f>IF(E1541=F1541,"PASS","FAIL")</x:f>
        <x:v>PASS</x:v>
      </x:c>
    </x:row>
    <x:row r="1542">
      <x:c r="B1542" s="21" t="str">
        <x:v>A01536</x:v>
      </x:c>
      <x:c r="C1542" s="21" t="str">
        <x:v>stage</x:v>
      </x:c>
      <x:c r="D1542" s="21" t="str">
        <x:v>stage 420 planned conservation</x:v>
      </x:c>
      <x:c r="E1542" s="21" t="n">
        <x:f>IF(ABS('Stage Ledger'!J426-MIN('Stage Ledger'!F426,'Stage Ledger'!H426,'Stage Ledger'!I426))&lt;0.000001,1,0)</x:f>
        <x:v>1</x:v>
      </x:c>
      <x:c r="F1542" s="21" t="n">
        <x:v>1</x:v>
      </x:c>
      <x:c r="G1542" s="23" t="str">
        <x:f>IF(E1542=F1542,"PASS","FAIL")</x:f>
        <x:v>PASS</x:v>
      </x:c>
    </x:row>
    <x:row r="1543">
      <x:c r="B1543" s="21" t="str">
        <x:v>A01537</x:v>
      </x:c>
      <x:c r="C1543" s="21" t="str">
        <x:v>stage</x:v>
      </x:c>
      <x:c r="D1543" s="21" t="str">
        <x:v>stage 420 observed conservation</x:v>
      </x:c>
      <x:c r="E1543" s="21" t="n">
        <x:f>IF(AND(ABS('Stage Ledger'!R426-IF(AND('Stage Ledger'!P426=1,'Stage Ledger'!Q426=1),MIN('Stage Ledger'!F426,'Stage Ledger'!M426,'Stage Ledger'!R425),0))&lt;0.000001,'Stage Ledger'!S426=IF('Stage Ledger'!R426&gt;='Stage Ledger'!F426,"ADMITTED","NOT ADMITTED")),1,0)</x:f>
        <x:v>1</x:v>
      </x:c>
      <x:c r="F1543" s="21" t="n">
        <x:v>1</x:v>
      </x:c>
      <x:c r="G1543" s="23" t="str">
        <x:f>IF(E1543=F1543,"PASS","FAIL")</x:f>
        <x:v>PASS</x:v>
      </x:c>
    </x:row>
    <x:row r="1544">
      <x:c r="B1544" s="21" t="str">
        <x:v>A01538</x:v>
      </x:c>
      <x:c r="C1544" s="21" t="str">
        <x:v>stage</x:v>
      </x:c>
      <x:c r="D1544" s="21" t="str">
        <x:v>stage 421 planned conservation</x:v>
      </x:c>
      <x:c r="E1544" s="21" t="n">
        <x:f>IF(ABS('Stage Ledger'!J427-MIN('Stage Ledger'!F427,'Stage Ledger'!H427,'Stage Ledger'!I427))&lt;0.000001,1,0)</x:f>
        <x:v>1</x:v>
      </x:c>
      <x:c r="F1544" s="21" t="n">
        <x:v>1</x:v>
      </x:c>
      <x:c r="G1544" s="23" t="str">
        <x:f>IF(E1544=F1544,"PASS","FAIL")</x:f>
        <x:v>PASS</x:v>
      </x:c>
    </x:row>
    <x:row r="1545">
      <x:c r="B1545" s="21" t="str">
        <x:v>A01539</x:v>
      </x:c>
      <x:c r="C1545" s="21" t="str">
        <x:v>stage</x:v>
      </x:c>
      <x:c r="D1545" s="21" t="str">
        <x:v>stage 421 observed conservation</x:v>
      </x:c>
      <x:c r="E1545" s="21" t="n">
        <x:f>IF(AND(ABS('Stage Ledger'!R427-IF(AND('Stage Ledger'!P427=1,'Stage Ledger'!Q427=1),MIN('Stage Ledger'!F427,'Stage Ledger'!M427),0))&lt;0.000001,'Stage Ledger'!S427=IF('Stage Ledger'!R427&gt;='Stage Ledger'!F427,"ADMITTED","NOT ADMITTED")),1,0)</x:f>
        <x:v>1</x:v>
      </x:c>
      <x:c r="F1545" s="21" t="n">
        <x:v>1</x:v>
      </x:c>
      <x:c r="G1545" s="23" t="str">
        <x:f>IF(E1545=F1545,"PASS","FAIL")</x:f>
        <x:v>PASS</x:v>
      </x:c>
    </x:row>
    <x:row r="1546">
      <x:c r="B1546" s="21" t="str">
        <x:v>A01540</x:v>
      </x:c>
      <x:c r="C1546" s="21" t="str">
        <x:v>stage</x:v>
      </x:c>
      <x:c r="D1546" s="21" t="str">
        <x:v>stage 422 planned conservation</x:v>
      </x:c>
      <x:c r="E1546" s="21" t="n">
        <x:f>IF(ABS('Stage Ledger'!J428-MIN('Stage Ledger'!F428,'Stage Ledger'!H428,'Stage Ledger'!I428))&lt;0.000001,1,0)</x:f>
        <x:v>1</x:v>
      </x:c>
      <x:c r="F1546" s="21" t="n">
        <x:v>1</x:v>
      </x:c>
      <x:c r="G1546" s="23" t="str">
        <x:f>IF(E1546=F1546,"PASS","FAIL")</x:f>
        <x:v>PASS</x:v>
      </x:c>
    </x:row>
    <x:row r="1547">
      <x:c r="B1547" s="21" t="str">
        <x:v>A01541</x:v>
      </x:c>
      <x:c r="C1547" s="21" t="str">
        <x:v>stage</x:v>
      </x:c>
      <x:c r="D1547" s="21" t="str">
        <x:v>stage 422 observed conservation</x:v>
      </x:c>
      <x:c r="E1547" s="21" t="n">
        <x:f>IF(AND(ABS('Stage Ledger'!R428-IF(AND('Stage Ledger'!P428=1,'Stage Ledger'!Q428=1),MIN('Stage Ledger'!F428,'Stage Ledger'!M428,'Stage Ledger'!R427),0))&lt;0.000001,'Stage Ledger'!S428=IF('Stage Ledger'!R428&gt;='Stage Ledger'!F428,"ADMITTED","NOT ADMITTED")),1,0)</x:f>
        <x:v>1</x:v>
      </x:c>
      <x:c r="F1547" s="21" t="n">
        <x:v>1</x:v>
      </x:c>
      <x:c r="G1547" s="23" t="str">
        <x:f>IF(E1547=F1547,"PASS","FAIL")</x:f>
        <x:v>PASS</x:v>
      </x:c>
    </x:row>
    <x:row r="1548">
      <x:c r="B1548" s="21" t="str">
        <x:v>A01542</x:v>
      </x:c>
      <x:c r="C1548" s="21" t="str">
        <x:v>stage</x:v>
      </x:c>
      <x:c r="D1548" s="21" t="str">
        <x:v>stage 423 planned conservation</x:v>
      </x:c>
      <x:c r="E1548" s="21" t="n">
        <x:f>IF(ABS('Stage Ledger'!J429-MIN('Stage Ledger'!F429,'Stage Ledger'!H429,'Stage Ledger'!I429))&lt;0.000001,1,0)</x:f>
        <x:v>1</x:v>
      </x:c>
      <x:c r="F1548" s="21" t="n">
        <x:v>1</x:v>
      </x:c>
      <x:c r="G1548" s="23" t="str">
        <x:f>IF(E1548=F1548,"PASS","FAIL")</x:f>
        <x:v>PASS</x:v>
      </x:c>
    </x:row>
    <x:row r="1549">
      <x:c r="B1549" s="21" t="str">
        <x:v>A01543</x:v>
      </x:c>
      <x:c r="C1549" s="21" t="str">
        <x:v>stage</x:v>
      </x:c>
      <x:c r="D1549" s="21" t="str">
        <x:v>stage 423 observed conservation</x:v>
      </x:c>
      <x:c r="E1549" s="21" t="n">
        <x:f>IF(AND(ABS('Stage Ledger'!R429-IF(AND('Stage Ledger'!P429=1,'Stage Ledger'!Q429=1),MIN('Stage Ledger'!F429,'Stage Ledger'!M429,'Stage Ledger'!R428),0))&lt;0.000001,'Stage Ledger'!S429=IF('Stage Ledger'!R429&gt;='Stage Ledger'!F429,"ADMITTED","NOT ADMITTED")),1,0)</x:f>
        <x:v>1</x:v>
      </x:c>
      <x:c r="F1549" s="21" t="n">
        <x:v>1</x:v>
      </x:c>
      <x:c r="G1549" s="23" t="str">
        <x:f>IF(E1549=F1549,"PASS","FAIL")</x:f>
        <x:v>PASS</x:v>
      </x:c>
    </x:row>
    <x:row r="1550">
      <x:c r="B1550" s="21" t="str">
        <x:v>A01544</x:v>
      </x:c>
      <x:c r="C1550" s="21" t="str">
        <x:v>stage</x:v>
      </x:c>
      <x:c r="D1550" s="21" t="str">
        <x:v>stage 424 planned conservation</x:v>
      </x:c>
      <x:c r="E1550" s="21" t="n">
        <x:f>IF(ABS('Stage Ledger'!J430-MIN('Stage Ledger'!F430,'Stage Ledger'!H430,'Stage Ledger'!I430))&lt;0.000001,1,0)</x:f>
        <x:v>1</x:v>
      </x:c>
      <x:c r="F1550" s="21" t="n">
        <x:v>1</x:v>
      </x:c>
      <x:c r="G1550" s="23" t="str">
        <x:f>IF(E1550=F1550,"PASS","FAIL")</x:f>
        <x:v>PASS</x:v>
      </x:c>
    </x:row>
    <x:row r="1551">
      <x:c r="B1551" s="21" t="str">
        <x:v>A01545</x:v>
      </x:c>
      <x:c r="C1551" s="21" t="str">
        <x:v>stage</x:v>
      </x:c>
      <x:c r="D1551" s="21" t="str">
        <x:v>stage 424 observed conservation</x:v>
      </x:c>
      <x:c r="E1551" s="21" t="n">
        <x:f>IF(AND(ABS('Stage Ledger'!R430-IF(AND('Stage Ledger'!P430=1,'Stage Ledger'!Q430=1),MIN('Stage Ledger'!F430,'Stage Ledger'!M430,'Stage Ledger'!R429),0))&lt;0.000001,'Stage Ledger'!S430=IF('Stage Ledger'!R430&gt;='Stage Ledger'!F430,"ADMITTED","NOT ADMITTED")),1,0)</x:f>
        <x:v>1</x:v>
      </x:c>
      <x:c r="F1551" s="21" t="n">
        <x:v>1</x:v>
      </x:c>
      <x:c r="G1551" s="23" t="str">
        <x:f>IF(E1551=F1551,"PASS","FAIL")</x:f>
        <x:v>PASS</x:v>
      </x:c>
    </x:row>
    <x:row r="1552">
      <x:c r="B1552" s="21" t="str">
        <x:v>A01546</x:v>
      </x:c>
      <x:c r="C1552" s="21" t="str">
        <x:v>stage</x:v>
      </x:c>
      <x:c r="D1552" s="21" t="str">
        <x:v>stage 425 planned conservation</x:v>
      </x:c>
      <x:c r="E1552" s="21" t="n">
        <x:f>IF(ABS('Stage Ledger'!J431-MIN('Stage Ledger'!F431,'Stage Ledger'!H431,'Stage Ledger'!I431))&lt;0.000001,1,0)</x:f>
        <x:v>1</x:v>
      </x:c>
      <x:c r="F1552" s="21" t="n">
        <x:v>1</x:v>
      </x:c>
      <x:c r="G1552" s="23" t="str">
        <x:f>IF(E1552=F1552,"PASS","FAIL")</x:f>
        <x:v>PASS</x:v>
      </x:c>
    </x:row>
    <x:row r="1553">
      <x:c r="B1553" s="21" t="str">
        <x:v>A01547</x:v>
      </x:c>
      <x:c r="C1553" s="21" t="str">
        <x:v>stage</x:v>
      </x:c>
      <x:c r="D1553" s="21" t="str">
        <x:v>stage 425 observed conservation</x:v>
      </x:c>
      <x:c r="E1553" s="21" t="n">
        <x:f>IF(AND(ABS('Stage Ledger'!R431-IF(AND('Stage Ledger'!P431=1,'Stage Ledger'!Q431=1),MIN('Stage Ledger'!F431,'Stage Ledger'!M431,'Stage Ledger'!R430),0))&lt;0.000001,'Stage Ledger'!S431=IF('Stage Ledger'!R431&gt;='Stage Ledger'!F431,"ADMITTED","NOT ADMITTED")),1,0)</x:f>
        <x:v>1</x:v>
      </x:c>
      <x:c r="F1553" s="21" t="n">
        <x:v>1</x:v>
      </x:c>
      <x:c r="G1553" s="23" t="str">
        <x:f>IF(E1553=F1553,"PASS","FAIL")</x:f>
        <x:v>PASS</x:v>
      </x:c>
    </x:row>
    <x:row r="1554">
      <x:c r="B1554" s="21" t="str">
        <x:v>A01548</x:v>
      </x:c>
      <x:c r="C1554" s="21" t="str">
        <x:v>stage</x:v>
      </x:c>
      <x:c r="D1554" s="21" t="str">
        <x:v>stage 426 planned conservation</x:v>
      </x:c>
      <x:c r="E1554" s="21" t="n">
        <x:f>IF(ABS('Stage Ledger'!J432-MIN('Stage Ledger'!F432,'Stage Ledger'!H432,'Stage Ledger'!I432))&lt;0.000001,1,0)</x:f>
        <x:v>1</x:v>
      </x:c>
      <x:c r="F1554" s="21" t="n">
        <x:v>1</x:v>
      </x:c>
      <x:c r="G1554" s="23" t="str">
        <x:f>IF(E1554=F1554,"PASS","FAIL")</x:f>
        <x:v>PASS</x:v>
      </x:c>
    </x:row>
    <x:row r="1555">
      <x:c r="B1555" s="21" t="str">
        <x:v>A01549</x:v>
      </x:c>
      <x:c r="C1555" s="21" t="str">
        <x:v>stage</x:v>
      </x:c>
      <x:c r="D1555" s="21" t="str">
        <x:v>stage 426 observed conservation</x:v>
      </x:c>
      <x:c r="E1555" s="21" t="n">
        <x:f>IF(AND(ABS('Stage Ledger'!R432-IF(AND('Stage Ledger'!P432=1,'Stage Ledger'!Q432=1),MIN('Stage Ledger'!F432,'Stage Ledger'!M432,'Stage Ledger'!R431),0))&lt;0.000001,'Stage Ledger'!S432=IF('Stage Ledger'!R432&gt;='Stage Ledger'!F432,"ADMITTED","NOT ADMITTED")),1,0)</x:f>
        <x:v>1</x:v>
      </x:c>
      <x:c r="F1555" s="21" t="n">
        <x:v>1</x:v>
      </x:c>
      <x:c r="G1555" s="23" t="str">
        <x:f>IF(E1555=F1555,"PASS","FAIL")</x:f>
        <x:v>PASS</x:v>
      </x:c>
    </x:row>
    <x:row r="1556">
      <x:c r="B1556" s="21" t="str">
        <x:v>A01550</x:v>
      </x:c>
      <x:c r="C1556" s="21" t="str">
        <x:v>stage</x:v>
      </x:c>
      <x:c r="D1556" s="21" t="str">
        <x:v>stage 427 planned conservation</x:v>
      </x:c>
      <x:c r="E1556" s="21" t="n">
        <x:f>IF(ABS('Stage Ledger'!J433-MIN('Stage Ledger'!F433,'Stage Ledger'!H433,'Stage Ledger'!I433))&lt;0.000001,1,0)</x:f>
        <x:v>1</x:v>
      </x:c>
      <x:c r="F1556" s="21" t="n">
        <x:v>1</x:v>
      </x:c>
      <x:c r="G1556" s="23" t="str">
        <x:f>IF(E1556=F1556,"PASS","FAIL")</x:f>
        <x:v>PASS</x:v>
      </x:c>
    </x:row>
    <x:row r="1557">
      <x:c r="B1557" s="21" t="str">
        <x:v>A01551</x:v>
      </x:c>
      <x:c r="C1557" s="21" t="str">
        <x:v>stage</x:v>
      </x:c>
      <x:c r="D1557" s="21" t="str">
        <x:v>stage 427 observed conservation</x:v>
      </x:c>
      <x:c r="E1557" s="21" t="n">
        <x:f>IF(AND(ABS('Stage Ledger'!R433-IF(AND('Stage Ledger'!P433=1,'Stage Ledger'!Q433=1),MIN('Stage Ledger'!F433,'Stage Ledger'!M433,'Stage Ledger'!R432),0))&lt;0.000001,'Stage Ledger'!S433=IF('Stage Ledger'!R433&gt;='Stage Ledger'!F433,"ADMITTED","NOT ADMITTED")),1,0)</x:f>
        <x:v>1</x:v>
      </x:c>
      <x:c r="F1557" s="21" t="n">
        <x:v>1</x:v>
      </x:c>
      <x:c r="G1557" s="23" t="str">
        <x:f>IF(E1557=F1557,"PASS","FAIL")</x:f>
        <x:v>PASS</x:v>
      </x:c>
    </x:row>
    <x:row r="1558">
      <x:c r="B1558" s="21" t="str">
        <x:v>A01552</x:v>
      </x:c>
      <x:c r="C1558" s="21" t="str">
        <x:v>stage</x:v>
      </x:c>
      <x:c r="D1558" s="21" t="str">
        <x:v>stage 428 planned conservation</x:v>
      </x:c>
      <x:c r="E1558" s="21" t="n">
        <x:f>IF(ABS('Stage Ledger'!J434-MIN('Stage Ledger'!F434,'Stage Ledger'!H434,'Stage Ledger'!I434))&lt;0.000001,1,0)</x:f>
        <x:v>1</x:v>
      </x:c>
      <x:c r="F1558" s="21" t="n">
        <x:v>1</x:v>
      </x:c>
      <x:c r="G1558" s="23" t="str">
        <x:f>IF(E1558=F1558,"PASS","FAIL")</x:f>
        <x:v>PASS</x:v>
      </x:c>
    </x:row>
    <x:row r="1559">
      <x:c r="B1559" s="21" t="str">
        <x:v>A01553</x:v>
      </x:c>
      <x:c r="C1559" s="21" t="str">
        <x:v>stage</x:v>
      </x:c>
      <x:c r="D1559" s="21" t="str">
        <x:v>stage 428 observed conservation</x:v>
      </x:c>
      <x:c r="E1559" s="21" t="n">
        <x:f>IF(AND(ABS('Stage Ledger'!R434-IF(AND('Stage Ledger'!P434=1,'Stage Ledger'!Q434=1),MIN('Stage Ledger'!F434,'Stage Ledger'!M434,'Stage Ledger'!R433),0))&lt;0.000001,'Stage Ledger'!S434=IF('Stage Ledger'!R434&gt;='Stage Ledger'!F434,"ADMITTED","NOT ADMITTED")),1,0)</x:f>
        <x:v>1</x:v>
      </x:c>
      <x:c r="F1559" s="21" t="n">
        <x:v>1</x:v>
      </x:c>
      <x:c r="G1559" s="23" t="str">
        <x:f>IF(E1559=F1559,"PASS","FAIL")</x:f>
        <x:v>PASS</x:v>
      </x:c>
    </x:row>
    <x:row r="1560">
      <x:c r="B1560" s="21" t="str">
        <x:v>A01554</x:v>
      </x:c>
      <x:c r="C1560" s="21" t="str">
        <x:v>stage</x:v>
      </x:c>
      <x:c r="D1560" s="21" t="str">
        <x:v>stage 429 planned conservation</x:v>
      </x:c>
      <x:c r="E1560" s="21" t="n">
        <x:f>IF(ABS('Stage Ledger'!J435-MIN('Stage Ledger'!F435,'Stage Ledger'!H435,'Stage Ledger'!I435))&lt;0.000001,1,0)</x:f>
        <x:v>1</x:v>
      </x:c>
      <x:c r="F1560" s="21" t="n">
        <x:v>1</x:v>
      </x:c>
      <x:c r="G1560" s="23" t="str">
        <x:f>IF(E1560=F1560,"PASS","FAIL")</x:f>
        <x:v>PASS</x:v>
      </x:c>
    </x:row>
    <x:row r="1561">
      <x:c r="B1561" s="21" t="str">
        <x:v>A01555</x:v>
      </x:c>
      <x:c r="C1561" s="21" t="str">
        <x:v>stage</x:v>
      </x:c>
      <x:c r="D1561" s="21" t="str">
        <x:v>stage 429 observed conservation</x:v>
      </x:c>
      <x:c r="E1561" s="21" t="n">
        <x:f>IF(AND(ABS('Stage Ledger'!R435-IF(AND('Stage Ledger'!P435=1,'Stage Ledger'!Q435=1),MIN('Stage Ledger'!F435,'Stage Ledger'!M435,'Stage Ledger'!R434),0))&lt;0.000001,'Stage Ledger'!S435=IF('Stage Ledger'!R435&gt;='Stage Ledger'!F435,"ADMITTED","NOT ADMITTED")),1,0)</x:f>
        <x:v>1</x:v>
      </x:c>
      <x:c r="F1561" s="21" t="n">
        <x:v>1</x:v>
      </x:c>
      <x:c r="G1561" s="23" t="str">
        <x:f>IF(E1561=F1561,"PASS","FAIL")</x:f>
        <x:v>PASS</x:v>
      </x:c>
    </x:row>
    <x:row r="1562">
      <x:c r="B1562" s="21" t="str">
        <x:v>A01556</x:v>
      </x:c>
      <x:c r="C1562" s="21" t="str">
        <x:v>stage</x:v>
      </x:c>
      <x:c r="D1562" s="21" t="str">
        <x:v>stage 430 planned conservation</x:v>
      </x:c>
      <x:c r="E1562" s="21" t="n">
        <x:f>IF(ABS('Stage Ledger'!J436-MIN('Stage Ledger'!F436,'Stage Ledger'!H436,'Stage Ledger'!I436))&lt;0.000001,1,0)</x:f>
        <x:v>1</x:v>
      </x:c>
      <x:c r="F1562" s="21" t="n">
        <x:v>1</x:v>
      </x:c>
      <x:c r="G1562" s="23" t="str">
        <x:f>IF(E1562=F1562,"PASS","FAIL")</x:f>
        <x:v>PASS</x:v>
      </x:c>
    </x:row>
    <x:row r="1563">
      <x:c r="B1563" s="21" t="str">
        <x:v>A01557</x:v>
      </x:c>
      <x:c r="C1563" s="21" t="str">
        <x:v>stage</x:v>
      </x:c>
      <x:c r="D1563" s="21" t="str">
        <x:v>stage 430 observed conservation</x:v>
      </x:c>
      <x:c r="E1563" s="21" t="n">
        <x:f>IF(AND(ABS('Stage Ledger'!R436-IF(AND('Stage Ledger'!P436=1,'Stage Ledger'!Q436=1),MIN('Stage Ledger'!F436,'Stage Ledger'!M436,'Stage Ledger'!R435),0))&lt;0.000001,'Stage Ledger'!S436=IF('Stage Ledger'!R436&gt;='Stage Ledger'!F436,"ADMITTED","NOT ADMITTED")),1,0)</x:f>
        <x:v>1</x:v>
      </x:c>
      <x:c r="F1563" s="21" t="n">
        <x:v>1</x:v>
      </x:c>
      <x:c r="G1563" s="23" t="str">
        <x:f>IF(E1563=F1563,"PASS","FAIL")</x:f>
        <x:v>PASS</x:v>
      </x:c>
    </x:row>
    <x:row r="1564">
      <x:c r="B1564" s="21" t="str">
        <x:v>A01558</x:v>
      </x:c>
      <x:c r="C1564" s="21" t="str">
        <x:v>stage</x:v>
      </x:c>
      <x:c r="D1564" s="21" t="str">
        <x:v>stage 431 planned conservation</x:v>
      </x:c>
      <x:c r="E1564" s="21" t="n">
        <x:f>IF(ABS('Stage Ledger'!J437-MIN('Stage Ledger'!F437,'Stage Ledger'!H437,'Stage Ledger'!I437))&lt;0.000001,1,0)</x:f>
        <x:v>1</x:v>
      </x:c>
      <x:c r="F1564" s="21" t="n">
        <x:v>1</x:v>
      </x:c>
      <x:c r="G1564" s="23" t="str">
        <x:f>IF(E1564=F1564,"PASS","FAIL")</x:f>
        <x:v>PASS</x:v>
      </x:c>
    </x:row>
    <x:row r="1565">
      <x:c r="B1565" s="21" t="str">
        <x:v>A01559</x:v>
      </x:c>
      <x:c r="C1565" s="21" t="str">
        <x:v>stage</x:v>
      </x:c>
      <x:c r="D1565" s="21" t="str">
        <x:v>stage 431 observed conservation</x:v>
      </x:c>
      <x:c r="E1565" s="21" t="n">
        <x:f>IF(AND(ABS('Stage Ledger'!R437-IF(AND('Stage Ledger'!P437=1,'Stage Ledger'!Q437=1),MIN('Stage Ledger'!F437,'Stage Ledger'!M437,'Stage Ledger'!R436),0))&lt;0.000001,'Stage Ledger'!S437=IF('Stage Ledger'!R437&gt;='Stage Ledger'!F437,"ADMITTED","NOT ADMITTED")),1,0)</x:f>
        <x:v>1</x:v>
      </x:c>
      <x:c r="F1565" s="21" t="n">
        <x:v>1</x:v>
      </x:c>
      <x:c r="G1565" s="23" t="str">
        <x:f>IF(E1565=F1565,"PASS","FAIL")</x:f>
        <x:v>PASS</x:v>
      </x:c>
    </x:row>
    <x:row r="1566">
      <x:c r="B1566" s="21" t="str">
        <x:v>A01560</x:v>
      </x:c>
      <x:c r="C1566" s="21" t="str">
        <x:v>stage</x:v>
      </x:c>
      <x:c r="D1566" s="21" t="str">
        <x:v>stage 432 planned conservation</x:v>
      </x:c>
      <x:c r="E1566" s="21" t="n">
        <x:f>IF(ABS('Stage Ledger'!J438-MIN('Stage Ledger'!F438,'Stage Ledger'!H438,'Stage Ledger'!I438))&lt;0.000001,1,0)</x:f>
        <x:v>1</x:v>
      </x:c>
      <x:c r="F1566" s="21" t="n">
        <x:v>1</x:v>
      </x:c>
      <x:c r="G1566" s="23" t="str">
        <x:f>IF(E1566=F1566,"PASS","FAIL")</x:f>
        <x:v>PASS</x:v>
      </x:c>
    </x:row>
    <x:row r="1567">
      <x:c r="B1567" s="21" t="str">
        <x:v>A01561</x:v>
      </x:c>
      <x:c r="C1567" s="21" t="str">
        <x:v>stage</x:v>
      </x:c>
      <x:c r="D1567" s="21" t="str">
        <x:v>stage 432 observed conservation</x:v>
      </x:c>
      <x:c r="E1567" s="21" t="n">
        <x:f>IF(AND(ABS('Stage Ledger'!R438-IF(AND('Stage Ledger'!P438=1,'Stage Ledger'!Q438=1),MIN('Stage Ledger'!F438,'Stage Ledger'!M438,'Stage Ledger'!R437),0))&lt;0.000001,'Stage Ledger'!S438=IF('Stage Ledger'!R438&gt;='Stage Ledger'!F438,"ADMITTED","NOT ADMITTED")),1,0)</x:f>
        <x:v>1</x:v>
      </x:c>
      <x:c r="F1567" s="21" t="n">
        <x:v>1</x:v>
      </x:c>
      <x:c r="G1567" s="23" t="str">
        <x:f>IF(E1567=F1567,"PASS","FAIL")</x:f>
        <x:v>PASS</x:v>
      </x:c>
    </x:row>
    <x:row r="1568">
      <x:c r="B1568" s="21" t="str">
        <x:v>A01562</x:v>
      </x:c>
      <x:c r="C1568" s="21" t="str">
        <x:v>stage</x:v>
      </x:c>
      <x:c r="D1568" s="21" t="str">
        <x:v>stage 433 planned conservation</x:v>
      </x:c>
      <x:c r="E1568" s="21" t="n">
        <x:f>IF(ABS('Stage Ledger'!J439-MIN('Stage Ledger'!F439,'Stage Ledger'!H439,'Stage Ledger'!I439))&lt;0.000001,1,0)</x:f>
        <x:v>1</x:v>
      </x:c>
      <x:c r="F1568" s="21" t="n">
        <x:v>1</x:v>
      </x:c>
      <x:c r="G1568" s="23" t="str">
        <x:f>IF(E1568=F1568,"PASS","FAIL")</x:f>
        <x:v>PASS</x:v>
      </x:c>
    </x:row>
    <x:row r="1569">
      <x:c r="B1569" s="21" t="str">
        <x:v>A01563</x:v>
      </x:c>
      <x:c r="C1569" s="21" t="str">
        <x:v>stage</x:v>
      </x:c>
      <x:c r="D1569" s="21" t="str">
        <x:v>stage 433 observed conservation</x:v>
      </x:c>
      <x:c r="E1569" s="21" t="n">
        <x:f>IF(AND(ABS('Stage Ledger'!R439-IF(AND('Stage Ledger'!P439=1,'Stage Ledger'!Q439=1),MIN('Stage Ledger'!F439,'Stage Ledger'!M439),0))&lt;0.000001,'Stage Ledger'!S439=IF('Stage Ledger'!R439&gt;='Stage Ledger'!F439,"ADMITTED","NOT ADMITTED")),1,0)</x:f>
        <x:v>1</x:v>
      </x:c>
      <x:c r="F1569" s="21" t="n">
        <x:v>1</x:v>
      </x:c>
      <x:c r="G1569" s="23" t="str">
        <x:f>IF(E1569=F1569,"PASS","FAIL")</x:f>
        <x:v>PASS</x:v>
      </x:c>
    </x:row>
    <x:row r="1570">
      <x:c r="B1570" s="21" t="str">
        <x:v>A01564</x:v>
      </x:c>
      <x:c r="C1570" s="21" t="str">
        <x:v>stage</x:v>
      </x:c>
      <x:c r="D1570" s="21" t="str">
        <x:v>stage 434 planned conservation</x:v>
      </x:c>
      <x:c r="E1570" s="21" t="n">
        <x:f>IF(ABS('Stage Ledger'!J440-MIN('Stage Ledger'!F440,'Stage Ledger'!H440,'Stage Ledger'!I440))&lt;0.000001,1,0)</x:f>
        <x:v>1</x:v>
      </x:c>
      <x:c r="F1570" s="21" t="n">
        <x:v>1</x:v>
      </x:c>
      <x:c r="G1570" s="23" t="str">
        <x:f>IF(E1570=F1570,"PASS","FAIL")</x:f>
        <x:v>PASS</x:v>
      </x:c>
    </x:row>
    <x:row r="1571">
      <x:c r="B1571" s="21" t="str">
        <x:v>A01565</x:v>
      </x:c>
      <x:c r="C1571" s="21" t="str">
        <x:v>stage</x:v>
      </x:c>
      <x:c r="D1571" s="21" t="str">
        <x:v>stage 434 observed conservation</x:v>
      </x:c>
      <x:c r="E1571" s="21" t="n">
        <x:f>IF(AND(ABS('Stage Ledger'!R440-IF(AND('Stage Ledger'!P440=1,'Stage Ledger'!Q440=1),MIN('Stage Ledger'!F440,'Stage Ledger'!M440,'Stage Ledger'!R439),0))&lt;0.000001,'Stage Ledger'!S440=IF('Stage Ledger'!R440&gt;='Stage Ledger'!F440,"ADMITTED","NOT ADMITTED")),1,0)</x:f>
        <x:v>1</x:v>
      </x:c>
      <x:c r="F1571" s="21" t="n">
        <x:v>1</x:v>
      </x:c>
      <x:c r="G1571" s="23" t="str">
        <x:f>IF(E1571=F1571,"PASS","FAIL")</x:f>
        <x:v>PASS</x:v>
      </x:c>
    </x:row>
    <x:row r="1572">
      <x:c r="B1572" s="21" t="str">
        <x:v>A01566</x:v>
      </x:c>
      <x:c r="C1572" s="21" t="str">
        <x:v>stage</x:v>
      </x:c>
      <x:c r="D1572" s="21" t="str">
        <x:v>stage 435 planned conservation</x:v>
      </x:c>
      <x:c r="E1572" s="21" t="n">
        <x:f>IF(ABS('Stage Ledger'!J441-MIN('Stage Ledger'!F441,'Stage Ledger'!H441,'Stage Ledger'!I441))&lt;0.000001,1,0)</x:f>
        <x:v>1</x:v>
      </x:c>
      <x:c r="F1572" s="21" t="n">
        <x:v>1</x:v>
      </x:c>
      <x:c r="G1572" s="23" t="str">
        <x:f>IF(E1572=F1572,"PASS","FAIL")</x:f>
        <x:v>PASS</x:v>
      </x:c>
    </x:row>
    <x:row r="1573">
      <x:c r="B1573" s="21" t="str">
        <x:v>A01567</x:v>
      </x:c>
      <x:c r="C1573" s="21" t="str">
        <x:v>stage</x:v>
      </x:c>
      <x:c r="D1573" s="21" t="str">
        <x:v>stage 435 observed conservation</x:v>
      </x:c>
      <x:c r="E1573" s="21" t="n">
        <x:f>IF(AND(ABS('Stage Ledger'!R441-IF(AND('Stage Ledger'!P441=1,'Stage Ledger'!Q441=1),MIN('Stage Ledger'!F441,'Stage Ledger'!M441,'Stage Ledger'!R440),0))&lt;0.000001,'Stage Ledger'!S441=IF('Stage Ledger'!R441&gt;='Stage Ledger'!F441,"ADMITTED","NOT ADMITTED")),1,0)</x:f>
        <x:v>1</x:v>
      </x:c>
      <x:c r="F1573" s="21" t="n">
        <x:v>1</x:v>
      </x:c>
      <x:c r="G1573" s="23" t="str">
        <x:f>IF(E1573=F1573,"PASS","FAIL")</x:f>
        <x:v>PASS</x:v>
      </x:c>
    </x:row>
    <x:row r="1574">
      <x:c r="B1574" s="21" t="str">
        <x:v>A01568</x:v>
      </x:c>
      <x:c r="C1574" s="21" t="str">
        <x:v>stage</x:v>
      </x:c>
      <x:c r="D1574" s="21" t="str">
        <x:v>stage 436 planned conservation</x:v>
      </x:c>
      <x:c r="E1574" s="21" t="n">
        <x:f>IF(ABS('Stage Ledger'!J442-MIN('Stage Ledger'!F442,'Stage Ledger'!H442,'Stage Ledger'!I442))&lt;0.000001,1,0)</x:f>
        <x:v>1</x:v>
      </x:c>
      <x:c r="F1574" s="21" t="n">
        <x:v>1</x:v>
      </x:c>
      <x:c r="G1574" s="23" t="str">
        <x:f>IF(E1574=F1574,"PASS","FAIL")</x:f>
        <x:v>PASS</x:v>
      </x:c>
    </x:row>
    <x:row r="1575">
      <x:c r="B1575" s="21" t="str">
        <x:v>A01569</x:v>
      </x:c>
      <x:c r="C1575" s="21" t="str">
        <x:v>stage</x:v>
      </x:c>
      <x:c r="D1575" s="21" t="str">
        <x:v>stage 436 observed conservation</x:v>
      </x:c>
      <x:c r="E1575" s="21" t="n">
        <x:f>IF(AND(ABS('Stage Ledger'!R442-IF(AND('Stage Ledger'!P442=1,'Stage Ledger'!Q442=1),MIN('Stage Ledger'!F442,'Stage Ledger'!M442,'Stage Ledger'!R441),0))&lt;0.000001,'Stage Ledger'!S442=IF('Stage Ledger'!R442&gt;='Stage Ledger'!F442,"ADMITTED","NOT ADMITTED")),1,0)</x:f>
        <x:v>1</x:v>
      </x:c>
      <x:c r="F1575" s="21" t="n">
        <x:v>1</x:v>
      </x:c>
      <x:c r="G1575" s="23" t="str">
        <x:f>IF(E1575=F1575,"PASS","FAIL")</x:f>
        <x:v>PASS</x:v>
      </x:c>
    </x:row>
    <x:row r="1576">
      <x:c r="B1576" s="21" t="str">
        <x:v>A01570</x:v>
      </x:c>
      <x:c r="C1576" s="21" t="str">
        <x:v>stage</x:v>
      </x:c>
      <x:c r="D1576" s="21" t="str">
        <x:v>stage 437 planned conservation</x:v>
      </x:c>
      <x:c r="E1576" s="21" t="n">
        <x:f>IF(ABS('Stage Ledger'!J443-MIN('Stage Ledger'!F443,'Stage Ledger'!H443,'Stage Ledger'!I443))&lt;0.000001,1,0)</x:f>
        <x:v>1</x:v>
      </x:c>
      <x:c r="F1576" s="21" t="n">
        <x:v>1</x:v>
      </x:c>
      <x:c r="G1576" s="23" t="str">
        <x:f>IF(E1576=F1576,"PASS","FAIL")</x:f>
        <x:v>PASS</x:v>
      </x:c>
    </x:row>
    <x:row r="1577">
      <x:c r="B1577" s="21" t="str">
        <x:v>A01571</x:v>
      </x:c>
      <x:c r="C1577" s="21" t="str">
        <x:v>stage</x:v>
      </x:c>
      <x:c r="D1577" s="21" t="str">
        <x:v>stage 437 observed conservation</x:v>
      </x:c>
      <x:c r="E1577" s="21" t="n">
        <x:f>IF(AND(ABS('Stage Ledger'!R443-IF(AND('Stage Ledger'!P443=1,'Stage Ledger'!Q443=1),MIN('Stage Ledger'!F443,'Stage Ledger'!M443,'Stage Ledger'!R442),0))&lt;0.000001,'Stage Ledger'!S443=IF('Stage Ledger'!R443&gt;='Stage Ledger'!F443,"ADMITTED","NOT ADMITTED")),1,0)</x:f>
        <x:v>1</x:v>
      </x:c>
      <x:c r="F1577" s="21" t="n">
        <x:v>1</x:v>
      </x:c>
      <x:c r="G1577" s="23" t="str">
        <x:f>IF(E1577=F1577,"PASS","FAIL")</x:f>
        <x:v>PASS</x:v>
      </x:c>
    </x:row>
    <x:row r="1578">
      <x:c r="B1578" s="21" t="str">
        <x:v>A01572</x:v>
      </x:c>
      <x:c r="C1578" s="21" t="str">
        <x:v>stage</x:v>
      </x:c>
      <x:c r="D1578" s="21" t="str">
        <x:v>stage 438 planned conservation</x:v>
      </x:c>
      <x:c r="E1578" s="21" t="n">
        <x:f>IF(ABS('Stage Ledger'!J444-MIN('Stage Ledger'!F444,'Stage Ledger'!H444,'Stage Ledger'!I444))&lt;0.000001,1,0)</x:f>
        <x:v>1</x:v>
      </x:c>
      <x:c r="F1578" s="21" t="n">
        <x:v>1</x:v>
      </x:c>
      <x:c r="G1578" s="23" t="str">
        <x:f>IF(E1578=F1578,"PASS","FAIL")</x:f>
        <x:v>PASS</x:v>
      </x:c>
    </x:row>
    <x:row r="1579">
      <x:c r="B1579" s="21" t="str">
        <x:v>A01573</x:v>
      </x:c>
      <x:c r="C1579" s="21" t="str">
        <x:v>stage</x:v>
      </x:c>
      <x:c r="D1579" s="21" t="str">
        <x:v>stage 438 observed conservation</x:v>
      </x:c>
      <x:c r="E1579" s="21" t="n">
        <x:f>IF(AND(ABS('Stage Ledger'!R444-IF(AND('Stage Ledger'!P444=1,'Stage Ledger'!Q444=1),MIN('Stage Ledger'!F444,'Stage Ledger'!M444,'Stage Ledger'!R443),0))&lt;0.000001,'Stage Ledger'!S444=IF('Stage Ledger'!R444&gt;='Stage Ledger'!F444,"ADMITTED","NOT ADMITTED")),1,0)</x:f>
        <x:v>1</x:v>
      </x:c>
      <x:c r="F1579" s="21" t="n">
        <x:v>1</x:v>
      </x:c>
      <x:c r="G1579" s="23" t="str">
        <x:f>IF(E1579=F1579,"PASS","FAIL")</x:f>
        <x:v>PASS</x:v>
      </x:c>
    </x:row>
    <x:row r="1580">
      <x:c r="B1580" s="21" t="str">
        <x:v>A01574</x:v>
      </x:c>
      <x:c r="C1580" s="21" t="str">
        <x:v>stage</x:v>
      </x:c>
      <x:c r="D1580" s="21" t="str">
        <x:v>stage 439 planned conservation</x:v>
      </x:c>
      <x:c r="E1580" s="21" t="n">
        <x:f>IF(ABS('Stage Ledger'!J445-MIN('Stage Ledger'!F445,'Stage Ledger'!H445,'Stage Ledger'!I445))&lt;0.000001,1,0)</x:f>
        <x:v>1</x:v>
      </x:c>
      <x:c r="F1580" s="21" t="n">
        <x:v>1</x:v>
      </x:c>
      <x:c r="G1580" s="23" t="str">
        <x:f>IF(E1580=F1580,"PASS","FAIL")</x:f>
        <x:v>PASS</x:v>
      </x:c>
    </x:row>
    <x:row r="1581">
      <x:c r="B1581" s="21" t="str">
        <x:v>A01575</x:v>
      </x:c>
      <x:c r="C1581" s="21" t="str">
        <x:v>stage</x:v>
      </x:c>
      <x:c r="D1581" s="21" t="str">
        <x:v>stage 439 observed conservation</x:v>
      </x:c>
      <x:c r="E1581" s="21" t="n">
        <x:f>IF(AND(ABS('Stage Ledger'!R445-IF(AND('Stage Ledger'!P445=1,'Stage Ledger'!Q445=1),MIN('Stage Ledger'!F445,'Stage Ledger'!M445,'Stage Ledger'!R444),0))&lt;0.000001,'Stage Ledger'!S445=IF('Stage Ledger'!R445&gt;='Stage Ledger'!F445,"ADMITTED","NOT ADMITTED")),1,0)</x:f>
        <x:v>1</x:v>
      </x:c>
      <x:c r="F1581" s="21" t="n">
        <x:v>1</x:v>
      </x:c>
      <x:c r="G1581" s="23" t="str">
        <x:f>IF(E1581=F1581,"PASS","FAIL")</x:f>
        <x:v>PASS</x:v>
      </x:c>
    </x:row>
    <x:row r="1582">
      <x:c r="B1582" s="21" t="str">
        <x:v>A01576</x:v>
      </x:c>
      <x:c r="C1582" s="21" t="str">
        <x:v>stage</x:v>
      </x:c>
      <x:c r="D1582" s="21" t="str">
        <x:v>stage 440 planned conservation</x:v>
      </x:c>
      <x:c r="E1582" s="21" t="n">
        <x:f>IF(ABS('Stage Ledger'!J446-MIN('Stage Ledger'!F446,'Stage Ledger'!H446,'Stage Ledger'!I446))&lt;0.000001,1,0)</x:f>
        <x:v>1</x:v>
      </x:c>
      <x:c r="F1582" s="21" t="n">
        <x:v>1</x:v>
      </x:c>
      <x:c r="G1582" s="23" t="str">
        <x:f>IF(E1582=F1582,"PASS","FAIL")</x:f>
        <x:v>PASS</x:v>
      </x:c>
    </x:row>
    <x:row r="1583">
      <x:c r="B1583" s="21" t="str">
        <x:v>A01577</x:v>
      </x:c>
      <x:c r="C1583" s="21" t="str">
        <x:v>stage</x:v>
      </x:c>
      <x:c r="D1583" s="21" t="str">
        <x:v>stage 440 observed conservation</x:v>
      </x:c>
      <x:c r="E1583" s="21" t="n">
        <x:f>IF(AND(ABS('Stage Ledger'!R446-IF(AND('Stage Ledger'!P446=1,'Stage Ledger'!Q446=1),MIN('Stage Ledger'!F446,'Stage Ledger'!M446,'Stage Ledger'!R445),0))&lt;0.000001,'Stage Ledger'!S446=IF('Stage Ledger'!R446&gt;='Stage Ledger'!F446,"ADMITTED","NOT ADMITTED")),1,0)</x:f>
        <x:v>1</x:v>
      </x:c>
      <x:c r="F1583" s="21" t="n">
        <x:v>1</x:v>
      </x:c>
      <x:c r="G1583" s="23" t="str">
        <x:f>IF(E1583=F1583,"PASS","FAIL")</x:f>
        <x:v>PASS</x:v>
      </x:c>
    </x:row>
    <x:row r="1584">
      <x:c r="B1584" s="21" t="str">
        <x:v>A01578</x:v>
      </x:c>
      <x:c r="C1584" s="21" t="str">
        <x:v>stage</x:v>
      </x:c>
      <x:c r="D1584" s="21" t="str">
        <x:v>stage 441 planned conservation</x:v>
      </x:c>
      <x:c r="E1584" s="21" t="n">
        <x:f>IF(ABS('Stage Ledger'!J447-MIN('Stage Ledger'!F447,'Stage Ledger'!H447,'Stage Ledger'!I447))&lt;0.000001,1,0)</x:f>
        <x:v>1</x:v>
      </x:c>
      <x:c r="F1584" s="21" t="n">
        <x:v>1</x:v>
      </x:c>
      <x:c r="G1584" s="23" t="str">
        <x:f>IF(E1584=F1584,"PASS","FAIL")</x:f>
        <x:v>PASS</x:v>
      </x:c>
    </x:row>
    <x:row r="1585">
      <x:c r="B1585" s="21" t="str">
        <x:v>A01579</x:v>
      </x:c>
      <x:c r="C1585" s="21" t="str">
        <x:v>stage</x:v>
      </x:c>
      <x:c r="D1585" s="21" t="str">
        <x:v>stage 441 observed conservation</x:v>
      </x:c>
      <x:c r="E1585" s="21" t="n">
        <x:f>IF(AND(ABS('Stage Ledger'!R447-IF(AND('Stage Ledger'!P447=1,'Stage Ledger'!Q447=1),MIN('Stage Ledger'!F447,'Stage Ledger'!M447,'Stage Ledger'!R446),0))&lt;0.000001,'Stage Ledger'!S447=IF('Stage Ledger'!R447&gt;='Stage Ledger'!F447,"ADMITTED","NOT ADMITTED")),1,0)</x:f>
        <x:v>1</x:v>
      </x:c>
      <x:c r="F1585" s="21" t="n">
        <x:v>1</x:v>
      </x:c>
      <x:c r="G1585" s="23" t="str">
        <x:f>IF(E1585=F1585,"PASS","FAIL")</x:f>
        <x:v>PASS</x:v>
      </x:c>
    </x:row>
    <x:row r="1586">
      <x:c r="B1586" s="21" t="str">
        <x:v>A01580</x:v>
      </x:c>
      <x:c r="C1586" s="21" t="str">
        <x:v>stage</x:v>
      </x:c>
      <x:c r="D1586" s="21" t="str">
        <x:v>stage 442 planned conservation</x:v>
      </x:c>
      <x:c r="E1586" s="21" t="n">
        <x:f>IF(ABS('Stage Ledger'!J448-MIN('Stage Ledger'!F448,'Stage Ledger'!H448,'Stage Ledger'!I448))&lt;0.000001,1,0)</x:f>
        <x:v>1</x:v>
      </x:c>
      <x:c r="F1586" s="21" t="n">
        <x:v>1</x:v>
      </x:c>
      <x:c r="G1586" s="23" t="str">
        <x:f>IF(E1586=F1586,"PASS","FAIL")</x:f>
        <x:v>PASS</x:v>
      </x:c>
    </x:row>
    <x:row r="1587">
      <x:c r="B1587" s="21" t="str">
        <x:v>A01581</x:v>
      </x:c>
      <x:c r="C1587" s="21" t="str">
        <x:v>stage</x:v>
      </x:c>
      <x:c r="D1587" s="21" t="str">
        <x:v>stage 442 observed conservation</x:v>
      </x:c>
      <x:c r="E1587" s="21" t="n">
        <x:f>IF(AND(ABS('Stage Ledger'!R448-IF(AND('Stage Ledger'!P448=1,'Stage Ledger'!Q448=1),MIN('Stage Ledger'!F448,'Stage Ledger'!M448,'Stage Ledger'!R447),0))&lt;0.000001,'Stage Ledger'!S448=IF('Stage Ledger'!R448&gt;='Stage Ledger'!F448,"ADMITTED","NOT ADMITTED")),1,0)</x:f>
        <x:v>1</x:v>
      </x:c>
      <x:c r="F1587" s="21" t="n">
        <x:v>1</x:v>
      </x:c>
      <x:c r="G1587" s="23" t="str">
        <x:f>IF(E1587=F1587,"PASS","FAIL")</x:f>
        <x:v>PASS</x:v>
      </x:c>
    </x:row>
    <x:row r="1588">
      <x:c r="B1588" s="21" t="str">
        <x:v>A01582</x:v>
      </x:c>
      <x:c r="C1588" s="21" t="str">
        <x:v>stage</x:v>
      </x:c>
      <x:c r="D1588" s="21" t="str">
        <x:v>stage 443 planned conservation</x:v>
      </x:c>
      <x:c r="E1588" s="21" t="n">
        <x:f>IF(ABS('Stage Ledger'!J449-MIN('Stage Ledger'!F449,'Stage Ledger'!H449,'Stage Ledger'!I449))&lt;0.000001,1,0)</x:f>
        <x:v>1</x:v>
      </x:c>
      <x:c r="F1588" s="21" t="n">
        <x:v>1</x:v>
      </x:c>
      <x:c r="G1588" s="23" t="str">
        <x:f>IF(E1588=F1588,"PASS","FAIL")</x:f>
        <x:v>PASS</x:v>
      </x:c>
    </x:row>
    <x:row r="1589">
      <x:c r="B1589" s="21" t="str">
        <x:v>A01583</x:v>
      </x:c>
      <x:c r="C1589" s="21" t="str">
        <x:v>stage</x:v>
      </x:c>
      <x:c r="D1589" s="21" t="str">
        <x:v>stage 443 observed conservation</x:v>
      </x:c>
      <x:c r="E1589" s="21" t="n">
        <x:f>IF(AND(ABS('Stage Ledger'!R449-IF(AND('Stage Ledger'!P449=1,'Stage Ledger'!Q449=1),MIN('Stage Ledger'!F449,'Stage Ledger'!M449,'Stage Ledger'!R448),0))&lt;0.000001,'Stage Ledger'!S449=IF('Stage Ledger'!R449&gt;='Stage Ledger'!F449,"ADMITTED","NOT ADMITTED")),1,0)</x:f>
        <x:v>1</x:v>
      </x:c>
      <x:c r="F1589" s="21" t="n">
        <x:v>1</x:v>
      </x:c>
      <x:c r="G1589" s="23" t="str">
        <x:f>IF(E1589=F1589,"PASS","FAIL")</x:f>
        <x:v>PASS</x:v>
      </x:c>
    </x:row>
    <x:row r="1590">
      <x:c r="B1590" s="21" t="str">
        <x:v>A01584</x:v>
      </x:c>
      <x:c r="C1590" s="21" t="str">
        <x:v>stage</x:v>
      </x:c>
      <x:c r="D1590" s="21" t="str">
        <x:v>stage 444 planned conservation</x:v>
      </x:c>
      <x:c r="E1590" s="21" t="n">
        <x:f>IF(ABS('Stage Ledger'!J450-MIN('Stage Ledger'!F450,'Stage Ledger'!H450,'Stage Ledger'!I450))&lt;0.000001,1,0)</x:f>
        <x:v>1</x:v>
      </x:c>
      <x:c r="F1590" s="21" t="n">
        <x:v>1</x:v>
      </x:c>
      <x:c r="G1590" s="23" t="str">
        <x:f>IF(E1590=F1590,"PASS","FAIL")</x:f>
        <x:v>PASS</x:v>
      </x:c>
    </x:row>
    <x:row r="1591">
      <x:c r="B1591" s="21" t="str">
        <x:v>A01585</x:v>
      </x:c>
      <x:c r="C1591" s="21" t="str">
        <x:v>stage</x:v>
      </x:c>
      <x:c r="D1591" s="21" t="str">
        <x:v>stage 444 observed conservation</x:v>
      </x:c>
      <x:c r="E1591" s="21" t="n">
        <x:f>IF(AND(ABS('Stage Ledger'!R450-IF(AND('Stage Ledger'!P450=1,'Stage Ledger'!Q450=1),MIN('Stage Ledger'!F450,'Stage Ledger'!M450,'Stage Ledger'!R449),0))&lt;0.000001,'Stage Ledger'!S450=IF('Stage Ledger'!R450&gt;='Stage Ledger'!F450,"ADMITTED","NOT ADMITTED")),1,0)</x:f>
        <x:v>1</x:v>
      </x:c>
      <x:c r="F1591" s="21" t="n">
        <x:v>1</x:v>
      </x:c>
      <x:c r="G1591" s="23" t="str">
        <x:f>IF(E1591=F1591,"PASS","FAIL")</x:f>
        <x:v>PASS</x:v>
      </x:c>
    </x:row>
    <x:row r="1592">
      <x:c r="B1592" s="21" t="str">
        <x:v>A01586</x:v>
      </x:c>
      <x:c r="C1592" s="21" t="str">
        <x:v>stage</x:v>
      </x:c>
      <x:c r="D1592" s="21" t="str">
        <x:v>stage 445 planned conservation</x:v>
      </x:c>
      <x:c r="E1592" s="21" t="n">
        <x:f>IF(ABS('Stage Ledger'!J451-MIN('Stage Ledger'!F451,'Stage Ledger'!H451,'Stage Ledger'!I451))&lt;0.000001,1,0)</x:f>
        <x:v>1</x:v>
      </x:c>
      <x:c r="F1592" s="21" t="n">
        <x:v>1</x:v>
      </x:c>
      <x:c r="G1592" s="23" t="str">
        <x:f>IF(E1592=F1592,"PASS","FAIL")</x:f>
        <x:v>PASS</x:v>
      </x:c>
    </x:row>
    <x:row r="1593">
      <x:c r="B1593" s="21" t="str">
        <x:v>A01587</x:v>
      </x:c>
      <x:c r="C1593" s="21" t="str">
        <x:v>stage</x:v>
      </x:c>
      <x:c r="D1593" s="21" t="str">
        <x:v>stage 445 observed conservation</x:v>
      </x:c>
      <x:c r="E1593" s="21" t="n">
        <x:f>IF(AND(ABS('Stage Ledger'!R451-IF(AND('Stage Ledger'!P451=1,'Stage Ledger'!Q451=1),MIN('Stage Ledger'!F451,'Stage Ledger'!M451),0))&lt;0.000001,'Stage Ledger'!S451=IF('Stage Ledger'!R451&gt;='Stage Ledger'!F451,"ADMITTED","NOT ADMITTED")),1,0)</x:f>
        <x:v>1</x:v>
      </x:c>
      <x:c r="F1593" s="21" t="n">
        <x:v>1</x:v>
      </x:c>
      <x:c r="G1593" s="23" t="str">
        <x:f>IF(E1593=F1593,"PASS","FAIL")</x:f>
        <x:v>PASS</x:v>
      </x:c>
    </x:row>
    <x:row r="1594">
      <x:c r="B1594" s="21" t="str">
        <x:v>A01588</x:v>
      </x:c>
      <x:c r="C1594" s="21" t="str">
        <x:v>stage</x:v>
      </x:c>
      <x:c r="D1594" s="21" t="str">
        <x:v>stage 446 planned conservation</x:v>
      </x:c>
      <x:c r="E1594" s="21" t="n">
        <x:f>IF(ABS('Stage Ledger'!J452-MIN('Stage Ledger'!F452,'Stage Ledger'!H452,'Stage Ledger'!I452))&lt;0.000001,1,0)</x:f>
        <x:v>1</x:v>
      </x:c>
      <x:c r="F1594" s="21" t="n">
        <x:v>1</x:v>
      </x:c>
      <x:c r="G1594" s="23" t="str">
        <x:f>IF(E1594=F1594,"PASS","FAIL")</x:f>
        <x:v>PASS</x:v>
      </x:c>
    </x:row>
    <x:row r="1595">
      <x:c r="B1595" s="21" t="str">
        <x:v>A01589</x:v>
      </x:c>
      <x:c r="C1595" s="21" t="str">
        <x:v>stage</x:v>
      </x:c>
      <x:c r="D1595" s="21" t="str">
        <x:v>stage 446 observed conservation</x:v>
      </x:c>
      <x:c r="E1595" s="21" t="n">
        <x:f>IF(AND(ABS('Stage Ledger'!R452-IF(AND('Stage Ledger'!P452=1,'Stage Ledger'!Q452=1),MIN('Stage Ledger'!F452,'Stage Ledger'!M452,'Stage Ledger'!R451),0))&lt;0.000001,'Stage Ledger'!S452=IF('Stage Ledger'!R452&gt;='Stage Ledger'!F452,"ADMITTED","NOT ADMITTED")),1,0)</x:f>
        <x:v>1</x:v>
      </x:c>
      <x:c r="F1595" s="21" t="n">
        <x:v>1</x:v>
      </x:c>
      <x:c r="G1595" s="23" t="str">
        <x:f>IF(E1595=F1595,"PASS","FAIL")</x:f>
        <x:v>PASS</x:v>
      </x:c>
    </x:row>
    <x:row r="1596">
      <x:c r="B1596" s="21" t="str">
        <x:v>A01590</x:v>
      </x:c>
      <x:c r="C1596" s="21" t="str">
        <x:v>stage</x:v>
      </x:c>
      <x:c r="D1596" s="21" t="str">
        <x:v>stage 447 planned conservation</x:v>
      </x:c>
      <x:c r="E1596" s="21" t="n">
        <x:f>IF(ABS('Stage Ledger'!J453-MIN('Stage Ledger'!F453,'Stage Ledger'!H453,'Stage Ledger'!I453))&lt;0.000001,1,0)</x:f>
        <x:v>1</x:v>
      </x:c>
      <x:c r="F1596" s="21" t="n">
        <x:v>1</x:v>
      </x:c>
      <x:c r="G1596" s="23" t="str">
        <x:f>IF(E1596=F1596,"PASS","FAIL")</x:f>
        <x:v>PASS</x:v>
      </x:c>
    </x:row>
    <x:row r="1597">
      <x:c r="B1597" s="21" t="str">
        <x:v>A01591</x:v>
      </x:c>
      <x:c r="C1597" s="21" t="str">
        <x:v>stage</x:v>
      </x:c>
      <x:c r="D1597" s="21" t="str">
        <x:v>stage 447 observed conservation</x:v>
      </x:c>
      <x:c r="E1597" s="21" t="n">
        <x:f>IF(AND(ABS('Stage Ledger'!R453-IF(AND('Stage Ledger'!P453=1,'Stage Ledger'!Q453=1),MIN('Stage Ledger'!F453,'Stage Ledger'!M453,'Stage Ledger'!R452),0))&lt;0.000001,'Stage Ledger'!S453=IF('Stage Ledger'!R453&gt;='Stage Ledger'!F453,"ADMITTED","NOT ADMITTED")),1,0)</x:f>
        <x:v>1</x:v>
      </x:c>
      <x:c r="F1597" s="21" t="n">
        <x:v>1</x:v>
      </x:c>
      <x:c r="G1597" s="23" t="str">
        <x:f>IF(E1597=F1597,"PASS","FAIL")</x:f>
        <x:v>PASS</x:v>
      </x:c>
    </x:row>
    <x:row r="1598">
      <x:c r="B1598" s="21" t="str">
        <x:v>A01592</x:v>
      </x:c>
      <x:c r="C1598" s="21" t="str">
        <x:v>stage</x:v>
      </x:c>
      <x:c r="D1598" s="21" t="str">
        <x:v>stage 448 planned conservation</x:v>
      </x:c>
      <x:c r="E1598" s="21" t="n">
        <x:f>IF(ABS('Stage Ledger'!J454-MIN('Stage Ledger'!F454,'Stage Ledger'!H454,'Stage Ledger'!I454))&lt;0.000001,1,0)</x:f>
        <x:v>1</x:v>
      </x:c>
      <x:c r="F1598" s="21" t="n">
        <x:v>1</x:v>
      </x:c>
      <x:c r="G1598" s="23" t="str">
        <x:f>IF(E1598=F1598,"PASS","FAIL")</x:f>
        <x:v>PASS</x:v>
      </x:c>
    </x:row>
    <x:row r="1599">
      <x:c r="B1599" s="21" t="str">
        <x:v>A01593</x:v>
      </x:c>
      <x:c r="C1599" s="21" t="str">
        <x:v>stage</x:v>
      </x:c>
      <x:c r="D1599" s="21" t="str">
        <x:v>stage 448 observed conservation</x:v>
      </x:c>
      <x:c r="E1599" s="21" t="n">
        <x:f>IF(AND(ABS('Stage Ledger'!R454-IF(AND('Stage Ledger'!P454=1,'Stage Ledger'!Q454=1),MIN('Stage Ledger'!F454,'Stage Ledger'!M454,'Stage Ledger'!R453),0))&lt;0.000001,'Stage Ledger'!S454=IF('Stage Ledger'!R454&gt;='Stage Ledger'!F454,"ADMITTED","NOT ADMITTED")),1,0)</x:f>
        <x:v>1</x:v>
      </x:c>
      <x:c r="F1599" s="21" t="n">
        <x:v>1</x:v>
      </x:c>
      <x:c r="G1599" s="23" t="str">
        <x:f>IF(E1599=F1599,"PASS","FAIL")</x:f>
        <x:v>PASS</x:v>
      </x:c>
    </x:row>
    <x:row r="1600">
      <x:c r="B1600" s="21" t="str">
        <x:v>A01594</x:v>
      </x:c>
      <x:c r="C1600" s="21" t="str">
        <x:v>stage</x:v>
      </x:c>
      <x:c r="D1600" s="21" t="str">
        <x:v>stage 449 planned conservation</x:v>
      </x:c>
      <x:c r="E1600" s="21" t="n">
        <x:f>IF(ABS('Stage Ledger'!J455-MIN('Stage Ledger'!F455,'Stage Ledger'!H455,'Stage Ledger'!I455))&lt;0.000001,1,0)</x:f>
        <x:v>1</x:v>
      </x:c>
      <x:c r="F1600" s="21" t="n">
        <x:v>1</x:v>
      </x:c>
      <x:c r="G1600" s="23" t="str">
        <x:f>IF(E1600=F1600,"PASS","FAIL")</x:f>
        <x:v>PASS</x:v>
      </x:c>
    </x:row>
    <x:row r="1601">
      <x:c r="B1601" s="21" t="str">
        <x:v>A01595</x:v>
      </x:c>
      <x:c r="C1601" s="21" t="str">
        <x:v>stage</x:v>
      </x:c>
      <x:c r="D1601" s="21" t="str">
        <x:v>stage 449 observed conservation</x:v>
      </x:c>
      <x:c r="E1601" s="21" t="n">
        <x:f>IF(AND(ABS('Stage Ledger'!R455-IF(AND('Stage Ledger'!P455=1,'Stage Ledger'!Q455=1),MIN('Stage Ledger'!F455,'Stage Ledger'!M455,'Stage Ledger'!R454),0))&lt;0.000001,'Stage Ledger'!S455=IF('Stage Ledger'!R455&gt;='Stage Ledger'!F455,"ADMITTED","NOT ADMITTED")),1,0)</x:f>
        <x:v>1</x:v>
      </x:c>
      <x:c r="F1601" s="21" t="n">
        <x:v>1</x:v>
      </x:c>
      <x:c r="G1601" s="23" t="str">
        <x:f>IF(E1601=F1601,"PASS","FAIL")</x:f>
        <x:v>PASS</x:v>
      </x:c>
    </x:row>
    <x:row r="1602">
      <x:c r="B1602" s="21" t="str">
        <x:v>A01596</x:v>
      </x:c>
      <x:c r="C1602" s="21" t="str">
        <x:v>stage</x:v>
      </x:c>
      <x:c r="D1602" s="21" t="str">
        <x:v>stage 450 planned conservation</x:v>
      </x:c>
      <x:c r="E1602" s="21" t="n">
        <x:f>IF(ABS('Stage Ledger'!J456-MIN('Stage Ledger'!F456,'Stage Ledger'!H456,'Stage Ledger'!I456))&lt;0.000001,1,0)</x:f>
        <x:v>1</x:v>
      </x:c>
      <x:c r="F1602" s="21" t="n">
        <x:v>1</x:v>
      </x:c>
      <x:c r="G1602" s="23" t="str">
        <x:f>IF(E1602=F1602,"PASS","FAIL")</x:f>
        <x:v>PASS</x:v>
      </x:c>
    </x:row>
    <x:row r="1603">
      <x:c r="B1603" s="21" t="str">
        <x:v>A01597</x:v>
      </x:c>
      <x:c r="C1603" s="21" t="str">
        <x:v>stage</x:v>
      </x:c>
      <x:c r="D1603" s="21" t="str">
        <x:v>stage 450 observed conservation</x:v>
      </x:c>
      <x:c r="E1603" s="21" t="n">
        <x:f>IF(AND(ABS('Stage Ledger'!R456-IF(AND('Stage Ledger'!P456=1,'Stage Ledger'!Q456=1),MIN('Stage Ledger'!F456,'Stage Ledger'!M456,'Stage Ledger'!R455),0))&lt;0.000001,'Stage Ledger'!S456=IF('Stage Ledger'!R456&gt;='Stage Ledger'!F456,"ADMITTED","NOT ADMITTED")),1,0)</x:f>
        <x:v>1</x:v>
      </x:c>
      <x:c r="F1603" s="21" t="n">
        <x:v>1</x:v>
      </x:c>
      <x:c r="G1603" s="23" t="str">
        <x:f>IF(E1603=F1603,"PASS","FAIL")</x:f>
        <x:v>PASS</x:v>
      </x:c>
    </x:row>
    <x:row r="1604">
      <x:c r="B1604" s="21" t="str">
        <x:v>A01598</x:v>
      </x:c>
      <x:c r="C1604" s="21" t="str">
        <x:v>stage</x:v>
      </x:c>
      <x:c r="D1604" s="21" t="str">
        <x:v>stage 451 planned conservation</x:v>
      </x:c>
      <x:c r="E1604" s="21" t="n">
        <x:f>IF(ABS('Stage Ledger'!J457-MIN('Stage Ledger'!F457,'Stage Ledger'!H457,'Stage Ledger'!I457))&lt;0.000001,1,0)</x:f>
        <x:v>1</x:v>
      </x:c>
      <x:c r="F1604" s="21" t="n">
        <x:v>1</x:v>
      </x:c>
      <x:c r="G1604" s="23" t="str">
        <x:f>IF(E1604=F1604,"PASS","FAIL")</x:f>
        <x:v>PASS</x:v>
      </x:c>
    </x:row>
    <x:row r="1605">
      <x:c r="B1605" s="21" t="str">
        <x:v>A01599</x:v>
      </x:c>
      <x:c r="C1605" s="21" t="str">
        <x:v>stage</x:v>
      </x:c>
      <x:c r="D1605" s="21" t="str">
        <x:v>stage 451 observed conservation</x:v>
      </x:c>
      <x:c r="E1605" s="21" t="n">
        <x:f>IF(AND(ABS('Stage Ledger'!R457-IF(AND('Stage Ledger'!P457=1,'Stage Ledger'!Q457=1),MIN('Stage Ledger'!F457,'Stage Ledger'!M457,'Stage Ledger'!R456),0))&lt;0.000001,'Stage Ledger'!S457=IF('Stage Ledger'!R457&gt;='Stage Ledger'!F457,"ADMITTED","NOT ADMITTED")),1,0)</x:f>
        <x:v>1</x:v>
      </x:c>
      <x:c r="F1605" s="21" t="n">
        <x:v>1</x:v>
      </x:c>
      <x:c r="G1605" s="23" t="str">
        <x:f>IF(E1605=F1605,"PASS","FAIL")</x:f>
        <x:v>PASS</x:v>
      </x:c>
    </x:row>
    <x:row r="1606">
      <x:c r="B1606" s="21" t="str">
        <x:v>A01600</x:v>
      </x:c>
      <x:c r="C1606" s="21" t="str">
        <x:v>stage</x:v>
      </x:c>
      <x:c r="D1606" s="21" t="str">
        <x:v>stage 452 planned conservation</x:v>
      </x:c>
      <x:c r="E1606" s="21" t="n">
        <x:f>IF(ABS('Stage Ledger'!J458-MIN('Stage Ledger'!F458,'Stage Ledger'!H458,'Stage Ledger'!I458))&lt;0.000001,1,0)</x:f>
        <x:v>1</x:v>
      </x:c>
      <x:c r="F1606" s="21" t="n">
        <x:v>1</x:v>
      </x:c>
      <x:c r="G1606" s="23" t="str">
        <x:f>IF(E1606=F1606,"PASS","FAIL")</x:f>
        <x:v>PASS</x:v>
      </x:c>
    </x:row>
    <x:row r="1607">
      <x:c r="B1607" s="21" t="str">
        <x:v>A01601</x:v>
      </x:c>
      <x:c r="C1607" s="21" t="str">
        <x:v>stage</x:v>
      </x:c>
      <x:c r="D1607" s="21" t="str">
        <x:v>stage 452 observed conservation</x:v>
      </x:c>
      <x:c r="E1607" s="21" t="n">
        <x:f>IF(AND(ABS('Stage Ledger'!R458-IF(AND('Stage Ledger'!P458=1,'Stage Ledger'!Q458=1),MIN('Stage Ledger'!F458,'Stage Ledger'!M458,'Stage Ledger'!R457),0))&lt;0.000001,'Stage Ledger'!S458=IF('Stage Ledger'!R458&gt;='Stage Ledger'!F458,"ADMITTED","NOT ADMITTED")),1,0)</x:f>
        <x:v>1</x:v>
      </x:c>
      <x:c r="F1607" s="21" t="n">
        <x:v>1</x:v>
      </x:c>
      <x:c r="G1607" s="23" t="str">
        <x:f>IF(E1607=F1607,"PASS","FAIL")</x:f>
        <x:v>PASS</x:v>
      </x:c>
    </x:row>
    <x:row r="1608">
      <x:c r="B1608" s="21" t="str">
        <x:v>A01602</x:v>
      </x:c>
      <x:c r="C1608" s="21" t="str">
        <x:v>stage</x:v>
      </x:c>
      <x:c r="D1608" s="21" t="str">
        <x:v>stage 453 planned conservation</x:v>
      </x:c>
      <x:c r="E1608" s="21" t="n">
        <x:f>IF(ABS('Stage Ledger'!J459-MIN('Stage Ledger'!F459,'Stage Ledger'!H459,'Stage Ledger'!I459))&lt;0.000001,1,0)</x:f>
        <x:v>1</x:v>
      </x:c>
      <x:c r="F1608" s="21" t="n">
        <x:v>1</x:v>
      </x:c>
      <x:c r="G1608" s="23" t="str">
        <x:f>IF(E1608=F1608,"PASS","FAIL")</x:f>
        <x:v>PASS</x:v>
      </x:c>
    </x:row>
    <x:row r="1609">
      <x:c r="B1609" s="21" t="str">
        <x:v>A01603</x:v>
      </x:c>
      <x:c r="C1609" s="21" t="str">
        <x:v>stage</x:v>
      </x:c>
      <x:c r="D1609" s="21" t="str">
        <x:v>stage 453 observed conservation</x:v>
      </x:c>
      <x:c r="E1609" s="21" t="n">
        <x:f>IF(AND(ABS('Stage Ledger'!R459-IF(AND('Stage Ledger'!P459=1,'Stage Ledger'!Q459=1),MIN('Stage Ledger'!F459,'Stage Ledger'!M459,'Stage Ledger'!R458),0))&lt;0.000001,'Stage Ledger'!S459=IF('Stage Ledger'!R459&gt;='Stage Ledger'!F459,"ADMITTED","NOT ADMITTED")),1,0)</x:f>
        <x:v>1</x:v>
      </x:c>
      <x:c r="F1609" s="21" t="n">
        <x:v>1</x:v>
      </x:c>
      <x:c r="G1609" s="23" t="str">
        <x:f>IF(E1609=F1609,"PASS","FAIL")</x:f>
        <x:v>PASS</x:v>
      </x:c>
    </x:row>
    <x:row r="1610">
      <x:c r="B1610" s="21" t="str">
        <x:v>A01604</x:v>
      </x:c>
      <x:c r="C1610" s="21" t="str">
        <x:v>stage</x:v>
      </x:c>
      <x:c r="D1610" s="21" t="str">
        <x:v>stage 454 planned conservation</x:v>
      </x:c>
      <x:c r="E1610" s="21" t="n">
        <x:f>IF(ABS('Stage Ledger'!J460-MIN('Stage Ledger'!F460,'Stage Ledger'!H460,'Stage Ledger'!I460))&lt;0.000001,1,0)</x:f>
        <x:v>1</x:v>
      </x:c>
      <x:c r="F1610" s="21" t="n">
        <x:v>1</x:v>
      </x:c>
      <x:c r="G1610" s="23" t="str">
        <x:f>IF(E1610=F1610,"PASS","FAIL")</x:f>
        <x:v>PASS</x:v>
      </x:c>
    </x:row>
    <x:row r="1611">
      <x:c r="B1611" s="21" t="str">
        <x:v>A01605</x:v>
      </x:c>
      <x:c r="C1611" s="21" t="str">
        <x:v>stage</x:v>
      </x:c>
      <x:c r="D1611" s="21" t="str">
        <x:v>stage 454 observed conservation</x:v>
      </x:c>
      <x:c r="E1611" s="21" t="n">
        <x:f>IF(AND(ABS('Stage Ledger'!R460-IF(AND('Stage Ledger'!P460=1,'Stage Ledger'!Q460=1),MIN('Stage Ledger'!F460,'Stage Ledger'!M460,'Stage Ledger'!R459),0))&lt;0.000001,'Stage Ledger'!S460=IF('Stage Ledger'!R460&gt;='Stage Ledger'!F460,"ADMITTED","NOT ADMITTED")),1,0)</x:f>
        <x:v>1</x:v>
      </x:c>
      <x:c r="F1611" s="21" t="n">
        <x:v>1</x:v>
      </x:c>
      <x:c r="G1611" s="23" t="str">
        <x:f>IF(E1611=F1611,"PASS","FAIL")</x:f>
        <x:v>PASS</x:v>
      </x:c>
    </x:row>
    <x:row r="1612">
      <x:c r="B1612" s="21" t="str">
        <x:v>A01606</x:v>
      </x:c>
      <x:c r="C1612" s="21" t="str">
        <x:v>stage</x:v>
      </x:c>
      <x:c r="D1612" s="21" t="str">
        <x:v>stage 455 planned conservation</x:v>
      </x:c>
      <x:c r="E1612" s="21" t="n">
        <x:f>IF(ABS('Stage Ledger'!J461-MIN('Stage Ledger'!F461,'Stage Ledger'!H461,'Stage Ledger'!I461))&lt;0.000001,1,0)</x:f>
        <x:v>1</x:v>
      </x:c>
      <x:c r="F1612" s="21" t="n">
        <x:v>1</x:v>
      </x:c>
      <x:c r="G1612" s="23" t="str">
        <x:f>IF(E1612=F1612,"PASS","FAIL")</x:f>
        <x:v>PASS</x:v>
      </x:c>
    </x:row>
    <x:row r="1613">
      <x:c r="B1613" s="21" t="str">
        <x:v>A01607</x:v>
      </x:c>
      <x:c r="C1613" s="21" t="str">
        <x:v>stage</x:v>
      </x:c>
      <x:c r="D1613" s="21" t="str">
        <x:v>stage 455 observed conservation</x:v>
      </x:c>
      <x:c r="E1613" s="21" t="n">
        <x:f>IF(AND(ABS('Stage Ledger'!R461-IF(AND('Stage Ledger'!P461=1,'Stage Ledger'!Q461=1),MIN('Stage Ledger'!F461,'Stage Ledger'!M461,'Stage Ledger'!R460),0))&lt;0.000001,'Stage Ledger'!S461=IF('Stage Ledger'!R461&gt;='Stage Ledger'!F461,"ADMITTED","NOT ADMITTED")),1,0)</x:f>
        <x:v>1</x:v>
      </x:c>
      <x:c r="F1613" s="21" t="n">
        <x:v>1</x:v>
      </x:c>
      <x:c r="G1613" s="23" t="str">
        <x:f>IF(E1613=F1613,"PASS","FAIL")</x:f>
        <x:v>PASS</x:v>
      </x:c>
    </x:row>
    <x:row r="1614">
      <x:c r="B1614" s="21" t="str">
        <x:v>A01608</x:v>
      </x:c>
      <x:c r="C1614" s="21" t="str">
        <x:v>stage</x:v>
      </x:c>
      <x:c r="D1614" s="21" t="str">
        <x:v>stage 456 planned conservation</x:v>
      </x:c>
      <x:c r="E1614" s="21" t="n">
        <x:f>IF(ABS('Stage Ledger'!J462-MIN('Stage Ledger'!F462,'Stage Ledger'!H462,'Stage Ledger'!I462))&lt;0.000001,1,0)</x:f>
        <x:v>1</x:v>
      </x:c>
      <x:c r="F1614" s="21" t="n">
        <x:v>1</x:v>
      </x:c>
      <x:c r="G1614" s="23" t="str">
        <x:f>IF(E1614=F1614,"PASS","FAIL")</x:f>
        <x:v>PASS</x:v>
      </x:c>
    </x:row>
    <x:row r="1615">
      <x:c r="B1615" s="21" t="str">
        <x:v>A01609</x:v>
      </x:c>
      <x:c r="C1615" s="21" t="str">
        <x:v>stage</x:v>
      </x:c>
      <x:c r="D1615" s="21" t="str">
        <x:v>stage 456 observed conservation</x:v>
      </x:c>
      <x:c r="E1615" s="21" t="n">
        <x:f>IF(AND(ABS('Stage Ledger'!R462-IF(AND('Stage Ledger'!P462=1,'Stage Ledger'!Q462=1),MIN('Stage Ledger'!F462,'Stage Ledger'!M462,'Stage Ledger'!R461),0))&lt;0.000001,'Stage Ledger'!S462=IF('Stage Ledger'!R462&gt;='Stage Ledger'!F462,"ADMITTED","NOT ADMITTED")),1,0)</x:f>
        <x:v>1</x:v>
      </x:c>
      <x:c r="F1615" s="21" t="n">
        <x:v>1</x:v>
      </x:c>
      <x:c r="G1615" s="23" t="str">
        <x:f>IF(E1615=F1615,"PASS","FAIL")</x:f>
        <x:v>PASS</x:v>
      </x:c>
    </x:row>
    <x:row r="1616">
      <x:c r="B1616" s="21" t="str">
        <x:v>A01610</x:v>
      </x:c>
      <x:c r="C1616" s="21" t="str">
        <x:v>stage</x:v>
      </x:c>
      <x:c r="D1616" s="21" t="str">
        <x:v>stage 457 planned conservation</x:v>
      </x:c>
      <x:c r="E1616" s="21" t="n">
        <x:f>IF(ABS('Stage Ledger'!J463-MIN('Stage Ledger'!F463,'Stage Ledger'!H463,'Stage Ledger'!I463))&lt;0.000001,1,0)</x:f>
        <x:v>1</x:v>
      </x:c>
      <x:c r="F1616" s="21" t="n">
        <x:v>1</x:v>
      </x:c>
      <x:c r="G1616" s="23" t="str">
        <x:f>IF(E1616=F1616,"PASS","FAIL")</x:f>
        <x:v>PASS</x:v>
      </x:c>
    </x:row>
    <x:row r="1617">
      <x:c r="B1617" s="21" t="str">
        <x:v>A01611</x:v>
      </x:c>
      <x:c r="C1617" s="21" t="str">
        <x:v>stage</x:v>
      </x:c>
      <x:c r="D1617" s="21" t="str">
        <x:v>stage 457 observed conservation</x:v>
      </x:c>
      <x:c r="E1617" s="21" t="n">
        <x:f>IF(AND(ABS('Stage Ledger'!R463-IF(AND('Stage Ledger'!P463=1,'Stage Ledger'!Q463=1),MIN('Stage Ledger'!F463,'Stage Ledger'!M463),0))&lt;0.000001,'Stage Ledger'!S463=IF('Stage Ledger'!R463&gt;='Stage Ledger'!F463,"ADMITTED","NOT ADMITTED")),1,0)</x:f>
        <x:v>1</x:v>
      </x:c>
      <x:c r="F1617" s="21" t="n">
        <x:v>1</x:v>
      </x:c>
      <x:c r="G1617" s="23" t="str">
        <x:f>IF(E1617=F1617,"PASS","FAIL")</x:f>
        <x:v>PASS</x:v>
      </x:c>
    </x:row>
    <x:row r="1618">
      <x:c r="B1618" s="21" t="str">
        <x:v>A01612</x:v>
      </x:c>
      <x:c r="C1618" s="21" t="str">
        <x:v>stage</x:v>
      </x:c>
      <x:c r="D1618" s="21" t="str">
        <x:v>stage 458 planned conservation</x:v>
      </x:c>
      <x:c r="E1618" s="21" t="n">
        <x:f>IF(ABS('Stage Ledger'!J464-MIN('Stage Ledger'!F464,'Stage Ledger'!H464,'Stage Ledger'!I464))&lt;0.000001,1,0)</x:f>
        <x:v>1</x:v>
      </x:c>
      <x:c r="F1618" s="21" t="n">
        <x:v>1</x:v>
      </x:c>
      <x:c r="G1618" s="23" t="str">
        <x:f>IF(E1618=F1618,"PASS","FAIL")</x:f>
        <x:v>PASS</x:v>
      </x:c>
    </x:row>
    <x:row r="1619">
      <x:c r="B1619" s="21" t="str">
        <x:v>A01613</x:v>
      </x:c>
      <x:c r="C1619" s="21" t="str">
        <x:v>stage</x:v>
      </x:c>
      <x:c r="D1619" s="21" t="str">
        <x:v>stage 458 observed conservation</x:v>
      </x:c>
      <x:c r="E1619" s="21" t="n">
        <x:f>IF(AND(ABS('Stage Ledger'!R464-IF(AND('Stage Ledger'!P464=1,'Stage Ledger'!Q464=1),MIN('Stage Ledger'!F464,'Stage Ledger'!M464,'Stage Ledger'!R463),0))&lt;0.000001,'Stage Ledger'!S464=IF('Stage Ledger'!R464&gt;='Stage Ledger'!F464,"ADMITTED","NOT ADMITTED")),1,0)</x:f>
        <x:v>1</x:v>
      </x:c>
      <x:c r="F1619" s="21" t="n">
        <x:v>1</x:v>
      </x:c>
      <x:c r="G1619" s="23" t="str">
        <x:f>IF(E1619=F1619,"PASS","FAIL")</x:f>
        <x:v>PASS</x:v>
      </x:c>
    </x:row>
    <x:row r="1620">
      <x:c r="B1620" s="21" t="str">
        <x:v>A01614</x:v>
      </x:c>
      <x:c r="C1620" s="21" t="str">
        <x:v>stage</x:v>
      </x:c>
      <x:c r="D1620" s="21" t="str">
        <x:v>stage 459 planned conservation</x:v>
      </x:c>
      <x:c r="E1620" s="21" t="n">
        <x:f>IF(ABS('Stage Ledger'!J465-MIN('Stage Ledger'!F465,'Stage Ledger'!H465,'Stage Ledger'!I465))&lt;0.000001,1,0)</x:f>
        <x:v>1</x:v>
      </x:c>
      <x:c r="F1620" s="21" t="n">
        <x:v>1</x:v>
      </x:c>
      <x:c r="G1620" s="23" t="str">
        <x:f>IF(E1620=F1620,"PASS","FAIL")</x:f>
        <x:v>PASS</x:v>
      </x:c>
    </x:row>
    <x:row r="1621">
      <x:c r="B1621" s="21" t="str">
        <x:v>A01615</x:v>
      </x:c>
      <x:c r="C1621" s="21" t="str">
        <x:v>stage</x:v>
      </x:c>
      <x:c r="D1621" s="21" t="str">
        <x:v>stage 459 observed conservation</x:v>
      </x:c>
      <x:c r="E1621" s="21" t="n">
        <x:f>IF(AND(ABS('Stage Ledger'!R465-IF(AND('Stage Ledger'!P465=1,'Stage Ledger'!Q465=1),MIN('Stage Ledger'!F465,'Stage Ledger'!M465,'Stage Ledger'!R464),0))&lt;0.000001,'Stage Ledger'!S465=IF('Stage Ledger'!R465&gt;='Stage Ledger'!F465,"ADMITTED","NOT ADMITTED")),1,0)</x:f>
        <x:v>1</x:v>
      </x:c>
      <x:c r="F1621" s="21" t="n">
        <x:v>1</x:v>
      </x:c>
      <x:c r="G1621" s="23" t="str">
        <x:f>IF(E1621=F1621,"PASS","FAIL")</x:f>
        <x:v>PASS</x:v>
      </x:c>
    </x:row>
    <x:row r="1622">
      <x:c r="B1622" s="21" t="str">
        <x:v>A01616</x:v>
      </x:c>
      <x:c r="C1622" s="21" t="str">
        <x:v>stage</x:v>
      </x:c>
      <x:c r="D1622" s="21" t="str">
        <x:v>stage 460 planned conservation</x:v>
      </x:c>
      <x:c r="E1622" s="21" t="n">
        <x:f>IF(ABS('Stage Ledger'!J466-MIN('Stage Ledger'!F466,'Stage Ledger'!H466,'Stage Ledger'!I466))&lt;0.000001,1,0)</x:f>
        <x:v>1</x:v>
      </x:c>
      <x:c r="F1622" s="21" t="n">
        <x:v>1</x:v>
      </x:c>
      <x:c r="G1622" s="23" t="str">
        <x:f>IF(E1622=F1622,"PASS","FAIL")</x:f>
        <x:v>PASS</x:v>
      </x:c>
    </x:row>
    <x:row r="1623">
      <x:c r="B1623" s="21" t="str">
        <x:v>A01617</x:v>
      </x:c>
      <x:c r="C1623" s="21" t="str">
        <x:v>stage</x:v>
      </x:c>
      <x:c r="D1623" s="21" t="str">
        <x:v>stage 460 observed conservation</x:v>
      </x:c>
      <x:c r="E1623" s="21" t="n">
        <x:f>IF(AND(ABS('Stage Ledger'!R466-IF(AND('Stage Ledger'!P466=1,'Stage Ledger'!Q466=1),MIN('Stage Ledger'!F466,'Stage Ledger'!M466,'Stage Ledger'!R465),0))&lt;0.000001,'Stage Ledger'!S466=IF('Stage Ledger'!R466&gt;='Stage Ledger'!F466,"ADMITTED","NOT ADMITTED")),1,0)</x:f>
        <x:v>1</x:v>
      </x:c>
      <x:c r="F1623" s="21" t="n">
        <x:v>1</x:v>
      </x:c>
      <x:c r="G1623" s="23" t="str">
        <x:f>IF(E1623=F1623,"PASS","FAIL")</x:f>
        <x:v>PASS</x:v>
      </x:c>
    </x:row>
    <x:row r="1624">
      <x:c r="B1624" s="21" t="str">
        <x:v>A01618</x:v>
      </x:c>
      <x:c r="C1624" s="21" t="str">
        <x:v>stage</x:v>
      </x:c>
      <x:c r="D1624" s="21" t="str">
        <x:v>stage 461 planned conservation</x:v>
      </x:c>
      <x:c r="E1624" s="21" t="n">
        <x:f>IF(ABS('Stage Ledger'!J467-MIN('Stage Ledger'!F467,'Stage Ledger'!H467,'Stage Ledger'!I467))&lt;0.000001,1,0)</x:f>
        <x:v>1</x:v>
      </x:c>
      <x:c r="F1624" s="21" t="n">
        <x:v>1</x:v>
      </x:c>
      <x:c r="G1624" s="23" t="str">
        <x:f>IF(E1624=F1624,"PASS","FAIL")</x:f>
        <x:v>PASS</x:v>
      </x:c>
    </x:row>
    <x:row r="1625">
      <x:c r="B1625" s="21" t="str">
        <x:v>A01619</x:v>
      </x:c>
      <x:c r="C1625" s="21" t="str">
        <x:v>stage</x:v>
      </x:c>
      <x:c r="D1625" s="21" t="str">
        <x:v>stage 461 observed conservation</x:v>
      </x:c>
      <x:c r="E1625" s="21" t="n">
        <x:f>IF(AND(ABS('Stage Ledger'!R467-IF(AND('Stage Ledger'!P467=1,'Stage Ledger'!Q467=1),MIN('Stage Ledger'!F467,'Stage Ledger'!M467,'Stage Ledger'!R466),0))&lt;0.000001,'Stage Ledger'!S467=IF('Stage Ledger'!R467&gt;='Stage Ledger'!F467,"ADMITTED","NOT ADMITTED")),1,0)</x:f>
        <x:v>1</x:v>
      </x:c>
      <x:c r="F1625" s="21" t="n">
        <x:v>1</x:v>
      </x:c>
      <x:c r="G1625" s="23" t="str">
        <x:f>IF(E1625=F1625,"PASS","FAIL")</x:f>
        <x:v>PASS</x:v>
      </x:c>
    </x:row>
    <x:row r="1626">
      <x:c r="B1626" s="21" t="str">
        <x:v>A01620</x:v>
      </x:c>
      <x:c r="C1626" s="21" t="str">
        <x:v>stage</x:v>
      </x:c>
      <x:c r="D1626" s="21" t="str">
        <x:v>stage 462 planned conservation</x:v>
      </x:c>
      <x:c r="E1626" s="21" t="n">
        <x:f>IF(ABS('Stage Ledger'!J468-MIN('Stage Ledger'!F468,'Stage Ledger'!H468,'Stage Ledger'!I468))&lt;0.000001,1,0)</x:f>
        <x:v>1</x:v>
      </x:c>
      <x:c r="F1626" s="21" t="n">
        <x:v>1</x:v>
      </x:c>
      <x:c r="G1626" s="23" t="str">
        <x:f>IF(E1626=F1626,"PASS","FAIL")</x:f>
        <x:v>PASS</x:v>
      </x:c>
    </x:row>
    <x:row r="1627">
      <x:c r="B1627" s="21" t="str">
        <x:v>A01621</x:v>
      </x:c>
      <x:c r="C1627" s="21" t="str">
        <x:v>stage</x:v>
      </x:c>
      <x:c r="D1627" s="21" t="str">
        <x:v>stage 462 observed conservation</x:v>
      </x:c>
      <x:c r="E1627" s="21" t="n">
        <x:f>IF(AND(ABS('Stage Ledger'!R468-IF(AND('Stage Ledger'!P468=1,'Stage Ledger'!Q468=1),MIN('Stage Ledger'!F468,'Stage Ledger'!M468,'Stage Ledger'!R467),0))&lt;0.000001,'Stage Ledger'!S468=IF('Stage Ledger'!R468&gt;='Stage Ledger'!F468,"ADMITTED","NOT ADMITTED")),1,0)</x:f>
        <x:v>1</x:v>
      </x:c>
      <x:c r="F1627" s="21" t="n">
        <x:v>1</x:v>
      </x:c>
      <x:c r="G1627" s="23" t="str">
        <x:f>IF(E1627=F1627,"PASS","FAIL")</x:f>
        <x:v>PASS</x:v>
      </x:c>
    </x:row>
    <x:row r="1628">
      <x:c r="B1628" s="21" t="str">
        <x:v>A01622</x:v>
      </x:c>
      <x:c r="C1628" s="21" t="str">
        <x:v>stage</x:v>
      </x:c>
      <x:c r="D1628" s="21" t="str">
        <x:v>stage 463 planned conservation</x:v>
      </x:c>
      <x:c r="E1628" s="21" t="n">
        <x:f>IF(ABS('Stage Ledger'!J469-MIN('Stage Ledger'!F469,'Stage Ledger'!H469,'Stage Ledger'!I469))&lt;0.000001,1,0)</x:f>
        <x:v>1</x:v>
      </x:c>
      <x:c r="F1628" s="21" t="n">
        <x:v>1</x:v>
      </x:c>
      <x:c r="G1628" s="23" t="str">
        <x:f>IF(E1628=F1628,"PASS","FAIL")</x:f>
        <x:v>PASS</x:v>
      </x:c>
    </x:row>
    <x:row r="1629">
      <x:c r="B1629" s="21" t="str">
        <x:v>A01623</x:v>
      </x:c>
      <x:c r="C1629" s="21" t="str">
        <x:v>stage</x:v>
      </x:c>
      <x:c r="D1629" s="21" t="str">
        <x:v>stage 463 observed conservation</x:v>
      </x:c>
      <x:c r="E1629" s="21" t="n">
        <x:f>IF(AND(ABS('Stage Ledger'!R469-IF(AND('Stage Ledger'!P469=1,'Stage Ledger'!Q469=1),MIN('Stage Ledger'!F469,'Stage Ledger'!M469,'Stage Ledger'!R468),0))&lt;0.000001,'Stage Ledger'!S469=IF('Stage Ledger'!R469&gt;='Stage Ledger'!F469,"ADMITTED","NOT ADMITTED")),1,0)</x:f>
        <x:v>1</x:v>
      </x:c>
      <x:c r="F1629" s="21" t="n">
        <x:v>1</x:v>
      </x:c>
      <x:c r="G1629" s="23" t="str">
        <x:f>IF(E1629=F1629,"PASS","FAIL")</x:f>
        <x:v>PASS</x:v>
      </x:c>
    </x:row>
    <x:row r="1630">
      <x:c r="B1630" s="21" t="str">
        <x:v>A01624</x:v>
      </x:c>
      <x:c r="C1630" s="21" t="str">
        <x:v>stage</x:v>
      </x:c>
      <x:c r="D1630" s="21" t="str">
        <x:v>stage 464 planned conservation</x:v>
      </x:c>
      <x:c r="E1630" s="21" t="n">
        <x:f>IF(ABS('Stage Ledger'!J470-MIN('Stage Ledger'!F470,'Stage Ledger'!H470,'Stage Ledger'!I470))&lt;0.000001,1,0)</x:f>
        <x:v>1</x:v>
      </x:c>
      <x:c r="F1630" s="21" t="n">
        <x:v>1</x:v>
      </x:c>
      <x:c r="G1630" s="23" t="str">
        <x:f>IF(E1630=F1630,"PASS","FAIL")</x:f>
        <x:v>PASS</x:v>
      </x:c>
    </x:row>
    <x:row r="1631">
      <x:c r="B1631" s="21" t="str">
        <x:v>A01625</x:v>
      </x:c>
      <x:c r="C1631" s="21" t="str">
        <x:v>stage</x:v>
      </x:c>
      <x:c r="D1631" s="21" t="str">
        <x:v>stage 464 observed conservation</x:v>
      </x:c>
      <x:c r="E1631" s="21" t="n">
        <x:f>IF(AND(ABS('Stage Ledger'!R470-IF(AND('Stage Ledger'!P470=1,'Stage Ledger'!Q470=1),MIN('Stage Ledger'!F470,'Stage Ledger'!M470,'Stage Ledger'!R469),0))&lt;0.000001,'Stage Ledger'!S470=IF('Stage Ledger'!R470&gt;='Stage Ledger'!F470,"ADMITTED","NOT ADMITTED")),1,0)</x:f>
        <x:v>1</x:v>
      </x:c>
      <x:c r="F1631" s="21" t="n">
        <x:v>1</x:v>
      </x:c>
      <x:c r="G1631" s="23" t="str">
        <x:f>IF(E1631=F1631,"PASS","FAIL")</x:f>
        <x:v>PASS</x:v>
      </x:c>
    </x:row>
    <x:row r="1632">
      <x:c r="B1632" s="21" t="str">
        <x:v>A01626</x:v>
      </x:c>
      <x:c r="C1632" s="21" t="str">
        <x:v>stage</x:v>
      </x:c>
      <x:c r="D1632" s="21" t="str">
        <x:v>stage 465 planned conservation</x:v>
      </x:c>
      <x:c r="E1632" s="21" t="n">
        <x:f>IF(ABS('Stage Ledger'!J471-MIN('Stage Ledger'!F471,'Stage Ledger'!H471,'Stage Ledger'!I471))&lt;0.000001,1,0)</x:f>
        <x:v>1</x:v>
      </x:c>
      <x:c r="F1632" s="21" t="n">
        <x:v>1</x:v>
      </x:c>
      <x:c r="G1632" s="23" t="str">
        <x:f>IF(E1632=F1632,"PASS","FAIL")</x:f>
        <x:v>PASS</x:v>
      </x:c>
    </x:row>
    <x:row r="1633">
      <x:c r="B1633" s="21" t="str">
        <x:v>A01627</x:v>
      </x:c>
      <x:c r="C1633" s="21" t="str">
        <x:v>stage</x:v>
      </x:c>
      <x:c r="D1633" s="21" t="str">
        <x:v>stage 465 observed conservation</x:v>
      </x:c>
      <x:c r="E1633" s="21" t="n">
        <x:f>IF(AND(ABS('Stage Ledger'!R471-IF(AND('Stage Ledger'!P471=1,'Stage Ledger'!Q471=1),MIN('Stage Ledger'!F471,'Stage Ledger'!M471,'Stage Ledger'!R470),0))&lt;0.000001,'Stage Ledger'!S471=IF('Stage Ledger'!R471&gt;='Stage Ledger'!F471,"ADMITTED","NOT ADMITTED")),1,0)</x:f>
        <x:v>1</x:v>
      </x:c>
      <x:c r="F1633" s="21" t="n">
        <x:v>1</x:v>
      </x:c>
      <x:c r="G1633" s="23" t="str">
        <x:f>IF(E1633=F1633,"PASS","FAIL")</x:f>
        <x:v>PASS</x:v>
      </x:c>
    </x:row>
    <x:row r="1634">
      <x:c r="B1634" s="21" t="str">
        <x:v>A01628</x:v>
      </x:c>
      <x:c r="C1634" s="21" t="str">
        <x:v>stage</x:v>
      </x:c>
      <x:c r="D1634" s="21" t="str">
        <x:v>stage 466 planned conservation</x:v>
      </x:c>
      <x:c r="E1634" s="21" t="n">
        <x:f>IF(ABS('Stage Ledger'!J472-MIN('Stage Ledger'!F472,'Stage Ledger'!H472,'Stage Ledger'!I472))&lt;0.000001,1,0)</x:f>
        <x:v>1</x:v>
      </x:c>
      <x:c r="F1634" s="21" t="n">
        <x:v>1</x:v>
      </x:c>
      <x:c r="G1634" s="23" t="str">
        <x:f>IF(E1634=F1634,"PASS","FAIL")</x:f>
        <x:v>PASS</x:v>
      </x:c>
    </x:row>
    <x:row r="1635">
      <x:c r="B1635" s="21" t="str">
        <x:v>A01629</x:v>
      </x:c>
      <x:c r="C1635" s="21" t="str">
        <x:v>stage</x:v>
      </x:c>
      <x:c r="D1635" s="21" t="str">
        <x:v>stage 466 observed conservation</x:v>
      </x:c>
      <x:c r="E1635" s="21" t="n">
        <x:f>IF(AND(ABS('Stage Ledger'!R472-IF(AND('Stage Ledger'!P472=1,'Stage Ledger'!Q472=1),MIN('Stage Ledger'!F472,'Stage Ledger'!M472,'Stage Ledger'!R471),0))&lt;0.000001,'Stage Ledger'!S472=IF('Stage Ledger'!R472&gt;='Stage Ledger'!F472,"ADMITTED","NOT ADMITTED")),1,0)</x:f>
        <x:v>1</x:v>
      </x:c>
      <x:c r="F1635" s="21" t="n">
        <x:v>1</x:v>
      </x:c>
      <x:c r="G1635" s="23" t="str">
        <x:f>IF(E1635=F1635,"PASS","FAIL")</x:f>
        <x:v>PASS</x:v>
      </x:c>
    </x:row>
    <x:row r="1636">
      <x:c r="B1636" s="21" t="str">
        <x:v>A01630</x:v>
      </x:c>
      <x:c r="C1636" s="21" t="str">
        <x:v>stage</x:v>
      </x:c>
      <x:c r="D1636" s="21" t="str">
        <x:v>stage 467 planned conservation</x:v>
      </x:c>
      <x:c r="E1636" s="21" t="n">
        <x:f>IF(ABS('Stage Ledger'!J473-MIN('Stage Ledger'!F473,'Stage Ledger'!H473,'Stage Ledger'!I473))&lt;0.000001,1,0)</x:f>
        <x:v>1</x:v>
      </x:c>
      <x:c r="F1636" s="21" t="n">
        <x:v>1</x:v>
      </x:c>
      <x:c r="G1636" s="23" t="str">
        <x:f>IF(E1636=F1636,"PASS","FAIL")</x:f>
        <x:v>PASS</x:v>
      </x:c>
    </x:row>
    <x:row r="1637">
      <x:c r="B1637" s="21" t="str">
        <x:v>A01631</x:v>
      </x:c>
      <x:c r="C1637" s="21" t="str">
        <x:v>stage</x:v>
      </x:c>
      <x:c r="D1637" s="21" t="str">
        <x:v>stage 467 observed conservation</x:v>
      </x:c>
      <x:c r="E1637" s="21" t="n">
        <x:f>IF(AND(ABS('Stage Ledger'!R473-IF(AND('Stage Ledger'!P473=1,'Stage Ledger'!Q473=1),MIN('Stage Ledger'!F473,'Stage Ledger'!M473,'Stage Ledger'!R472),0))&lt;0.000001,'Stage Ledger'!S473=IF('Stage Ledger'!R473&gt;='Stage Ledger'!F473,"ADMITTED","NOT ADMITTED")),1,0)</x:f>
        <x:v>1</x:v>
      </x:c>
      <x:c r="F1637" s="21" t="n">
        <x:v>1</x:v>
      </x:c>
      <x:c r="G1637" s="23" t="str">
        <x:f>IF(E1637=F1637,"PASS","FAIL")</x:f>
        <x:v>PASS</x:v>
      </x:c>
    </x:row>
    <x:row r="1638">
      <x:c r="B1638" s="21" t="str">
        <x:v>A01632</x:v>
      </x:c>
      <x:c r="C1638" s="21" t="str">
        <x:v>stage</x:v>
      </x:c>
      <x:c r="D1638" s="21" t="str">
        <x:v>stage 468 planned conservation</x:v>
      </x:c>
      <x:c r="E1638" s="21" t="n">
        <x:f>IF(ABS('Stage Ledger'!J474-MIN('Stage Ledger'!F474,'Stage Ledger'!H474,'Stage Ledger'!I474))&lt;0.000001,1,0)</x:f>
        <x:v>1</x:v>
      </x:c>
      <x:c r="F1638" s="21" t="n">
        <x:v>1</x:v>
      </x:c>
      <x:c r="G1638" s="23" t="str">
        <x:f>IF(E1638=F1638,"PASS","FAIL")</x:f>
        <x:v>PASS</x:v>
      </x:c>
    </x:row>
    <x:row r="1639">
      <x:c r="B1639" s="21" t="str">
        <x:v>A01633</x:v>
      </x:c>
      <x:c r="C1639" s="21" t="str">
        <x:v>stage</x:v>
      </x:c>
      <x:c r="D1639" s="21" t="str">
        <x:v>stage 468 observed conservation</x:v>
      </x:c>
      <x:c r="E1639" s="21" t="n">
        <x:f>IF(AND(ABS('Stage Ledger'!R474-IF(AND('Stage Ledger'!P474=1,'Stage Ledger'!Q474=1),MIN('Stage Ledger'!F474,'Stage Ledger'!M474,'Stage Ledger'!R473),0))&lt;0.000001,'Stage Ledger'!S474=IF('Stage Ledger'!R474&gt;='Stage Ledger'!F474,"ADMITTED","NOT ADMITTED")),1,0)</x:f>
        <x:v>1</x:v>
      </x:c>
      <x:c r="F1639" s="21" t="n">
        <x:v>1</x:v>
      </x:c>
      <x:c r="G1639" s="23" t="str">
        <x:f>IF(E1639=F1639,"PASS","FAIL")</x:f>
        <x:v>PASS</x:v>
      </x:c>
    </x:row>
    <x:row r="1640">
      <x:c r="B1640" s="21" t="str">
        <x:v>A01634</x:v>
      </x:c>
      <x:c r="C1640" s="21" t="str">
        <x:v>stage</x:v>
      </x:c>
      <x:c r="D1640" s="21" t="str">
        <x:v>stage 469 planned conservation</x:v>
      </x:c>
      <x:c r="E1640" s="21" t="n">
        <x:f>IF(ABS('Stage Ledger'!J475-MIN('Stage Ledger'!F475,'Stage Ledger'!H475,'Stage Ledger'!I475))&lt;0.000001,1,0)</x:f>
        <x:v>1</x:v>
      </x:c>
      <x:c r="F1640" s="21" t="n">
        <x:v>1</x:v>
      </x:c>
      <x:c r="G1640" s="23" t="str">
        <x:f>IF(E1640=F1640,"PASS","FAIL")</x:f>
        <x:v>PASS</x:v>
      </x:c>
    </x:row>
    <x:row r="1641">
      <x:c r="B1641" s="21" t="str">
        <x:v>A01635</x:v>
      </x:c>
      <x:c r="C1641" s="21" t="str">
        <x:v>stage</x:v>
      </x:c>
      <x:c r="D1641" s="21" t="str">
        <x:v>stage 469 observed conservation</x:v>
      </x:c>
      <x:c r="E1641" s="21" t="n">
        <x:f>IF(AND(ABS('Stage Ledger'!R475-IF(AND('Stage Ledger'!P475=1,'Stage Ledger'!Q475=1),MIN('Stage Ledger'!F475,'Stage Ledger'!M475),0))&lt;0.000001,'Stage Ledger'!S475=IF('Stage Ledger'!R475&gt;='Stage Ledger'!F475,"ADMITTED","NOT ADMITTED")),1,0)</x:f>
        <x:v>1</x:v>
      </x:c>
      <x:c r="F1641" s="21" t="n">
        <x:v>1</x:v>
      </x:c>
      <x:c r="G1641" s="23" t="str">
        <x:f>IF(E1641=F1641,"PASS","FAIL")</x:f>
        <x:v>PASS</x:v>
      </x:c>
    </x:row>
    <x:row r="1642">
      <x:c r="B1642" s="21" t="str">
        <x:v>A01636</x:v>
      </x:c>
      <x:c r="C1642" s="21" t="str">
        <x:v>stage</x:v>
      </x:c>
      <x:c r="D1642" s="21" t="str">
        <x:v>stage 470 planned conservation</x:v>
      </x:c>
      <x:c r="E1642" s="21" t="n">
        <x:f>IF(ABS('Stage Ledger'!J476-MIN('Stage Ledger'!F476,'Stage Ledger'!H476,'Stage Ledger'!I476))&lt;0.000001,1,0)</x:f>
        <x:v>1</x:v>
      </x:c>
      <x:c r="F1642" s="21" t="n">
        <x:v>1</x:v>
      </x:c>
      <x:c r="G1642" s="23" t="str">
        <x:f>IF(E1642=F1642,"PASS","FAIL")</x:f>
        <x:v>PASS</x:v>
      </x:c>
    </x:row>
    <x:row r="1643">
      <x:c r="B1643" s="21" t="str">
        <x:v>A01637</x:v>
      </x:c>
      <x:c r="C1643" s="21" t="str">
        <x:v>stage</x:v>
      </x:c>
      <x:c r="D1643" s="21" t="str">
        <x:v>stage 470 observed conservation</x:v>
      </x:c>
      <x:c r="E1643" s="21" t="n">
        <x:f>IF(AND(ABS('Stage Ledger'!R476-IF(AND('Stage Ledger'!P476=1,'Stage Ledger'!Q476=1),MIN('Stage Ledger'!F476,'Stage Ledger'!M476,'Stage Ledger'!R475),0))&lt;0.000001,'Stage Ledger'!S476=IF('Stage Ledger'!R476&gt;='Stage Ledger'!F476,"ADMITTED","NOT ADMITTED")),1,0)</x:f>
        <x:v>1</x:v>
      </x:c>
      <x:c r="F1643" s="21" t="n">
        <x:v>1</x:v>
      </x:c>
      <x:c r="G1643" s="23" t="str">
        <x:f>IF(E1643=F1643,"PASS","FAIL")</x:f>
        <x:v>PASS</x:v>
      </x:c>
    </x:row>
    <x:row r="1644">
      <x:c r="B1644" s="21" t="str">
        <x:v>A01638</x:v>
      </x:c>
      <x:c r="C1644" s="21" t="str">
        <x:v>stage</x:v>
      </x:c>
      <x:c r="D1644" s="21" t="str">
        <x:v>stage 471 planned conservation</x:v>
      </x:c>
      <x:c r="E1644" s="21" t="n">
        <x:f>IF(ABS('Stage Ledger'!J477-MIN('Stage Ledger'!F477,'Stage Ledger'!H477,'Stage Ledger'!I477))&lt;0.000001,1,0)</x:f>
        <x:v>1</x:v>
      </x:c>
      <x:c r="F1644" s="21" t="n">
        <x:v>1</x:v>
      </x:c>
      <x:c r="G1644" s="23" t="str">
        <x:f>IF(E1644=F1644,"PASS","FAIL")</x:f>
        <x:v>PASS</x:v>
      </x:c>
    </x:row>
    <x:row r="1645">
      <x:c r="B1645" s="21" t="str">
        <x:v>A01639</x:v>
      </x:c>
      <x:c r="C1645" s="21" t="str">
        <x:v>stage</x:v>
      </x:c>
      <x:c r="D1645" s="21" t="str">
        <x:v>stage 471 observed conservation</x:v>
      </x:c>
      <x:c r="E1645" s="21" t="n">
        <x:f>IF(AND(ABS('Stage Ledger'!R477-IF(AND('Stage Ledger'!P477=1,'Stage Ledger'!Q477=1),MIN('Stage Ledger'!F477,'Stage Ledger'!M477,'Stage Ledger'!R476),0))&lt;0.000001,'Stage Ledger'!S477=IF('Stage Ledger'!R477&gt;='Stage Ledger'!F477,"ADMITTED","NOT ADMITTED")),1,0)</x:f>
        <x:v>1</x:v>
      </x:c>
      <x:c r="F1645" s="21" t="n">
        <x:v>1</x:v>
      </x:c>
      <x:c r="G1645" s="23" t="str">
        <x:f>IF(E1645=F1645,"PASS","FAIL")</x:f>
        <x:v>PASS</x:v>
      </x:c>
    </x:row>
    <x:row r="1646">
      <x:c r="B1646" s="21" t="str">
        <x:v>A01640</x:v>
      </x:c>
      <x:c r="C1646" s="21" t="str">
        <x:v>stage</x:v>
      </x:c>
      <x:c r="D1646" s="21" t="str">
        <x:v>stage 472 planned conservation</x:v>
      </x:c>
      <x:c r="E1646" s="21" t="n">
        <x:f>IF(ABS('Stage Ledger'!J478-MIN('Stage Ledger'!F478,'Stage Ledger'!H478,'Stage Ledger'!I478))&lt;0.000001,1,0)</x:f>
        <x:v>1</x:v>
      </x:c>
      <x:c r="F1646" s="21" t="n">
        <x:v>1</x:v>
      </x:c>
      <x:c r="G1646" s="23" t="str">
        <x:f>IF(E1646=F1646,"PASS","FAIL")</x:f>
        <x:v>PASS</x:v>
      </x:c>
    </x:row>
    <x:row r="1647">
      <x:c r="B1647" s="21" t="str">
        <x:v>A01641</x:v>
      </x:c>
      <x:c r="C1647" s="21" t="str">
        <x:v>stage</x:v>
      </x:c>
      <x:c r="D1647" s="21" t="str">
        <x:v>stage 472 observed conservation</x:v>
      </x:c>
      <x:c r="E1647" s="21" t="n">
        <x:f>IF(AND(ABS('Stage Ledger'!R478-IF(AND('Stage Ledger'!P478=1,'Stage Ledger'!Q478=1),MIN('Stage Ledger'!F478,'Stage Ledger'!M478,'Stage Ledger'!R477),0))&lt;0.000001,'Stage Ledger'!S478=IF('Stage Ledger'!R478&gt;='Stage Ledger'!F478,"ADMITTED","NOT ADMITTED")),1,0)</x:f>
        <x:v>1</x:v>
      </x:c>
      <x:c r="F1647" s="21" t="n">
        <x:v>1</x:v>
      </x:c>
      <x:c r="G1647" s="23" t="str">
        <x:f>IF(E1647=F1647,"PASS","FAIL")</x:f>
        <x:v>PASS</x:v>
      </x:c>
    </x:row>
    <x:row r="1648">
      <x:c r="B1648" s="21" t="str">
        <x:v>A01642</x:v>
      </x:c>
      <x:c r="C1648" s="21" t="str">
        <x:v>stage</x:v>
      </x:c>
      <x:c r="D1648" s="21" t="str">
        <x:v>stage 473 planned conservation</x:v>
      </x:c>
      <x:c r="E1648" s="21" t="n">
        <x:f>IF(ABS('Stage Ledger'!J479-MIN('Stage Ledger'!F479,'Stage Ledger'!H479,'Stage Ledger'!I479))&lt;0.000001,1,0)</x:f>
        <x:v>1</x:v>
      </x:c>
      <x:c r="F1648" s="21" t="n">
        <x:v>1</x:v>
      </x:c>
      <x:c r="G1648" s="23" t="str">
        <x:f>IF(E1648=F1648,"PASS","FAIL")</x:f>
        <x:v>PASS</x:v>
      </x:c>
    </x:row>
    <x:row r="1649">
      <x:c r="B1649" s="21" t="str">
        <x:v>A01643</x:v>
      </x:c>
      <x:c r="C1649" s="21" t="str">
        <x:v>stage</x:v>
      </x:c>
      <x:c r="D1649" s="21" t="str">
        <x:v>stage 473 observed conservation</x:v>
      </x:c>
      <x:c r="E1649" s="21" t="n">
        <x:f>IF(AND(ABS('Stage Ledger'!R479-IF(AND('Stage Ledger'!P479=1,'Stage Ledger'!Q479=1),MIN('Stage Ledger'!F479,'Stage Ledger'!M479,'Stage Ledger'!R478),0))&lt;0.000001,'Stage Ledger'!S479=IF('Stage Ledger'!R479&gt;='Stage Ledger'!F479,"ADMITTED","NOT ADMITTED")),1,0)</x:f>
        <x:v>1</x:v>
      </x:c>
      <x:c r="F1649" s="21" t="n">
        <x:v>1</x:v>
      </x:c>
      <x:c r="G1649" s="23" t="str">
        <x:f>IF(E1649=F1649,"PASS","FAIL")</x:f>
        <x:v>PASS</x:v>
      </x:c>
    </x:row>
    <x:row r="1650">
      <x:c r="B1650" s="21" t="str">
        <x:v>A01644</x:v>
      </x:c>
      <x:c r="C1650" s="21" t="str">
        <x:v>stage</x:v>
      </x:c>
      <x:c r="D1650" s="21" t="str">
        <x:v>stage 474 planned conservation</x:v>
      </x:c>
      <x:c r="E1650" s="21" t="n">
        <x:f>IF(ABS('Stage Ledger'!J480-MIN('Stage Ledger'!F480,'Stage Ledger'!H480,'Stage Ledger'!I480))&lt;0.000001,1,0)</x:f>
        <x:v>1</x:v>
      </x:c>
      <x:c r="F1650" s="21" t="n">
        <x:v>1</x:v>
      </x:c>
      <x:c r="G1650" s="23" t="str">
        <x:f>IF(E1650=F1650,"PASS","FAIL")</x:f>
        <x:v>PASS</x:v>
      </x:c>
    </x:row>
    <x:row r="1651">
      <x:c r="B1651" s="21" t="str">
        <x:v>A01645</x:v>
      </x:c>
      <x:c r="C1651" s="21" t="str">
        <x:v>stage</x:v>
      </x:c>
      <x:c r="D1651" s="21" t="str">
        <x:v>stage 474 observed conservation</x:v>
      </x:c>
      <x:c r="E1651" s="21" t="n">
        <x:f>IF(AND(ABS('Stage Ledger'!R480-IF(AND('Stage Ledger'!P480=1,'Stage Ledger'!Q480=1),MIN('Stage Ledger'!F480,'Stage Ledger'!M480,'Stage Ledger'!R479),0))&lt;0.000001,'Stage Ledger'!S480=IF('Stage Ledger'!R480&gt;='Stage Ledger'!F480,"ADMITTED","NOT ADMITTED")),1,0)</x:f>
        <x:v>1</x:v>
      </x:c>
      <x:c r="F1651" s="21" t="n">
        <x:v>1</x:v>
      </x:c>
      <x:c r="G1651" s="23" t="str">
        <x:f>IF(E1651=F1651,"PASS","FAIL")</x:f>
        <x:v>PASS</x:v>
      </x:c>
    </x:row>
    <x:row r="1652">
      <x:c r="B1652" s="21" t="str">
        <x:v>A01646</x:v>
      </x:c>
      <x:c r="C1652" s="21" t="str">
        <x:v>stage</x:v>
      </x:c>
      <x:c r="D1652" s="21" t="str">
        <x:v>stage 475 planned conservation</x:v>
      </x:c>
      <x:c r="E1652" s="21" t="n">
        <x:f>IF(ABS('Stage Ledger'!J481-MIN('Stage Ledger'!F481,'Stage Ledger'!H481,'Stage Ledger'!I481))&lt;0.000001,1,0)</x:f>
        <x:v>1</x:v>
      </x:c>
      <x:c r="F1652" s="21" t="n">
        <x:v>1</x:v>
      </x:c>
      <x:c r="G1652" s="23" t="str">
        <x:f>IF(E1652=F1652,"PASS","FAIL")</x:f>
        <x:v>PASS</x:v>
      </x:c>
    </x:row>
    <x:row r="1653">
      <x:c r="B1653" s="21" t="str">
        <x:v>A01647</x:v>
      </x:c>
      <x:c r="C1653" s="21" t="str">
        <x:v>stage</x:v>
      </x:c>
      <x:c r="D1653" s="21" t="str">
        <x:v>stage 475 observed conservation</x:v>
      </x:c>
      <x:c r="E1653" s="21" t="n">
        <x:f>IF(AND(ABS('Stage Ledger'!R481-IF(AND('Stage Ledger'!P481=1,'Stage Ledger'!Q481=1),MIN('Stage Ledger'!F481,'Stage Ledger'!M481,'Stage Ledger'!R480),0))&lt;0.000001,'Stage Ledger'!S481=IF('Stage Ledger'!R481&gt;='Stage Ledger'!F481,"ADMITTED","NOT ADMITTED")),1,0)</x:f>
        <x:v>1</x:v>
      </x:c>
      <x:c r="F1653" s="21" t="n">
        <x:v>1</x:v>
      </x:c>
      <x:c r="G1653" s="23" t="str">
        <x:f>IF(E1653=F1653,"PASS","FAIL")</x:f>
        <x:v>PASS</x:v>
      </x:c>
    </x:row>
    <x:row r="1654">
      <x:c r="B1654" s="21" t="str">
        <x:v>A01648</x:v>
      </x:c>
      <x:c r="C1654" s="21" t="str">
        <x:v>stage</x:v>
      </x:c>
      <x:c r="D1654" s="21" t="str">
        <x:v>stage 476 planned conservation</x:v>
      </x:c>
      <x:c r="E1654" s="21" t="n">
        <x:f>IF(ABS('Stage Ledger'!J482-MIN('Stage Ledger'!F482,'Stage Ledger'!H482,'Stage Ledger'!I482))&lt;0.000001,1,0)</x:f>
        <x:v>1</x:v>
      </x:c>
      <x:c r="F1654" s="21" t="n">
        <x:v>1</x:v>
      </x:c>
      <x:c r="G1654" s="23" t="str">
        <x:f>IF(E1654=F1654,"PASS","FAIL")</x:f>
        <x:v>PASS</x:v>
      </x:c>
    </x:row>
    <x:row r="1655">
      <x:c r="B1655" s="21" t="str">
        <x:v>A01649</x:v>
      </x:c>
      <x:c r="C1655" s="21" t="str">
        <x:v>stage</x:v>
      </x:c>
      <x:c r="D1655" s="21" t="str">
        <x:v>stage 476 observed conservation</x:v>
      </x:c>
      <x:c r="E1655" s="21" t="n">
        <x:f>IF(AND(ABS('Stage Ledger'!R482-IF(AND('Stage Ledger'!P482=1,'Stage Ledger'!Q482=1),MIN('Stage Ledger'!F482,'Stage Ledger'!M482,'Stage Ledger'!R481),0))&lt;0.000001,'Stage Ledger'!S482=IF('Stage Ledger'!R482&gt;='Stage Ledger'!F482,"ADMITTED","NOT ADMITTED")),1,0)</x:f>
        <x:v>1</x:v>
      </x:c>
      <x:c r="F1655" s="21" t="n">
        <x:v>1</x:v>
      </x:c>
      <x:c r="G1655" s="23" t="str">
        <x:f>IF(E1655=F1655,"PASS","FAIL")</x:f>
        <x:v>PASS</x:v>
      </x:c>
    </x:row>
    <x:row r="1656">
      <x:c r="B1656" s="21" t="str">
        <x:v>A01650</x:v>
      </x:c>
      <x:c r="C1656" s="21" t="str">
        <x:v>stage</x:v>
      </x:c>
      <x:c r="D1656" s="21" t="str">
        <x:v>stage 477 planned conservation</x:v>
      </x:c>
      <x:c r="E1656" s="21" t="n">
        <x:f>IF(ABS('Stage Ledger'!J483-MIN('Stage Ledger'!F483,'Stage Ledger'!H483,'Stage Ledger'!I483))&lt;0.000001,1,0)</x:f>
        <x:v>1</x:v>
      </x:c>
      <x:c r="F1656" s="21" t="n">
        <x:v>1</x:v>
      </x:c>
      <x:c r="G1656" s="23" t="str">
        <x:f>IF(E1656=F1656,"PASS","FAIL")</x:f>
        <x:v>PASS</x:v>
      </x:c>
    </x:row>
    <x:row r="1657">
      <x:c r="B1657" s="21" t="str">
        <x:v>A01651</x:v>
      </x:c>
      <x:c r="C1657" s="21" t="str">
        <x:v>stage</x:v>
      </x:c>
      <x:c r="D1657" s="21" t="str">
        <x:v>stage 477 observed conservation</x:v>
      </x:c>
      <x:c r="E1657" s="21" t="n">
        <x:f>IF(AND(ABS('Stage Ledger'!R483-IF(AND('Stage Ledger'!P483=1,'Stage Ledger'!Q483=1),MIN('Stage Ledger'!F483,'Stage Ledger'!M483,'Stage Ledger'!R482),0))&lt;0.000001,'Stage Ledger'!S483=IF('Stage Ledger'!R483&gt;='Stage Ledger'!F483,"ADMITTED","NOT ADMITTED")),1,0)</x:f>
        <x:v>1</x:v>
      </x:c>
      <x:c r="F1657" s="21" t="n">
        <x:v>1</x:v>
      </x:c>
      <x:c r="G1657" s="23" t="str">
        <x:f>IF(E1657=F1657,"PASS","FAIL")</x:f>
        <x:v>PASS</x:v>
      </x:c>
    </x:row>
    <x:row r="1658">
      <x:c r="B1658" s="21" t="str">
        <x:v>A01652</x:v>
      </x:c>
      <x:c r="C1658" s="21" t="str">
        <x:v>stage</x:v>
      </x:c>
      <x:c r="D1658" s="21" t="str">
        <x:v>stage 478 planned conservation</x:v>
      </x:c>
      <x:c r="E1658" s="21" t="n">
        <x:f>IF(ABS('Stage Ledger'!J484-MIN('Stage Ledger'!F484,'Stage Ledger'!H484,'Stage Ledger'!I484))&lt;0.000001,1,0)</x:f>
        <x:v>1</x:v>
      </x:c>
      <x:c r="F1658" s="21" t="n">
        <x:v>1</x:v>
      </x:c>
      <x:c r="G1658" s="23" t="str">
        <x:f>IF(E1658=F1658,"PASS","FAIL")</x:f>
        <x:v>PASS</x:v>
      </x:c>
    </x:row>
    <x:row r="1659">
      <x:c r="B1659" s="21" t="str">
        <x:v>A01653</x:v>
      </x:c>
      <x:c r="C1659" s="21" t="str">
        <x:v>stage</x:v>
      </x:c>
      <x:c r="D1659" s="21" t="str">
        <x:v>stage 478 observed conservation</x:v>
      </x:c>
      <x:c r="E1659" s="21" t="n">
        <x:f>IF(AND(ABS('Stage Ledger'!R484-IF(AND('Stage Ledger'!P484=1,'Stage Ledger'!Q484=1),MIN('Stage Ledger'!F484,'Stage Ledger'!M484,'Stage Ledger'!R483),0))&lt;0.000001,'Stage Ledger'!S484=IF('Stage Ledger'!R484&gt;='Stage Ledger'!F484,"ADMITTED","NOT ADMITTED")),1,0)</x:f>
        <x:v>1</x:v>
      </x:c>
      <x:c r="F1659" s="21" t="n">
        <x:v>1</x:v>
      </x:c>
      <x:c r="G1659" s="23" t="str">
        <x:f>IF(E1659=F1659,"PASS","FAIL")</x:f>
        <x:v>PASS</x:v>
      </x:c>
    </x:row>
    <x:row r="1660">
      <x:c r="B1660" s="21" t="str">
        <x:v>A01654</x:v>
      </x:c>
      <x:c r="C1660" s="21" t="str">
        <x:v>stage</x:v>
      </x:c>
      <x:c r="D1660" s="21" t="str">
        <x:v>stage 479 planned conservation</x:v>
      </x:c>
      <x:c r="E1660" s="21" t="n">
        <x:f>IF(ABS('Stage Ledger'!J485-MIN('Stage Ledger'!F485,'Stage Ledger'!H485,'Stage Ledger'!I485))&lt;0.000001,1,0)</x:f>
        <x:v>1</x:v>
      </x:c>
      <x:c r="F1660" s="21" t="n">
        <x:v>1</x:v>
      </x:c>
      <x:c r="G1660" s="23" t="str">
        <x:f>IF(E1660=F1660,"PASS","FAIL")</x:f>
        <x:v>PASS</x:v>
      </x:c>
    </x:row>
    <x:row r="1661">
      <x:c r="B1661" s="21" t="str">
        <x:v>A01655</x:v>
      </x:c>
      <x:c r="C1661" s="21" t="str">
        <x:v>stage</x:v>
      </x:c>
      <x:c r="D1661" s="21" t="str">
        <x:v>stage 479 observed conservation</x:v>
      </x:c>
      <x:c r="E1661" s="21" t="n">
        <x:f>IF(AND(ABS('Stage Ledger'!R485-IF(AND('Stage Ledger'!P485=1,'Stage Ledger'!Q485=1),MIN('Stage Ledger'!F485,'Stage Ledger'!M485,'Stage Ledger'!R484),0))&lt;0.000001,'Stage Ledger'!S485=IF('Stage Ledger'!R485&gt;='Stage Ledger'!F485,"ADMITTED","NOT ADMITTED")),1,0)</x:f>
        <x:v>1</x:v>
      </x:c>
      <x:c r="F1661" s="21" t="n">
        <x:v>1</x:v>
      </x:c>
      <x:c r="G1661" s="23" t="str">
        <x:f>IF(E1661=F1661,"PASS","FAIL")</x:f>
        <x:v>PASS</x:v>
      </x:c>
    </x:row>
    <x:row r="1662">
      <x:c r="B1662" s="21" t="str">
        <x:v>A01656</x:v>
      </x:c>
      <x:c r="C1662" s="21" t="str">
        <x:v>stage</x:v>
      </x:c>
      <x:c r="D1662" s="21" t="str">
        <x:v>stage 480 planned conservation</x:v>
      </x:c>
      <x:c r="E1662" s="21" t="n">
        <x:f>IF(ABS('Stage Ledger'!J486-MIN('Stage Ledger'!F486,'Stage Ledger'!H486,'Stage Ledger'!I486))&lt;0.000001,1,0)</x:f>
        <x:v>1</x:v>
      </x:c>
      <x:c r="F1662" s="21" t="n">
        <x:v>1</x:v>
      </x:c>
      <x:c r="G1662" s="23" t="str">
        <x:f>IF(E1662=F1662,"PASS","FAIL")</x:f>
        <x:v>PASS</x:v>
      </x:c>
    </x:row>
    <x:row r="1663">
      <x:c r="B1663" s="21" t="str">
        <x:v>A01657</x:v>
      </x:c>
      <x:c r="C1663" s="21" t="str">
        <x:v>stage</x:v>
      </x:c>
      <x:c r="D1663" s="21" t="str">
        <x:v>stage 480 observed conservation</x:v>
      </x:c>
      <x:c r="E1663" s="21" t="n">
        <x:f>IF(AND(ABS('Stage Ledger'!R486-IF(AND('Stage Ledger'!P486=1,'Stage Ledger'!Q486=1),MIN('Stage Ledger'!F486,'Stage Ledger'!M486,'Stage Ledger'!R485),0))&lt;0.000001,'Stage Ledger'!S486=IF('Stage Ledger'!R486&gt;='Stage Ledger'!F486,"ADMITTED","NOT ADMITTED")),1,0)</x:f>
        <x:v>1</x:v>
      </x:c>
      <x:c r="F1663" s="21" t="n">
        <x:v>1</x:v>
      </x:c>
      <x:c r="G1663" s="23" t="str">
        <x:f>IF(E1663=F1663,"PASS","FAIL")</x:f>
        <x:v>PASS</x:v>
      </x:c>
    </x:row>
    <x:row r="1664">
      <x:c r="B1664" s="21" t="str">
        <x:v>A01658</x:v>
      </x:c>
      <x:c r="C1664" s="21" t="str">
        <x:v>stage</x:v>
      </x:c>
      <x:c r="D1664" s="21" t="str">
        <x:v>stage 481 planned conservation</x:v>
      </x:c>
      <x:c r="E1664" s="21" t="n">
        <x:f>IF(ABS('Stage Ledger'!J487-MIN('Stage Ledger'!F487,'Stage Ledger'!H487,'Stage Ledger'!I487))&lt;0.000001,1,0)</x:f>
        <x:v>1</x:v>
      </x:c>
      <x:c r="F1664" s="21" t="n">
        <x:v>1</x:v>
      </x:c>
      <x:c r="G1664" s="23" t="str">
        <x:f>IF(E1664=F1664,"PASS","FAIL")</x:f>
        <x:v>PASS</x:v>
      </x:c>
    </x:row>
    <x:row r="1665">
      <x:c r="B1665" s="21" t="str">
        <x:v>A01659</x:v>
      </x:c>
      <x:c r="C1665" s="21" t="str">
        <x:v>stage</x:v>
      </x:c>
      <x:c r="D1665" s="21" t="str">
        <x:v>stage 481 observed conservation</x:v>
      </x:c>
      <x:c r="E1665" s="21" t="n">
        <x:f>IF(AND(ABS('Stage Ledger'!R487-IF(AND('Stage Ledger'!P487=1,'Stage Ledger'!Q487=1),MIN('Stage Ledger'!F487,'Stage Ledger'!M487),0))&lt;0.000001,'Stage Ledger'!S487=IF('Stage Ledger'!R487&gt;='Stage Ledger'!F487,"ADMITTED","NOT ADMITTED")),1,0)</x:f>
        <x:v>1</x:v>
      </x:c>
      <x:c r="F1665" s="21" t="n">
        <x:v>1</x:v>
      </x:c>
      <x:c r="G1665" s="23" t="str">
        <x:f>IF(E1665=F1665,"PASS","FAIL")</x:f>
        <x:v>PASS</x:v>
      </x:c>
    </x:row>
    <x:row r="1666">
      <x:c r="B1666" s="21" t="str">
        <x:v>A01660</x:v>
      </x:c>
      <x:c r="C1666" s="21" t="str">
        <x:v>stage</x:v>
      </x:c>
      <x:c r="D1666" s="21" t="str">
        <x:v>stage 482 planned conservation</x:v>
      </x:c>
      <x:c r="E1666" s="21" t="n">
        <x:f>IF(ABS('Stage Ledger'!J488-MIN('Stage Ledger'!F488,'Stage Ledger'!H488,'Stage Ledger'!I488))&lt;0.000001,1,0)</x:f>
        <x:v>1</x:v>
      </x:c>
      <x:c r="F1666" s="21" t="n">
        <x:v>1</x:v>
      </x:c>
      <x:c r="G1666" s="23" t="str">
        <x:f>IF(E1666=F1666,"PASS","FAIL")</x:f>
        <x:v>PASS</x:v>
      </x:c>
    </x:row>
    <x:row r="1667">
      <x:c r="B1667" s="21" t="str">
        <x:v>A01661</x:v>
      </x:c>
      <x:c r="C1667" s="21" t="str">
        <x:v>stage</x:v>
      </x:c>
      <x:c r="D1667" s="21" t="str">
        <x:v>stage 482 observed conservation</x:v>
      </x:c>
      <x:c r="E1667" s="21" t="n">
        <x:f>IF(AND(ABS('Stage Ledger'!R488-IF(AND('Stage Ledger'!P488=1,'Stage Ledger'!Q488=1),MIN('Stage Ledger'!F488,'Stage Ledger'!M488,'Stage Ledger'!R487),0))&lt;0.000001,'Stage Ledger'!S488=IF('Stage Ledger'!R488&gt;='Stage Ledger'!F488,"ADMITTED","NOT ADMITTED")),1,0)</x:f>
        <x:v>1</x:v>
      </x:c>
      <x:c r="F1667" s="21" t="n">
        <x:v>1</x:v>
      </x:c>
      <x:c r="G1667" s="23" t="str">
        <x:f>IF(E1667=F1667,"PASS","FAIL")</x:f>
        <x:v>PASS</x:v>
      </x:c>
    </x:row>
    <x:row r="1668">
      <x:c r="B1668" s="21" t="str">
        <x:v>A01662</x:v>
      </x:c>
      <x:c r="C1668" s="21" t="str">
        <x:v>stage</x:v>
      </x:c>
      <x:c r="D1668" s="21" t="str">
        <x:v>stage 483 planned conservation</x:v>
      </x:c>
      <x:c r="E1668" s="21" t="n">
        <x:f>IF(ABS('Stage Ledger'!J489-MIN('Stage Ledger'!F489,'Stage Ledger'!H489,'Stage Ledger'!I489))&lt;0.000001,1,0)</x:f>
        <x:v>1</x:v>
      </x:c>
      <x:c r="F1668" s="21" t="n">
        <x:v>1</x:v>
      </x:c>
      <x:c r="G1668" s="23" t="str">
        <x:f>IF(E1668=F1668,"PASS","FAIL")</x:f>
        <x:v>PASS</x:v>
      </x:c>
    </x:row>
    <x:row r="1669">
      <x:c r="B1669" s="21" t="str">
        <x:v>A01663</x:v>
      </x:c>
      <x:c r="C1669" s="21" t="str">
        <x:v>stage</x:v>
      </x:c>
      <x:c r="D1669" s="21" t="str">
        <x:v>stage 483 observed conservation</x:v>
      </x:c>
      <x:c r="E1669" s="21" t="n">
        <x:f>IF(AND(ABS('Stage Ledger'!R489-IF(AND('Stage Ledger'!P489=1,'Stage Ledger'!Q489=1),MIN('Stage Ledger'!F489,'Stage Ledger'!M489,'Stage Ledger'!R488),0))&lt;0.000001,'Stage Ledger'!S489=IF('Stage Ledger'!R489&gt;='Stage Ledger'!F489,"ADMITTED","NOT ADMITTED")),1,0)</x:f>
        <x:v>1</x:v>
      </x:c>
      <x:c r="F1669" s="21" t="n">
        <x:v>1</x:v>
      </x:c>
      <x:c r="G1669" s="23" t="str">
        <x:f>IF(E1669=F1669,"PASS","FAIL")</x:f>
        <x:v>PASS</x:v>
      </x:c>
    </x:row>
    <x:row r="1670">
      <x:c r="B1670" s="21" t="str">
        <x:v>A01664</x:v>
      </x:c>
      <x:c r="C1670" s="21" t="str">
        <x:v>stage</x:v>
      </x:c>
      <x:c r="D1670" s="21" t="str">
        <x:v>stage 484 planned conservation</x:v>
      </x:c>
      <x:c r="E1670" s="21" t="n">
        <x:f>IF(ABS('Stage Ledger'!J490-MIN('Stage Ledger'!F490,'Stage Ledger'!H490,'Stage Ledger'!I490))&lt;0.000001,1,0)</x:f>
        <x:v>1</x:v>
      </x:c>
      <x:c r="F1670" s="21" t="n">
        <x:v>1</x:v>
      </x:c>
      <x:c r="G1670" s="23" t="str">
        <x:f>IF(E1670=F1670,"PASS","FAIL")</x:f>
        <x:v>PASS</x:v>
      </x:c>
    </x:row>
    <x:row r="1671">
      <x:c r="B1671" s="21" t="str">
        <x:v>A01665</x:v>
      </x:c>
      <x:c r="C1671" s="21" t="str">
        <x:v>stage</x:v>
      </x:c>
      <x:c r="D1671" s="21" t="str">
        <x:v>stage 484 observed conservation</x:v>
      </x:c>
      <x:c r="E1671" s="21" t="n">
        <x:f>IF(AND(ABS('Stage Ledger'!R490-IF(AND('Stage Ledger'!P490=1,'Stage Ledger'!Q490=1),MIN('Stage Ledger'!F490,'Stage Ledger'!M490,'Stage Ledger'!R489),0))&lt;0.000001,'Stage Ledger'!S490=IF('Stage Ledger'!R490&gt;='Stage Ledger'!F490,"ADMITTED","NOT ADMITTED")),1,0)</x:f>
        <x:v>1</x:v>
      </x:c>
      <x:c r="F1671" s="21" t="n">
        <x:v>1</x:v>
      </x:c>
      <x:c r="G1671" s="23" t="str">
        <x:f>IF(E1671=F1671,"PASS","FAIL")</x:f>
        <x:v>PASS</x:v>
      </x:c>
    </x:row>
    <x:row r="1672">
      <x:c r="B1672" s="21" t="str">
        <x:v>A01666</x:v>
      </x:c>
      <x:c r="C1672" s="21" t="str">
        <x:v>stage</x:v>
      </x:c>
      <x:c r="D1672" s="21" t="str">
        <x:v>stage 485 planned conservation</x:v>
      </x:c>
      <x:c r="E1672" s="21" t="n">
        <x:f>IF(ABS('Stage Ledger'!J491-MIN('Stage Ledger'!F491,'Stage Ledger'!H491,'Stage Ledger'!I491))&lt;0.000001,1,0)</x:f>
        <x:v>1</x:v>
      </x:c>
      <x:c r="F1672" s="21" t="n">
        <x:v>1</x:v>
      </x:c>
      <x:c r="G1672" s="23" t="str">
        <x:f>IF(E1672=F1672,"PASS","FAIL")</x:f>
        <x:v>PASS</x:v>
      </x:c>
    </x:row>
    <x:row r="1673">
      <x:c r="B1673" s="21" t="str">
        <x:v>A01667</x:v>
      </x:c>
      <x:c r="C1673" s="21" t="str">
        <x:v>stage</x:v>
      </x:c>
      <x:c r="D1673" s="21" t="str">
        <x:v>stage 485 observed conservation</x:v>
      </x:c>
      <x:c r="E1673" s="21" t="n">
        <x:f>IF(AND(ABS('Stage Ledger'!R491-IF(AND('Stage Ledger'!P491=1,'Stage Ledger'!Q491=1),MIN('Stage Ledger'!F491,'Stage Ledger'!M491,'Stage Ledger'!R490),0))&lt;0.000001,'Stage Ledger'!S491=IF('Stage Ledger'!R491&gt;='Stage Ledger'!F491,"ADMITTED","NOT ADMITTED")),1,0)</x:f>
        <x:v>1</x:v>
      </x:c>
      <x:c r="F1673" s="21" t="n">
        <x:v>1</x:v>
      </x:c>
      <x:c r="G1673" s="23" t="str">
        <x:f>IF(E1673=F1673,"PASS","FAIL")</x:f>
        <x:v>PASS</x:v>
      </x:c>
    </x:row>
    <x:row r="1674">
      <x:c r="B1674" s="21" t="str">
        <x:v>A01668</x:v>
      </x:c>
      <x:c r="C1674" s="21" t="str">
        <x:v>stage</x:v>
      </x:c>
      <x:c r="D1674" s="21" t="str">
        <x:v>stage 486 planned conservation</x:v>
      </x:c>
      <x:c r="E1674" s="21" t="n">
        <x:f>IF(ABS('Stage Ledger'!J492-MIN('Stage Ledger'!F492,'Stage Ledger'!H492,'Stage Ledger'!I492))&lt;0.000001,1,0)</x:f>
        <x:v>1</x:v>
      </x:c>
      <x:c r="F1674" s="21" t="n">
        <x:v>1</x:v>
      </x:c>
      <x:c r="G1674" s="23" t="str">
        <x:f>IF(E1674=F1674,"PASS","FAIL")</x:f>
        <x:v>PASS</x:v>
      </x:c>
    </x:row>
    <x:row r="1675">
      <x:c r="B1675" s="21" t="str">
        <x:v>A01669</x:v>
      </x:c>
      <x:c r="C1675" s="21" t="str">
        <x:v>stage</x:v>
      </x:c>
      <x:c r="D1675" s="21" t="str">
        <x:v>stage 486 observed conservation</x:v>
      </x:c>
      <x:c r="E1675" s="21" t="n">
        <x:f>IF(AND(ABS('Stage Ledger'!R492-IF(AND('Stage Ledger'!P492=1,'Stage Ledger'!Q492=1),MIN('Stage Ledger'!F492,'Stage Ledger'!M492,'Stage Ledger'!R491),0))&lt;0.000001,'Stage Ledger'!S492=IF('Stage Ledger'!R492&gt;='Stage Ledger'!F492,"ADMITTED","NOT ADMITTED")),1,0)</x:f>
        <x:v>1</x:v>
      </x:c>
      <x:c r="F1675" s="21" t="n">
        <x:v>1</x:v>
      </x:c>
      <x:c r="G1675" s="23" t="str">
        <x:f>IF(E1675=F1675,"PASS","FAIL")</x:f>
        <x:v>PASS</x:v>
      </x:c>
    </x:row>
    <x:row r="1676">
      <x:c r="B1676" s="21" t="str">
        <x:v>A01670</x:v>
      </x:c>
      <x:c r="C1676" s="21" t="str">
        <x:v>stage</x:v>
      </x:c>
      <x:c r="D1676" s="21" t="str">
        <x:v>stage 487 planned conservation</x:v>
      </x:c>
      <x:c r="E1676" s="21" t="n">
        <x:f>IF(ABS('Stage Ledger'!J493-MIN('Stage Ledger'!F493,'Stage Ledger'!H493,'Stage Ledger'!I493))&lt;0.000001,1,0)</x:f>
        <x:v>1</x:v>
      </x:c>
      <x:c r="F1676" s="21" t="n">
        <x:v>1</x:v>
      </x:c>
      <x:c r="G1676" s="23" t="str">
        <x:f>IF(E1676=F1676,"PASS","FAIL")</x:f>
        <x:v>PASS</x:v>
      </x:c>
    </x:row>
    <x:row r="1677">
      <x:c r="B1677" s="21" t="str">
        <x:v>A01671</x:v>
      </x:c>
      <x:c r="C1677" s="21" t="str">
        <x:v>stage</x:v>
      </x:c>
      <x:c r="D1677" s="21" t="str">
        <x:v>stage 487 observed conservation</x:v>
      </x:c>
      <x:c r="E1677" s="21" t="n">
        <x:f>IF(AND(ABS('Stage Ledger'!R493-IF(AND('Stage Ledger'!P493=1,'Stage Ledger'!Q493=1),MIN('Stage Ledger'!F493,'Stage Ledger'!M493,'Stage Ledger'!R492),0))&lt;0.000001,'Stage Ledger'!S493=IF('Stage Ledger'!R493&gt;='Stage Ledger'!F493,"ADMITTED","NOT ADMITTED")),1,0)</x:f>
        <x:v>1</x:v>
      </x:c>
      <x:c r="F1677" s="21" t="n">
        <x:v>1</x:v>
      </x:c>
      <x:c r="G1677" s="23" t="str">
        <x:f>IF(E1677=F1677,"PASS","FAIL")</x:f>
        <x:v>PASS</x:v>
      </x:c>
    </x:row>
    <x:row r="1678">
      <x:c r="B1678" s="21" t="str">
        <x:v>A01672</x:v>
      </x:c>
      <x:c r="C1678" s="21" t="str">
        <x:v>stage</x:v>
      </x:c>
      <x:c r="D1678" s="21" t="str">
        <x:v>stage 488 planned conservation</x:v>
      </x:c>
      <x:c r="E1678" s="21" t="n">
        <x:f>IF(ABS('Stage Ledger'!J494-MIN('Stage Ledger'!F494,'Stage Ledger'!H494,'Stage Ledger'!I494))&lt;0.000001,1,0)</x:f>
        <x:v>1</x:v>
      </x:c>
      <x:c r="F1678" s="21" t="n">
        <x:v>1</x:v>
      </x:c>
      <x:c r="G1678" s="23" t="str">
        <x:f>IF(E1678=F1678,"PASS","FAIL")</x:f>
        <x:v>PASS</x:v>
      </x:c>
    </x:row>
    <x:row r="1679">
      <x:c r="B1679" s="21" t="str">
        <x:v>A01673</x:v>
      </x:c>
      <x:c r="C1679" s="21" t="str">
        <x:v>stage</x:v>
      </x:c>
      <x:c r="D1679" s="21" t="str">
        <x:v>stage 488 observed conservation</x:v>
      </x:c>
      <x:c r="E1679" s="21" t="n">
        <x:f>IF(AND(ABS('Stage Ledger'!R494-IF(AND('Stage Ledger'!P494=1,'Stage Ledger'!Q494=1),MIN('Stage Ledger'!F494,'Stage Ledger'!M494,'Stage Ledger'!R493),0))&lt;0.000001,'Stage Ledger'!S494=IF('Stage Ledger'!R494&gt;='Stage Ledger'!F494,"ADMITTED","NOT ADMITTED")),1,0)</x:f>
        <x:v>1</x:v>
      </x:c>
      <x:c r="F1679" s="21" t="n">
        <x:v>1</x:v>
      </x:c>
      <x:c r="G1679" s="23" t="str">
        <x:f>IF(E1679=F1679,"PASS","FAIL")</x:f>
        <x:v>PASS</x:v>
      </x:c>
    </x:row>
    <x:row r="1680">
      <x:c r="B1680" s="21" t="str">
        <x:v>A01674</x:v>
      </x:c>
      <x:c r="C1680" s="21" t="str">
        <x:v>stage</x:v>
      </x:c>
      <x:c r="D1680" s="21" t="str">
        <x:v>stage 489 planned conservation</x:v>
      </x:c>
      <x:c r="E1680" s="21" t="n">
        <x:f>IF(ABS('Stage Ledger'!J495-MIN('Stage Ledger'!F495,'Stage Ledger'!H495,'Stage Ledger'!I495))&lt;0.000001,1,0)</x:f>
        <x:v>1</x:v>
      </x:c>
      <x:c r="F1680" s="21" t="n">
        <x:v>1</x:v>
      </x:c>
      <x:c r="G1680" s="23" t="str">
        <x:f>IF(E1680=F1680,"PASS","FAIL")</x:f>
        <x:v>PASS</x:v>
      </x:c>
    </x:row>
    <x:row r="1681">
      <x:c r="B1681" s="21" t="str">
        <x:v>A01675</x:v>
      </x:c>
      <x:c r="C1681" s="21" t="str">
        <x:v>stage</x:v>
      </x:c>
      <x:c r="D1681" s="21" t="str">
        <x:v>stage 489 observed conservation</x:v>
      </x:c>
      <x:c r="E1681" s="21" t="n">
        <x:f>IF(AND(ABS('Stage Ledger'!R495-IF(AND('Stage Ledger'!P495=1,'Stage Ledger'!Q495=1),MIN('Stage Ledger'!F495,'Stage Ledger'!M495,'Stage Ledger'!R494),0))&lt;0.000001,'Stage Ledger'!S495=IF('Stage Ledger'!R495&gt;='Stage Ledger'!F495,"ADMITTED","NOT ADMITTED")),1,0)</x:f>
        <x:v>1</x:v>
      </x:c>
      <x:c r="F1681" s="21" t="n">
        <x:v>1</x:v>
      </x:c>
      <x:c r="G1681" s="23" t="str">
        <x:f>IF(E1681=F1681,"PASS","FAIL")</x:f>
        <x:v>PASS</x:v>
      </x:c>
    </x:row>
    <x:row r="1682">
      <x:c r="B1682" s="21" t="str">
        <x:v>A01676</x:v>
      </x:c>
      <x:c r="C1682" s="21" t="str">
        <x:v>stage</x:v>
      </x:c>
      <x:c r="D1682" s="21" t="str">
        <x:v>stage 490 planned conservation</x:v>
      </x:c>
      <x:c r="E1682" s="21" t="n">
        <x:f>IF(ABS('Stage Ledger'!J496-MIN('Stage Ledger'!F496,'Stage Ledger'!H496,'Stage Ledger'!I496))&lt;0.000001,1,0)</x:f>
        <x:v>1</x:v>
      </x:c>
      <x:c r="F1682" s="21" t="n">
        <x:v>1</x:v>
      </x:c>
      <x:c r="G1682" s="23" t="str">
        <x:f>IF(E1682=F1682,"PASS","FAIL")</x:f>
        <x:v>PASS</x:v>
      </x:c>
    </x:row>
    <x:row r="1683">
      <x:c r="B1683" s="21" t="str">
        <x:v>A01677</x:v>
      </x:c>
      <x:c r="C1683" s="21" t="str">
        <x:v>stage</x:v>
      </x:c>
      <x:c r="D1683" s="21" t="str">
        <x:v>stage 490 observed conservation</x:v>
      </x:c>
      <x:c r="E1683" s="21" t="n">
        <x:f>IF(AND(ABS('Stage Ledger'!R496-IF(AND('Stage Ledger'!P496=1,'Stage Ledger'!Q496=1),MIN('Stage Ledger'!F496,'Stage Ledger'!M496,'Stage Ledger'!R495),0))&lt;0.000001,'Stage Ledger'!S496=IF('Stage Ledger'!R496&gt;='Stage Ledger'!F496,"ADMITTED","NOT ADMITTED")),1,0)</x:f>
        <x:v>1</x:v>
      </x:c>
      <x:c r="F1683" s="21" t="n">
        <x:v>1</x:v>
      </x:c>
      <x:c r="G1683" s="23" t="str">
        <x:f>IF(E1683=F1683,"PASS","FAIL")</x:f>
        <x:v>PASS</x:v>
      </x:c>
    </x:row>
    <x:row r="1684">
      <x:c r="B1684" s="21" t="str">
        <x:v>A01678</x:v>
      </x:c>
      <x:c r="C1684" s="21" t="str">
        <x:v>stage</x:v>
      </x:c>
      <x:c r="D1684" s="21" t="str">
        <x:v>stage 491 planned conservation</x:v>
      </x:c>
      <x:c r="E1684" s="21" t="n">
        <x:f>IF(ABS('Stage Ledger'!J497-MIN('Stage Ledger'!F497,'Stage Ledger'!H497,'Stage Ledger'!I497))&lt;0.000001,1,0)</x:f>
        <x:v>1</x:v>
      </x:c>
      <x:c r="F1684" s="21" t="n">
        <x:v>1</x:v>
      </x:c>
      <x:c r="G1684" s="23" t="str">
        <x:f>IF(E1684=F1684,"PASS","FAIL")</x:f>
        <x:v>PASS</x:v>
      </x:c>
    </x:row>
    <x:row r="1685">
      <x:c r="B1685" s="21" t="str">
        <x:v>A01679</x:v>
      </x:c>
      <x:c r="C1685" s="21" t="str">
        <x:v>stage</x:v>
      </x:c>
      <x:c r="D1685" s="21" t="str">
        <x:v>stage 491 observed conservation</x:v>
      </x:c>
      <x:c r="E1685" s="21" t="n">
        <x:f>IF(AND(ABS('Stage Ledger'!R497-IF(AND('Stage Ledger'!P497=1,'Stage Ledger'!Q497=1),MIN('Stage Ledger'!F497,'Stage Ledger'!M497,'Stage Ledger'!R496),0))&lt;0.000001,'Stage Ledger'!S497=IF('Stage Ledger'!R497&gt;='Stage Ledger'!F497,"ADMITTED","NOT ADMITTED")),1,0)</x:f>
        <x:v>1</x:v>
      </x:c>
      <x:c r="F1685" s="21" t="n">
        <x:v>1</x:v>
      </x:c>
      <x:c r="G1685" s="23" t="str">
        <x:f>IF(E1685=F1685,"PASS","FAIL")</x:f>
        <x:v>PASS</x:v>
      </x:c>
    </x:row>
    <x:row r="1686">
      <x:c r="B1686" s="21" t="str">
        <x:v>A01680</x:v>
      </x:c>
      <x:c r="C1686" s="21" t="str">
        <x:v>stage</x:v>
      </x:c>
      <x:c r="D1686" s="21" t="str">
        <x:v>stage 492 planned conservation</x:v>
      </x:c>
      <x:c r="E1686" s="21" t="n">
        <x:f>IF(ABS('Stage Ledger'!J498-MIN('Stage Ledger'!F498,'Stage Ledger'!H498,'Stage Ledger'!I498))&lt;0.000001,1,0)</x:f>
        <x:v>1</x:v>
      </x:c>
      <x:c r="F1686" s="21" t="n">
        <x:v>1</x:v>
      </x:c>
      <x:c r="G1686" s="23" t="str">
        <x:f>IF(E1686=F1686,"PASS","FAIL")</x:f>
        <x:v>PASS</x:v>
      </x:c>
    </x:row>
    <x:row r="1687">
      <x:c r="B1687" s="21" t="str">
        <x:v>A01681</x:v>
      </x:c>
      <x:c r="C1687" s="21" t="str">
        <x:v>stage</x:v>
      </x:c>
      <x:c r="D1687" s="21" t="str">
        <x:v>stage 492 observed conservation</x:v>
      </x:c>
      <x:c r="E1687" s="21" t="n">
        <x:f>IF(AND(ABS('Stage Ledger'!R498-IF(AND('Stage Ledger'!P498=1,'Stage Ledger'!Q498=1),MIN('Stage Ledger'!F498,'Stage Ledger'!M498,'Stage Ledger'!R497),0))&lt;0.000001,'Stage Ledger'!S498=IF('Stage Ledger'!R498&gt;='Stage Ledger'!F498,"ADMITTED","NOT ADMITTED")),1,0)</x:f>
        <x:v>1</x:v>
      </x:c>
      <x:c r="F1687" s="21" t="n">
        <x:v>1</x:v>
      </x:c>
      <x:c r="G1687" s="23" t="str">
        <x:f>IF(E1687=F1687,"PASS","FAIL")</x:f>
        <x:v>PASS</x:v>
      </x:c>
    </x:row>
    <x:row r="1688">
      <x:c r="B1688" s="21" t="str">
        <x:v>A01682</x:v>
      </x:c>
      <x:c r="C1688" s="21" t="str">
        <x:v>stage</x:v>
      </x:c>
      <x:c r="D1688" s="21" t="str">
        <x:v>stage 493 planned conservation</x:v>
      </x:c>
      <x:c r="E1688" s="21" t="n">
        <x:f>IF(ABS('Stage Ledger'!J499-MIN('Stage Ledger'!F499,'Stage Ledger'!H499,'Stage Ledger'!I499))&lt;0.000001,1,0)</x:f>
        <x:v>1</x:v>
      </x:c>
      <x:c r="F1688" s="21" t="n">
        <x:v>1</x:v>
      </x:c>
      <x:c r="G1688" s="23" t="str">
        <x:f>IF(E1688=F1688,"PASS","FAIL")</x:f>
        <x:v>PASS</x:v>
      </x:c>
    </x:row>
    <x:row r="1689">
      <x:c r="B1689" s="21" t="str">
        <x:v>A01683</x:v>
      </x:c>
      <x:c r="C1689" s="21" t="str">
        <x:v>stage</x:v>
      </x:c>
      <x:c r="D1689" s="21" t="str">
        <x:v>stage 493 observed conservation</x:v>
      </x:c>
      <x:c r="E1689" s="21" t="n">
        <x:f>IF(AND(ABS('Stage Ledger'!R499-IF(AND('Stage Ledger'!P499=1,'Stage Ledger'!Q499=1),MIN('Stage Ledger'!F499,'Stage Ledger'!M499),0))&lt;0.000001,'Stage Ledger'!S499=IF('Stage Ledger'!R499&gt;='Stage Ledger'!F499,"ADMITTED","NOT ADMITTED")),1,0)</x:f>
        <x:v>1</x:v>
      </x:c>
      <x:c r="F1689" s="21" t="n">
        <x:v>1</x:v>
      </x:c>
      <x:c r="G1689" s="23" t="str">
        <x:f>IF(E1689=F1689,"PASS","FAIL")</x:f>
        <x:v>PASS</x:v>
      </x:c>
    </x:row>
    <x:row r="1690">
      <x:c r="B1690" s="21" t="str">
        <x:v>A01684</x:v>
      </x:c>
      <x:c r="C1690" s="21" t="str">
        <x:v>stage</x:v>
      </x:c>
      <x:c r="D1690" s="21" t="str">
        <x:v>stage 494 planned conservation</x:v>
      </x:c>
      <x:c r="E1690" s="21" t="n">
        <x:f>IF(ABS('Stage Ledger'!J500-MIN('Stage Ledger'!F500,'Stage Ledger'!H500,'Stage Ledger'!I500))&lt;0.000001,1,0)</x:f>
        <x:v>1</x:v>
      </x:c>
      <x:c r="F1690" s="21" t="n">
        <x:v>1</x:v>
      </x:c>
      <x:c r="G1690" s="23" t="str">
        <x:f>IF(E1690=F1690,"PASS","FAIL")</x:f>
        <x:v>PASS</x:v>
      </x:c>
    </x:row>
    <x:row r="1691">
      <x:c r="B1691" s="21" t="str">
        <x:v>A01685</x:v>
      </x:c>
      <x:c r="C1691" s="21" t="str">
        <x:v>stage</x:v>
      </x:c>
      <x:c r="D1691" s="21" t="str">
        <x:v>stage 494 observed conservation</x:v>
      </x:c>
      <x:c r="E1691" s="21" t="n">
        <x:f>IF(AND(ABS('Stage Ledger'!R500-IF(AND('Stage Ledger'!P500=1,'Stage Ledger'!Q500=1),MIN('Stage Ledger'!F500,'Stage Ledger'!M500,'Stage Ledger'!R499),0))&lt;0.000001,'Stage Ledger'!S500=IF('Stage Ledger'!R500&gt;='Stage Ledger'!F500,"ADMITTED","NOT ADMITTED")),1,0)</x:f>
        <x:v>1</x:v>
      </x:c>
      <x:c r="F1691" s="21" t="n">
        <x:v>1</x:v>
      </x:c>
      <x:c r="G1691" s="23" t="str">
        <x:f>IF(E1691=F1691,"PASS","FAIL")</x:f>
        <x:v>PASS</x:v>
      </x:c>
    </x:row>
    <x:row r="1692">
      <x:c r="B1692" s="21" t="str">
        <x:v>A01686</x:v>
      </x:c>
      <x:c r="C1692" s="21" t="str">
        <x:v>stage</x:v>
      </x:c>
      <x:c r="D1692" s="21" t="str">
        <x:v>stage 495 planned conservation</x:v>
      </x:c>
      <x:c r="E1692" s="21" t="n">
        <x:f>IF(ABS('Stage Ledger'!J501-MIN('Stage Ledger'!F501,'Stage Ledger'!H501,'Stage Ledger'!I501))&lt;0.000001,1,0)</x:f>
        <x:v>1</x:v>
      </x:c>
      <x:c r="F1692" s="21" t="n">
        <x:v>1</x:v>
      </x:c>
      <x:c r="G1692" s="23" t="str">
        <x:f>IF(E1692=F1692,"PASS","FAIL")</x:f>
        <x:v>PASS</x:v>
      </x:c>
    </x:row>
    <x:row r="1693">
      <x:c r="B1693" s="21" t="str">
        <x:v>A01687</x:v>
      </x:c>
      <x:c r="C1693" s="21" t="str">
        <x:v>stage</x:v>
      </x:c>
      <x:c r="D1693" s="21" t="str">
        <x:v>stage 495 observed conservation</x:v>
      </x:c>
      <x:c r="E1693" s="21" t="n">
        <x:f>IF(AND(ABS('Stage Ledger'!R501-IF(AND('Stage Ledger'!P501=1,'Stage Ledger'!Q501=1),MIN('Stage Ledger'!F501,'Stage Ledger'!M501,'Stage Ledger'!R500),0))&lt;0.000001,'Stage Ledger'!S501=IF('Stage Ledger'!R501&gt;='Stage Ledger'!F501,"ADMITTED","NOT ADMITTED")),1,0)</x:f>
        <x:v>1</x:v>
      </x:c>
      <x:c r="F1693" s="21" t="n">
        <x:v>1</x:v>
      </x:c>
      <x:c r="G1693" s="23" t="str">
        <x:f>IF(E1693=F1693,"PASS","FAIL")</x:f>
        <x:v>PASS</x:v>
      </x:c>
    </x:row>
    <x:row r="1694">
      <x:c r="B1694" s="21" t="str">
        <x:v>A01688</x:v>
      </x:c>
      <x:c r="C1694" s="21" t="str">
        <x:v>stage</x:v>
      </x:c>
      <x:c r="D1694" s="21" t="str">
        <x:v>stage 496 planned conservation</x:v>
      </x:c>
      <x:c r="E1694" s="21" t="n">
        <x:f>IF(ABS('Stage Ledger'!J502-MIN('Stage Ledger'!F502,'Stage Ledger'!H502,'Stage Ledger'!I502))&lt;0.000001,1,0)</x:f>
        <x:v>1</x:v>
      </x:c>
      <x:c r="F1694" s="21" t="n">
        <x:v>1</x:v>
      </x:c>
      <x:c r="G1694" s="23" t="str">
        <x:f>IF(E1694=F1694,"PASS","FAIL")</x:f>
        <x:v>PASS</x:v>
      </x:c>
    </x:row>
    <x:row r="1695">
      <x:c r="B1695" s="21" t="str">
        <x:v>A01689</x:v>
      </x:c>
      <x:c r="C1695" s="21" t="str">
        <x:v>stage</x:v>
      </x:c>
      <x:c r="D1695" s="21" t="str">
        <x:v>stage 496 observed conservation</x:v>
      </x:c>
      <x:c r="E1695" s="21" t="n">
        <x:f>IF(AND(ABS('Stage Ledger'!R502-IF(AND('Stage Ledger'!P502=1,'Stage Ledger'!Q502=1),MIN('Stage Ledger'!F502,'Stage Ledger'!M502,'Stage Ledger'!R501),0))&lt;0.000001,'Stage Ledger'!S502=IF('Stage Ledger'!R502&gt;='Stage Ledger'!F502,"ADMITTED","NOT ADMITTED")),1,0)</x:f>
        <x:v>1</x:v>
      </x:c>
      <x:c r="F1695" s="21" t="n">
        <x:v>1</x:v>
      </x:c>
      <x:c r="G1695" s="23" t="str">
        <x:f>IF(E1695=F1695,"PASS","FAIL")</x:f>
        <x:v>PASS</x:v>
      </x:c>
    </x:row>
    <x:row r="1696">
      <x:c r="B1696" s="21" t="str">
        <x:v>A01690</x:v>
      </x:c>
      <x:c r="C1696" s="21" t="str">
        <x:v>stage</x:v>
      </x:c>
      <x:c r="D1696" s="21" t="str">
        <x:v>stage 497 planned conservation</x:v>
      </x:c>
      <x:c r="E1696" s="21" t="n">
        <x:f>IF(ABS('Stage Ledger'!J503-MIN('Stage Ledger'!F503,'Stage Ledger'!H503,'Stage Ledger'!I503))&lt;0.000001,1,0)</x:f>
        <x:v>1</x:v>
      </x:c>
      <x:c r="F1696" s="21" t="n">
        <x:v>1</x:v>
      </x:c>
      <x:c r="G1696" s="23" t="str">
        <x:f>IF(E1696=F1696,"PASS","FAIL")</x:f>
        <x:v>PASS</x:v>
      </x:c>
    </x:row>
    <x:row r="1697">
      <x:c r="B1697" s="21" t="str">
        <x:v>A01691</x:v>
      </x:c>
      <x:c r="C1697" s="21" t="str">
        <x:v>stage</x:v>
      </x:c>
      <x:c r="D1697" s="21" t="str">
        <x:v>stage 497 observed conservation</x:v>
      </x:c>
      <x:c r="E1697" s="21" t="n">
        <x:f>IF(AND(ABS('Stage Ledger'!R503-IF(AND('Stage Ledger'!P503=1,'Stage Ledger'!Q503=1),MIN('Stage Ledger'!F503,'Stage Ledger'!M503,'Stage Ledger'!R502),0))&lt;0.000001,'Stage Ledger'!S503=IF('Stage Ledger'!R503&gt;='Stage Ledger'!F503,"ADMITTED","NOT ADMITTED")),1,0)</x:f>
        <x:v>1</x:v>
      </x:c>
      <x:c r="F1697" s="21" t="n">
        <x:v>1</x:v>
      </x:c>
      <x:c r="G1697" s="23" t="str">
        <x:f>IF(E1697=F1697,"PASS","FAIL")</x:f>
        <x:v>PASS</x:v>
      </x:c>
    </x:row>
    <x:row r="1698">
      <x:c r="B1698" s="21" t="str">
        <x:v>A01692</x:v>
      </x:c>
      <x:c r="C1698" s="21" t="str">
        <x:v>stage</x:v>
      </x:c>
      <x:c r="D1698" s="21" t="str">
        <x:v>stage 498 planned conservation</x:v>
      </x:c>
      <x:c r="E1698" s="21" t="n">
        <x:f>IF(ABS('Stage Ledger'!J504-MIN('Stage Ledger'!F504,'Stage Ledger'!H504,'Stage Ledger'!I504))&lt;0.000001,1,0)</x:f>
        <x:v>1</x:v>
      </x:c>
      <x:c r="F1698" s="21" t="n">
        <x:v>1</x:v>
      </x:c>
      <x:c r="G1698" s="23" t="str">
        <x:f>IF(E1698=F1698,"PASS","FAIL")</x:f>
        <x:v>PASS</x:v>
      </x:c>
    </x:row>
    <x:row r="1699">
      <x:c r="B1699" s="21" t="str">
        <x:v>A01693</x:v>
      </x:c>
      <x:c r="C1699" s="21" t="str">
        <x:v>stage</x:v>
      </x:c>
      <x:c r="D1699" s="21" t="str">
        <x:v>stage 498 observed conservation</x:v>
      </x:c>
      <x:c r="E1699" s="21" t="n">
        <x:f>IF(AND(ABS('Stage Ledger'!R504-IF(AND('Stage Ledger'!P504=1,'Stage Ledger'!Q504=1),MIN('Stage Ledger'!F504,'Stage Ledger'!M504,'Stage Ledger'!R503),0))&lt;0.000001,'Stage Ledger'!S504=IF('Stage Ledger'!R504&gt;='Stage Ledger'!F504,"ADMITTED","NOT ADMITTED")),1,0)</x:f>
        <x:v>1</x:v>
      </x:c>
      <x:c r="F1699" s="21" t="n">
        <x:v>1</x:v>
      </x:c>
      <x:c r="G1699" s="23" t="str">
        <x:f>IF(E1699=F1699,"PASS","FAIL")</x:f>
        <x:v>PASS</x:v>
      </x:c>
    </x:row>
    <x:row r="1700">
      <x:c r="B1700" s="21" t="str">
        <x:v>A01694</x:v>
      </x:c>
      <x:c r="C1700" s="21" t="str">
        <x:v>stage</x:v>
      </x:c>
      <x:c r="D1700" s="21" t="str">
        <x:v>stage 499 planned conservation</x:v>
      </x:c>
      <x:c r="E1700" s="21" t="n">
        <x:f>IF(ABS('Stage Ledger'!J505-MIN('Stage Ledger'!F505,'Stage Ledger'!H505,'Stage Ledger'!I505))&lt;0.000001,1,0)</x:f>
        <x:v>1</x:v>
      </x:c>
      <x:c r="F1700" s="21" t="n">
        <x:v>1</x:v>
      </x:c>
      <x:c r="G1700" s="23" t="str">
        <x:f>IF(E1700=F1700,"PASS","FAIL")</x:f>
        <x:v>PASS</x:v>
      </x:c>
    </x:row>
    <x:row r="1701">
      <x:c r="B1701" s="21" t="str">
        <x:v>A01695</x:v>
      </x:c>
      <x:c r="C1701" s="21" t="str">
        <x:v>stage</x:v>
      </x:c>
      <x:c r="D1701" s="21" t="str">
        <x:v>stage 499 observed conservation</x:v>
      </x:c>
      <x:c r="E1701" s="21" t="n">
        <x:f>IF(AND(ABS('Stage Ledger'!R505-IF(AND('Stage Ledger'!P505=1,'Stage Ledger'!Q505=1),MIN('Stage Ledger'!F505,'Stage Ledger'!M505,'Stage Ledger'!R504),0))&lt;0.000001,'Stage Ledger'!S505=IF('Stage Ledger'!R505&gt;='Stage Ledger'!F505,"ADMITTED","NOT ADMITTED")),1,0)</x:f>
        <x:v>1</x:v>
      </x:c>
      <x:c r="F1701" s="21" t="n">
        <x:v>1</x:v>
      </x:c>
      <x:c r="G1701" s="23" t="str">
        <x:f>IF(E1701=F1701,"PASS","FAIL")</x:f>
        <x:v>PASS</x:v>
      </x:c>
    </x:row>
    <x:row r="1702">
      <x:c r="B1702" s="21" t="str">
        <x:v>A01696</x:v>
      </x:c>
      <x:c r="C1702" s="21" t="str">
        <x:v>stage</x:v>
      </x:c>
      <x:c r="D1702" s="21" t="str">
        <x:v>stage 500 planned conservation</x:v>
      </x:c>
      <x:c r="E1702" s="21" t="n">
        <x:f>IF(ABS('Stage Ledger'!J506-MIN('Stage Ledger'!F506,'Stage Ledger'!H506,'Stage Ledger'!I506))&lt;0.000001,1,0)</x:f>
        <x:v>1</x:v>
      </x:c>
      <x:c r="F1702" s="21" t="n">
        <x:v>1</x:v>
      </x:c>
      <x:c r="G1702" s="23" t="str">
        <x:f>IF(E1702=F1702,"PASS","FAIL")</x:f>
        <x:v>PASS</x:v>
      </x:c>
    </x:row>
    <x:row r="1703">
      <x:c r="B1703" s="21" t="str">
        <x:v>A01697</x:v>
      </x:c>
      <x:c r="C1703" s="21" t="str">
        <x:v>stage</x:v>
      </x:c>
      <x:c r="D1703" s="21" t="str">
        <x:v>stage 500 observed conservation</x:v>
      </x:c>
      <x:c r="E1703" s="21" t="n">
        <x:f>IF(AND(ABS('Stage Ledger'!R506-IF(AND('Stage Ledger'!P506=1,'Stage Ledger'!Q506=1),MIN('Stage Ledger'!F506,'Stage Ledger'!M506,'Stage Ledger'!R505),0))&lt;0.000001,'Stage Ledger'!S506=IF('Stage Ledger'!R506&gt;='Stage Ledger'!F506,"ADMITTED","NOT ADMITTED")),1,0)</x:f>
        <x:v>1</x:v>
      </x:c>
      <x:c r="F1703" s="21" t="n">
        <x:v>1</x:v>
      </x:c>
      <x:c r="G1703" s="23" t="str">
        <x:f>IF(E1703=F1703,"PASS","FAIL")</x:f>
        <x:v>PASS</x:v>
      </x:c>
    </x:row>
    <x:row r="1704">
      <x:c r="B1704" s="21" t="str">
        <x:v>A01698</x:v>
      </x:c>
      <x:c r="C1704" s="21" t="str">
        <x:v>stage</x:v>
      </x:c>
      <x:c r="D1704" s="21" t="str">
        <x:v>stage 501 planned conservation</x:v>
      </x:c>
      <x:c r="E1704" s="21" t="n">
        <x:f>IF(ABS('Stage Ledger'!J507-MIN('Stage Ledger'!F507,'Stage Ledger'!H507,'Stage Ledger'!I507))&lt;0.000001,1,0)</x:f>
        <x:v>1</x:v>
      </x:c>
      <x:c r="F1704" s="21" t="n">
        <x:v>1</x:v>
      </x:c>
      <x:c r="G1704" s="23" t="str">
        <x:f>IF(E1704=F1704,"PASS","FAIL")</x:f>
        <x:v>PASS</x:v>
      </x:c>
    </x:row>
    <x:row r="1705">
      <x:c r="B1705" s="21" t="str">
        <x:v>A01699</x:v>
      </x:c>
      <x:c r="C1705" s="21" t="str">
        <x:v>stage</x:v>
      </x:c>
      <x:c r="D1705" s="21" t="str">
        <x:v>stage 501 observed conservation</x:v>
      </x:c>
      <x:c r="E1705" s="21" t="n">
        <x:f>IF(AND(ABS('Stage Ledger'!R507-IF(AND('Stage Ledger'!P507=1,'Stage Ledger'!Q507=1),MIN('Stage Ledger'!F507,'Stage Ledger'!M507,'Stage Ledger'!R506),0))&lt;0.000001,'Stage Ledger'!S507=IF('Stage Ledger'!R507&gt;='Stage Ledger'!F507,"ADMITTED","NOT ADMITTED")),1,0)</x:f>
        <x:v>1</x:v>
      </x:c>
      <x:c r="F1705" s="21" t="n">
        <x:v>1</x:v>
      </x:c>
      <x:c r="G1705" s="23" t="str">
        <x:f>IF(E1705=F1705,"PASS","FAIL")</x:f>
        <x:v>PASS</x:v>
      </x:c>
    </x:row>
    <x:row r="1706">
      <x:c r="B1706" s="21" t="str">
        <x:v>A01700</x:v>
      </x:c>
      <x:c r="C1706" s="21" t="str">
        <x:v>stage</x:v>
      </x:c>
      <x:c r="D1706" s="21" t="str">
        <x:v>stage 502 planned conservation</x:v>
      </x:c>
      <x:c r="E1706" s="21" t="n">
        <x:f>IF(ABS('Stage Ledger'!J508-MIN('Stage Ledger'!F508,'Stage Ledger'!H508,'Stage Ledger'!I508))&lt;0.000001,1,0)</x:f>
        <x:v>1</x:v>
      </x:c>
      <x:c r="F1706" s="21" t="n">
        <x:v>1</x:v>
      </x:c>
      <x:c r="G1706" s="23" t="str">
        <x:f>IF(E1706=F1706,"PASS","FAIL")</x:f>
        <x:v>PASS</x:v>
      </x:c>
    </x:row>
    <x:row r="1707">
      <x:c r="B1707" s="21" t="str">
        <x:v>A01701</x:v>
      </x:c>
      <x:c r="C1707" s="21" t="str">
        <x:v>stage</x:v>
      </x:c>
      <x:c r="D1707" s="21" t="str">
        <x:v>stage 502 observed conservation</x:v>
      </x:c>
      <x:c r="E1707" s="21" t="n">
        <x:f>IF(AND(ABS('Stage Ledger'!R508-IF(AND('Stage Ledger'!P508=1,'Stage Ledger'!Q508=1),MIN('Stage Ledger'!F508,'Stage Ledger'!M508,'Stage Ledger'!R507),0))&lt;0.000001,'Stage Ledger'!S508=IF('Stage Ledger'!R508&gt;='Stage Ledger'!F508,"ADMITTED","NOT ADMITTED")),1,0)</x:f>
        <x:v>1</x:v>
      </x:c>
      <x:c r="F1707" s="21" t="n">
        <x:v>1</x:v>
      </x:c>
      <x:c r="G1707" s="23" t="str">
        <x:f>IF(E1707=F1707,"PASS","FAIL")</x:f>
        <x:v>PASS</x:v>
      </x:c>
    </x:row>
    <x:row r="1708">
      <x:c r="B1708" s="21" t="str">
        <x:v>A01702</x:v>
      </x:c>
      <x:c r="C1708" s="21" t="str">
        <x:v>stage</x:v>
      </x:c>
      <x:c r="D1708" s="21" t="str">
        <x:v>stage 503 planned conservation</x:v>
      </x:c>
      <x:c r="E1708" s="21" t="n">
        <x:f>IF(ABS('Stage Ledger'!J509-MIN('Stage Ledger'!F509,'Stage Ledger'!H509,'Stage Ledger'!I509))&lt;0.000001,1,0)</x:f>
        <x:v>1</x:v>
      </x:c>
      <x:c r="F1708" s="21" t="n">
        <x:v>1</x:v>
      </x:c>
      <x:c r="G1708" s="23" t="str">
        <x:f>IF(E1708=F1708,"PASS","FAIL")</x:f>
        <x:v>PASS</x:v>
      </x:c>
    </x:row>
    <x:row r="1709">
      <x:c r="B1709" s="21" t="str">
        <x:v>A01703</x:v>
      </x:c>
      <x:c r="C1709" s="21" t="str">
        <x:v>stage</x:v>
      </x:c>
      <x:c r="D1709" s="21" t="str">
        <x:v>stage 503 observed conservation</x:v>
      </x:c>
      <x:c r="E1709" s="21" t="n">
        <x:f>IF(AND(ABS('Stage Ledger'!R509-IF(AND('Stage Ledger'!P509=1,'Stage Ledger'!Q509=1),MIN('Stage Ledger'!F509,'Stage Ledger'!M509,'Stage Ledger'!R508),0))&lt;0.000001,'Stage Ledger'!S509=IF('Stage Ledger'!R509&gt;='Stage Ledger'!F509,"ADMITTED","NOT ADMITTED")),1,0)</x:f>
        <x:v>1</x:v>
      </x:c>
      <x:c r="F1709" s="21" t="n">
        <x:v>1</x:v>
      </x:c>
      <x:c r="G1709" s="23" t="str">
        <x:f>IF(E1709=F1709,"PASS","FAIL")</x:f>
        <x:v>PASS</x:v>
      </x:c>
    </x:row>
    <x:row r="1710">
      <x:c r="B1710" s="21" t="str">
        <x:v>A01704</x:v>
      </x:c>
      <x:c r="C1710" s="21" t="str">
        <x:v>stage</x:v>
      </x:c>
      <x:c r="D1710" s="21" t="str">
        <x:v>stage 504 planned conservation</x:v>
      </x:c>
      <x:c r="E1710" s="21" t="n">
        <x:f>IF(ABS('Stage Ledger'!J510-MIN('Stage Ledger'!F510,'Stage Ledger'!H510,'Stage Ledger'!I510))&lt;0.000001,1,0)</x:f>
        <x:v>1</x:v>
      </x:c>
      <x:c r="F1710" s="21" t="n">
        <x:v>1</x:v>
      </x:c>
      <x:c r="G1710" s="23" t="str">
        <x:f>IF(E1710=F1710,"PASS","FAIL")</x:f>
        <x:v>PASS</x:v>
      </x:c>
    </x:row>
    <x:row r="1711">
      <x:c r="B1711" s="21" t="str">
        <x:v>A01705</x:v>
      </x:c>
      <x:c r="C1711" s="21" t="str">
        <x:v>stage</x:v>
      </x:c>
      <x:c r="D1711" s="21" t="str">
        <x:v>stage 504 observed conservation</x:v>
      </x:c>
      <x:c r="E1711" s="21" t="n">
        <x:f>IF(AND(ABS('Stage Ledger'!R510-IF(AND('Stage Ledger'!P510=1,'Stage Ledger'!Q510=1),MIN('Stage Ledger'!F510,'Stage Ledger'!M510,'Stage Ledger'!R509),0))&lt;0.000001,'Stage Ledger'!S510=IF('Stage Ledger'!R510&gt;='Stage Ledger'!F510,"ADMITTED","NOT ADMITTED")),1,0)</x:f>
        <x:v>1</x:v>
      </x:c>
      <x:c r="F1711" s="21" t="n">
        <x:v>1</x:v>
      </x:c>
      <x:c r="G1711" s="23" t="str">
        <x:f>IF(E1711=F1711,"PASS","FAIL")</x:f>
        <x:v>PASS</x:v>
      </x:c>
    </x:row>
    <x:row r="1712">
      <x:c r="B1712" s="21" t="str">
        <x:v>A01706</x:v>
      </x:c>
      <x:c r="C1712" s="21" t="str">
        <x:v>stage</x:v>
      </x:c>
      <x:c r="D1712" s="21" t="str">
        <x:v>stage 505 planned conservation</x:v>
      </x:c>
      <x:c r="E1712" s="21" t="n">
        <x:f>IF(ABS('Stage Ledger'!J511-MIN('Stage Ledger'!F511,'Stage Ledger'!H511,'Stage Ledger'!I511))&lt;0.000001,1,0)</x:f>
        <x:v>1</x:v>
      </x:c>
      <x:c r="F1712" s="21" t="n">
        <x:v>1</x:v>
      </x:c>
      <x:c r="G1712" s="23" t="str">
        <x:f>IF(E1712=F1712,"PASS","FAIL")</x:f>
        <x:v>PASS</x:v>
      </x:c>
    </x:row>
    <x:row r="1713">
      <x:c r="B1713" s="21" t="str">
        <x:v>A01707</x:v>
      </x:c>
      <x:c r="C1713" s="21" t="str">
        <x:v>stage</x:v>
      </x:c>
      <x:c r="D1713" s="21" t="str">
        <x:v>stage 505 observed conservation</x:v>
      </x:c>
      <x:c r="E1713" s="21" t="n">
        <x:f>IF(AND(ABS('Stage Ledger'!R511-IF(AND('Stage Ledger'!P511=1,'Stage Ledger'!Q511=1),MIN('Stage Ledger'!F511,'Stage Ledger'!M511),0))&lt;0.000001,'Stage Ledger'!S511=IF('Stage Ledger'!R511&gt;='Stage Ledger'!F511,"ADMITTED","NOT ADMITTED")),1,0)</x:f>
        <x:v>1</x:v>
      </x:c>
      <x:c r="F1713" s="21" t="n">
        <x:v>1</x:v>
      </x:c>
      <x:c r="G1713" s="23" t="str">
        <x:f>IF(E1713=F1713,"PASS","FAIL")</x:f>
        <x:v>PASS</x:v>
      </x:c>
    </x:row>
    <x:row r="1714">
      <x:c r="B1714" s="21" t="str">
        <x:v>A01708</x:v>
      </x:c>
      <x:c r="C1714" s="21" t="str">
        <x:v>stage</x:v>
      </x:c>
      <x:c r="D1714" s="21" t="str">
        <x:v>stage 506 planned conservation</x:v>
      </x:c>
      <x:c r="E1714" s="21" t="n">
        <x:f>IF(ABS('Stage Ledger'!J512-MIN('Stage Ledger'!F512,'Stage Ledger'!H512,'Stage Ledger'!I512))&lt;0.000001,1,0)</x:f>
        <x:v>1</x:v>
      </x:c>
      <x:c r="F1714" s="21" t="n">
        <x:v>1</x:v>
      </x:c>
      <x:c r="G1714" s="23" t="str">
        <x:f>IF(E1714=F1714,"PASS","FAIL")</x:f>
        <x:v>PASS</x:v>
      </x:c>
    </x:row>
    <x:row r="1715">
      <x:c r="B1715" s="21" t="str">
        <x:v>A01709</x:v>
      </x:c>
      <x:c r="C1715" s="21" t="str">
        <x:v>stage</x:v>
      </x:c>
      <x:c r="D1715" s="21" t="str">
        <x:v>stage 506 observed conservation</x:v>
      </x:c>
      <x:c r="E1715" s="21" t="n">
        <x:f>IF(AND(ABS('Stage Ledger'!R512-IF(AND('Stage Ledger'!P512=1,'Stage Ledger'!Q512=1),MIN('Stage Ledger'!F512,'Stage Ledger'!M512,'Stage Ledger'!R511),0))&lt;0.000001,'Stage Ledger'!S512=IF('Stage Ledger'!R512&gt;='Stage Ledger'!F512,"ADMITTED","NOT ADMITTED")),1,0)</x:f>
        <x:v>1</x:v>
      </x:c>
      <x:c r="F1715" s="21" t="n">
        <x:v>1</x:v>
      </x:c>
      <x:c r="G1715" s="23" t="str">
        <x:f>IF(E1715=F1715,"PASS","FAIL")</x:f>
        <x:v>PASS</x:v>
      </x:c>
    </x:row>
    <x:row r="1716">
      <x:c r="B1716" s="21" t="str">
        <x:v>A01710</x:v>
      </x:c>
      <x:c r="C1716" s="21" t="str">
        <x:v>stage</x:v>
      </x:c>
      <x:c r="D1716" s="21" t="str">
        <x:v>stage 507 planned conservation</x:v>
      </x:c>
      <x:c r="E1716" s="21" t="n">
        <x:f>IF(ABS('Stage Ledger'!J513-MIN('Stage Ledger'!F513,'Stage Ledger'!H513,'Stage Ledger'!I513))&lt;0.000001,1,0)</x:f>
        <x:v>1</x:v>
      </x:c>
      <x:c r="F1716" s="21" t="n">
        <x:v>1</x:v>
      </x:c>
      <x:c r="G1716" s="23" t="str">
        <x:f>IF(E1716=F1716,"PASS","FAIL")</x:f>
        <x:v>PASS</x:v>
      </x:c>
    </x:row>
    <x:row r="1717">
      <x:c r="B1717" s="21" t="str">
        <x:v>A01711</x:v>
      </x:c>
      <x:c r="C1717" s="21" t="str">
        <x:v>stage</x:v>
      </x:c>
      <x:c r="D1717" s="21" t="str">
        <x:v>stage 507 observed conservation</x:v>
      </x:c>
      <x:c r="E1717" s="21" t="n">
        <x:f>IF(AND(ABS('Stage Ledger'!R513-IF(AND('Stage Ledger'!P513=1,'Stage Ledger'!Q513=1),MIN('Stage Ledger'!F513,'Stage Ledger'!M513,'Stage Ledger'!R512),0))&lt;0.000001,'Stage Ledger'!S513=IF('Stage Ledger'!R513&gt;='Stage Ledger'!F513,"ADMITTED","NOT ADMITTED")),1,0)</x:f>
        <x:v>1</x:v>
      </x:c>
      <x:c r="F1717" s="21" t="n">
        <x:v>1</x:v>
      </x:c>
      <x:c r="G1717" s="23" t="str">
        <x:f>IF(E1717=F1717,"PASS","FAIL")</x:f>
        <x:v>PASS</x:v>
      </x:c>
    </x:row>
    <x:row r="1718">
      <x:c r="B1718" s="21" t="str">
        <x:v>A01712</x:v>
      </x:c>
      <x:c r="C1718" s="21" t="str">
        <x:v>stage</x:v>
      </x:c>
      <x:c r="D1718" s="21" t="str">
        <x:v>stage 508 planned conservation</x:v>
      </x:c>
      <x:c r="E1718" s="21" t="n">
        <x:f>IF(ABS('Stage Ledger'!J514-MIN('Stage Ledger'!F514,'Stage Ledger'!H514,'Stage Ledger'!I514))&lt;0.000001,1,0)</x:f>
        <x:v>1</x:v>
      </x:c>
      <x:c r="F1718" s="21" t="n">
        <x:v>1</x:v>
      </x:c>
      <x:c r="G1718" s="23" t="str">
        <x:f>IF(E1718=F1718,"PASS","FAIL")</x:f>
        <x:v>PASS</x:v>
      </x:c>
    </x:row>
    <x:row r="1719">
      <x:c r="B1719" s="21" t="str">
        <x:v>A01713</x:v>
      </x:c>
      <x:c r="C1719" s="21" t="str">
        <x:v>stage</x:v>
      </x:c>
      <x:c r="D1719" s="21" t="str">
        <x:v>stage 508 observed conservation</x:v>
      </x:c>
      <x:c r="E1719" s="21" t="n">
        <x:f>IF(AND(ABS('Stage Ledger'!R514-IF(AND('Stage Ledger'!P514=1,'Stage Ledger'!Q514=1),MIN('Stage Ledger'!F514,'Stage Ledger'!M514,'Stage Ledger'!R513),0))&lt;0.000001,'Stage Ledger'!S514=IF('Stage Ledger'!R514&gt;='Stage Ledger'!F514,"ADMITTED","NOT ADMITTED")),1,0)</x:f>
        <x:v>1</x:v>
      </x:c>
      <x:c r="F1719" s="21" t="n">
        <x:v>1</x:v>
      </x:c>
      <x:c r="G1719" s="23" t="str">
        <x:f>IF(E1719=F1719,"PASS","FAIL")</x:f>
        <x:v>PASS</x:v>
      </x:c>
    </x:row>
    <x:row r="1720">
      <x:c r="B1720" s="21" t="str">
        <x:v>A01714</x:v>
      </x:c>
      <x:c r="C1720" s="21" t="str">
        <x:v>stage</x:v>
      </x:c>
      <x:c r="D1720" s="21" t="str">
        <x:v>stage 509 planned conservation</x:v>
      </x:c>
      <x:c r="E1720" s="21" t="n">
        <x:f>IF(ABS('Stage Ledger'!J515-MIN('Stage Ledger'!F515,'Stage Ledger'!H515,'Stage Ledger'!I515))&lt;0.000001,1,0)</x:f>
        <x:v>1</x:v>
      </x:c>
      <x:c r="F1720" s="21" t="n">
        <x:v>1</x:v>
      </x:c>
      <x:c r="G1720" s="23" t="str">
        <x:f>IF(E1720=F1720,"PASS","FAIL")</x:f>
        <x:v>PASS</x:v>
      </x:c>
    </x:row>
    <x:row r="1721">
      <x:c r="B1721" s="21" t="str">
        <x:v>A01715</x:v>
      </x:c>
      <x:c r="C1721" s="21" t="str">
        <x:v>stage</x:v>
      </x:c>
      <x:c r="D1721" s="21" t="str">
        <x:v>stage 509 observed conservation</x:v>
      </x:c>
      <x:c r="E1721" s="21" t="n">
        <x:f>IF(AND(ABS('Stage Ledger'!R515-IF(AND('Stage Ledger'!P515=1,'Stage Ledger'!Q515=1),MIN('Stage Ledger'!F515,'Stage Ledger'!M515,'Stage Ledger'!R514),0))&lt;0.000001,'Stage Ledger'!S515=IF('Stage Ledger'!R515&gt;='Stage Ledger'!F515,"ADMITTED","NOT ADMITTED")),1,0)</x:f>
        <x:v>1</x:v>
      </x:c>
      <x:c r="F1721" s="21" t="n">
        <x:v>1</x:v>
      </x:c>
      <x:c r="G1721" s="23" t="str">
        <x:f>IF(E1721=F1721,"PASS","FAIL")</x:f>
        <x:v>PASS</x:v>
      </x:c>
    </x:row>
    <x:row r="1722">
      <x:c r="B1722" s="21" t="str">
        <x:v>A01716</x:v>
      </x:c>
      <x:c r="C1722" s="21" t="str">
        <x:v>stage</x:v>
      </x:c>
      <x:c r="D1722" s="21" t="str">
        <x:v>stage 510 planned conservation</x:v>
      </x:c>
      <x:c r="E1722" s="21" t="n">
        <x:f>IF(ABS('Stage Ledger'!J516-MIN('Stage Ledger'!F516,'Stage Ledger'!H516,'Stage Ledger'!I516))&lt;0.000001,1,0)</x:f>
        <x:v>1</x:v>
      </x:c>
      <x:c r="F1722" s="21" t="n">
        <x:v>1</x:v>
      </x:c>
      <x:c r="G1722" s="23" t="str">
        <x:f>IF(E1722=F1722,"PASS","FAIL")</x:f>
        <x:v>PASS</x:v>
      </x:c>
    </x:row>
    <x:row r="1723">
      <x:c r="B1723" s="21" t="str">
        <x:v>A01717</x:v>
      </x:c>
      <x:c r="C1723" s="21" t="str">
        <x:v>stage</x:v>
      </x:c>
      <x:c r="D1723" s="21" t="str">
        <x:v>stage 510 observed conservation</x:v>
      </x:c>
      <x:c r="E1723" s="21" t="n">
        <x:f>IF(AND(ABS('Stage Ledger'!R516-IF(AND('Stage Ledger'!P516=1,'Stage Ledger'!Q516=1),MIN('Stage Ledger'!F516,'Stage Ledger'!M516,'Stage Ledger'!R515),0))&lt;0.000001,'Stage Ledger'!S516=IF('Stage Ledger'!R516&gt;='Stage Ledger'!F516,"ADMITTED","NOT ADMITTED")),1,0)</x:f>
        <x:v>1</x:v>
      </x:c>
      <x:c r="F1723" s="21" t="n">
        <x:v>1</x:v>
      </x:c>
      <x:c r="G1723" s="23" t="str">
        <x:f>IF(E1723=F1723,"PASS","FAIL")</x:f>
        <x:v>PASS</x:v>
      </x:c>
    </x:row>
    <x:row r="1724">
      <x:c r="B1724" s="21" t="str">
        <x:v>A01718</x:v>
      </x:c>
      <x:c r="C1724" s="21" t="str">
        <x:v>stage</x:v>
      </x:c>
      <x:c r="D1724" s="21" t="str">
        <x:v>stage 511 planned conservation</x:v>
      </x:c>
      <x:c r="E1724" s="21" t="n">
        <x:f>IF(ABS('Stage Ledger'!J517-MIN('Stage Ledger'!F517,'Stage Ledger'!H517,'Stage Ledger'!I517))&lt;0.000001,1,0)</x:f>
        <x:v>1</x:v>
      </x:c>
      <x:c r="F1724" s="21" t="n">
        <x:v>1</x:v>
      </x:c>
      <x:c r="G1724" s="23" t="str">
        <x:f>IF(E1724=F1724,"PASS","FAIL")</x:f>
        <x:v>PASS</x:v>
      </x:c>
    </x:row>
    <x:row r="1725">
      <x:c r="B1725" s="21" t="str">
        <x:v>A01719</x:v>
      </x:c>
      <x:c r="C1725" s="21" t="str">
        <x:v>stage</x:v>
      </x:c>
      <x:c r="D1725" s="21" t="str">
        <x:v>stage 511 observed conservation</x:v>
      </x:c>
      <x:c r="E1725" s="21" t="n">
        <x:f>IF(AND(ABS('Stage Ledger'!R517-IF(AND('Stage Ledger'!P517=1,'Stage Ledger'!Q517=1),MIN('Stage Ledger'!F517,'Stage Ledger'!M517,'Stage Ledger'!R516),0))&lt;0.000001,'Stage Ledger'!S517=IF('Stage Ledger'!R517&gt;='Stage Ledger'!F517,"ADMITTED","NOT ADMITTED")),1,0)</x:f>
        <x:v>1</x:v>
      </x:c>
      <x:c r="F1725" s="21" t="n">
        <x:v>1</x:v>
      </x:c>
      <x:c r="G1725" s="23" t="str">
        <x:f>IF(E1725=F1725,"PASS","FAIL")</x:f>
        <x:v>PASS</x:v>
      </x:c>
    </x:row>
    <x:row r="1726">
      <x:c r="B1726" s="21" t="str">
        <x:v>A01720</x:v>
      </x:c>
      <x:c r="C1726" s="21" t="str">
        <x:v>stage</x:v>
      </x:c>
      <x:c r="D1726" s="21" t="str">
        <x:v>stage 512 planned conservation</x:v>
      </x:c>
      <x:c r="E1726" s="21" t="n">
        <x:f>IF(ABS('Stage Ledger'!J518-MIN('Stage Ledger'!F518,'Stage Ledger'!H518,'Stage Ledger'!I518))&lt;0.000001,1,0)</x:f>
        <x:v>1</x:v>
      </x:c>
      <x:c r="F1726" s="21" t="n">
        <x:v>1</x:v>
      </x:c>
      <x:c r="G1726" s="23" t="str">
        <x:f>IF(E1726=F1726,"PASS","FAIL")</x:f>
        <x:v>PASS</x:v>
      </x:c>
    </x:row>
    <x:row r="1727">
      <x:c r="B1727" s="21" t="str">
        <x:v>A01721</x:v>
      </x:c>
      <x:c r="C1727" s="21" t="str">
        <x:v>stage</x:v>
      </x:c>
      <x:c r="D1727" s="21" t="str">
        <x:v>stage 512 observed conservation</x:v>
      </x:c>
      <x:c r="E1727" s="21" t="n">
        <x:f>IF(AND(ABS('Stage Ledger'!R518-IF(AND('Stage Ledger'!P518=1,'Stage Ledger'!Q518=1),MIN('Stage Ledger'!F518,'Stage Ledger'!M518,'Stage Ledger'!R517),0))&lt;0.000001,'Stage Ledger'!S518=IF('Stage Ledger'!R518&gt;='Stage Ledger'!F518,"ADMITTED","NOT ADMITTED")),1,0)</x:f>
        <x:v>1</x:v>
      </x:c>
      <x:c r="F1727" s="21" t="n">
        <x:v>1</x:v>
      </x:c>
      <x:c r="G1727" s="23" t="str">
        <x:f>IF(E1727=F1727,"PASS","FAIL")</x:f>
        <x:v>PASS</x:v>
      </x:c>
    </x:row>
    <x:row r="1728">
      <x:c r="B1728" s="21" t="str">
        <x:v>A01722</x:v>
      </x:c>
      <x:c r="C1728" s="21" t="str">
        <x:v>stage</x:v>
      </x:c>
      <x:c r="D1728" s="21" t="str">
        <x:v>stage 513 planned conservation</x:v>
      </x:c>
      <x:c r="E1728" s="21" t="n">
        <x:f>IF(ABS('Stage Ledger'!J519-MIN('Stage Ledger'!F519,'Stage Ledger'!H519,'Stage Ledger'!I519))&lt;0.000001,1,0)</x:f>
        <x:v>1</x:v>
      </x:c>
      <x:c r="F1728" s="21" t="n">
        <x:v>1</x:v>
      </x:c>
      <x:c r="G1728" s="23" t="str">
        <x:f>IF(E1728=F1728,"PASS","FAIL")</x:f>
        <x:v>PASS</x:v>
      </x:c>
    </x:row>
    <x:row r="1729">
      <x:c r="B1729" s="21" t="str">
        <x:v>A01723</x:v>
      </x:c>
      <x:c r="C1729" s="21" t="str">
        <x:v>stage</x:v>
      </x:c>
      <x:c r="D1729" s="21" t="str">
        <x:v>stage 513 observed conservation</x:v>
      </x:c>
      <x:c r="E1729" s="21" t="n">
        <x:f>IF(AND(ABS('Stage Ledger'!R519-IF(AND('Stage Ledger'!P519=1,'Stage Ledger'!Q519=1),MIN('Stage Ledger'!F519,'Stage Ledger'!M519,'Stage Ledger'!R518),0))&lt;0.000001,'Stage Ledger'!S519=IF('Stage Ledger'!R519&gt;='Stage Ledger'!F519,"ADMITTED","NOT ADMITTED")),1,0)</x:f>
        <x:v>1</x:v>
      </x:c>
      <x:c r="F1729" s="21" t="n">
        <x:v>1</x:v>
      </x:c>
      <x:c r="G1729" s="23" t="str">
        <x:f>IF(E1729=F1729,"PASS","FAIL")</x:f>
        <x:v>PASS</x:v>
      </x:c>
    </x:row>
    <x:row r="1730">
      <x:c r="B1730" s="21" t="str">
        <x:v>A01724</x:v>
      </x:c>
      <x:c r="C1730" s="21" t="str">
        <x:v>stage</x:v>
      </x:c>
      <x:c r="D1730" s="21" t="str">
        <x:v>stage 514 planned conservation</x:v>
      </x:c>
      <x:c r="E1730" s="21" t="n">
        <x:f>IF(ABS('Stage Ledger'!J520-MIN('Stage Ledger'!F520,'Stage Ledger'!H520,'Stage Ledger'!I520))&lt;0.000001,1,0)</x:f>
        <x:v>1</x:v>
      </x:c>
      <x:c r="F1730" s="21" t="n">
        <x:v>1</x:v>
      </x:c>
      <x:c r="G1730" s="23" t="str">
        <x:f>IF(E1730=F1730,"PASS","FAIL")</x:f>
        <x:v>PASS</x:v>
      </x:c>
    </x:row>
    <x:row r="1731">
      <x:c r="B1731" s="21" t="str">
        <x:v>A01725</x:v>
      </x:c>
      <x:c r="C1731" s="21" t="str">
        <x:v>stage</x:v>
      </x:c>
      <x:c r="D1731" s="21" t="str">
        <x:v>stage 514 observed conservation</x:v>
      </x:c>
      <x:c r="E1731" s="21" t="n">
        <x:f>IF(AND(ABS('Stage Ledger'!R520-IF(AND('Stage Ledger'!P520=1,'Stage Ledger'!Q520=1),MIN('Stage Ledger'!F520,'Stage Ledger'!M520,'Stage Ledger'!R519),0))&lt;0.000001,'Stage Ledger'!S520=IF('Stage Ledger'!R520&gt;='Stage Ledger'!F520,"ADMITTED","NOT ADMITTED")),1,0)</x:f>
        <x:v>1</x:v>
      </x:c>
      <x:c r="F1731" s="21" t="n">
        <x:v>1</x:v>
      </x:c>
      <x:c r="G1731" s="23" t="str">
        <x:f>IF(E1731=F1731,"PASS","FAIL")</x:f>
        <x:v>PASS</x:v>
      </x:c>
    </x:row>
    <x:row r="1732">
      <x:c r="B1732" s="21" t="str">
        <x:v>A01726</x:v>
      </x:c>
      <x:c r="C1732" s="21" t="str">
        <x:v>stage</x:v>
      </x:c>
      <x:c r="D1732" s="21" t="str">
        <x:v>stage 515 planned conservation</x:v>
      </x:c>
      <x:c r="E1732" s="21" t="n">
        <x:f>IF(ABS('Stage Ledger'!J521-MIN('Stage Ledger'!F521,'Stage Ledger'!H521,'Stage Ledger'!I521))&lt;0.000001,1,0)</x:f>
        <x:v>1</x:v>
      </x:c>
      <x:c r="F1732" s="21" t="n">
        <x:v>1</x:v>
      </x:c>
      <x:c r="G1732" s="23" t="str">
        <x:f>IF(E1732=F1732,"PASS","FAIL")</x:f>
        <x:v>PASS</x:v>
      </x:c>
    </x:row>
    <x:row r="1733">
      <x:c r="B1733" s="21" t="str">
        <x:v>A01727</x:v>
      </x:c>
      <x:c r="C1733" s="21" t="str">
        <x:v>stage</x:v>
      </x:c>
      <x:c r="D1733" s="21" t="str">
        <x:v>stage 515 observed conservation</x:v>
      </x:c>
      <x:c r="E1733" s="21" t="n">
        <x:f>IF(AND(ABS('Stage Ledger'!R521-IF(AND('Stage Ledger'!P521=1,'Stage Ledger'!Q521=1),MIN('Stage Ledger'!F521,'Stage Ledger'!M521,'Stage Ledger'!R520),0))&lt;0.000001,'Stage Ledger'!S521=IF('Stage Ledger'!R521&gt;='Stage Ledger'!F521,"ADMITTED","NOT ADMITTED")),1,0)</x:f>
        <x:v>1</x:v>
      </x:c>
      <x:c r="F1733" s="21" t="n">
        <x:v>1</x:v>
      </x:c>
      <x:c r="G1733" s="23" t="str">
        <x:f>IF(E1733=F1733,"PASS","FAIL")</x:f>
        <x:v>PASS</x:v>
      </x:c>
    </x:row>
    <x:row r="1734">
      <x:c r="B1734" s="21" t="str">
        <x:v>A01728</x:v>
      </x:c>
      <x:c r="C1734" s="21" t="str">
        <x:v>stage</x:v>
      </x:c>
      <x:c r="D1734" s="21" t="str">
        <x:v>stage 516 planned conservation</x:v>
      </x:c>
      <x:c r="E1734" s="21" t="n">
        <x:f>IF(ABS('Stage Ledger'!J522-MIN('Stage Ledger'!F522,'Stage Ledger'!H522,'Stage Ledger'!I522))&lt;0.000001,1,0)</x:f>
        <x:v>1</x:v>
      </x:c>
      <x:c r="F1734" s="21" t="n">
        <x:v>1</x:v>
      </x:c>
      <x:c r="G1734" s="23" t="str">
        <x:f>IF(E1734=F1734,"PASS","FAIL")</x:f>
        <x:v>PASS</x:v>
      </x:c>
    </x:row>
    <x:row r="1735">
      <x:c r="B1735" s="21" t="str">
        <x:v>A01729</x:v>
      </x:c>
      <x:c r="C1735" s="21" t="str">
        <x:v>stage</x:v>
      </x:c>
      <x:c r="D1735" s="21" t="str">
        <x:v>stage 516 observed conservation</x:v>
      </x:c>
      <x:c r="E1735" s="21" t="n">
        <x:f>IF(AND(ABS('Stage Ledger'!R522-IF(AND('Stage Ledger'!P522=1,'Stage Ledger'!Q522=1),MIN('Stage Ledger'!F522,'Stage Ledger'!M522,'Stage Ledger'!R521),0))&lt;0.000001,'Stage Ledger'!S522=IF('Stage Ledger'!R522&gt;='Stage Ledger'!F522,"ADMITTED","NOT ADMITTED")),1,0)</x:f>
        <x:v>1</x:v>
      </x:c>
      <x:c r="F1735" s="21" t="n">
        <x:v>1</x:v>
      </x:c>
      <x:c r="G1735" s="23" t="str">
        <x:f>IF(E1735=F1735,"PASS","FAIL")</x:f>
        <x:v>PASS</x:v>
      </x:c>
    </x:row>
    <x:row r="1736">
      <x:c r="B1736" s="21" t="str">
        <x:v>A01730</x:v>
      </x:c>
      <x:c r="C1736" s="21" t="str">
        <x:v>stage</x:v>
      </x:c>
      <x:c r="D1736" s="21" t="str">
        <x:v>stage 517 planned conservation</x:v>
      </x:c>
      <x:c r="E1736" s="21" t="n">
        <x:f>IF(ABS('Stage Ledger'!J523-MIN('Stage Ledger'!F523,'Stage Ledger'!H523,'Stage Ledger'!I523))&lt;0.000001,1,0)</x:f>
        <x:v>1</x:v>
      </x:c>
      <x:c r="F1736" s="21" t="n">
        <x:v>1</x:v>
      </x:c>
      <x:c r="G1736" s="23" t="str">
        <x:f>IF(E1736=F1736,"PASS","FAIL")</x:f>
        <x:v>PASS</x:v>
      </x:c>
    </x:row>
    <x:row r="1737">
      <x:c r="B1737" s="21" t="str">
        <x:v>A01731</x:v>
      </x:c>
      <x:c r="C1737" s="21" t="str">
        <x:v>stage</x:v>
      </x:c>
      <x:c r="D1737" s="21" t="str">
        <x:v>stage 517 observed conservation</x:v>
      </x:c>
      <x:c r="E1737" s="21" t="n">
        <x:f>IF(AND(ABS('Stage Ledger'!R523-IF(AND('Stage Ledger'!P523=1,'Stage Ledger'!Q523=1),MIN('Stage Ledger'!F523,'Stage Ledger'!M523),0))&lt;0.000001,'Stage Ledger'!S523=IF('Stage Ledger'!R523&gt;='Stage Ledger'!F523,"ADMITTED","NOT ADMITTED")),1,0)</x:f>
        <x:v>1</x:v>
      </x:c>
      <x:c r="F1737" s="21" t="n">
        <x:v>1</x:v>
      </x:c>
      <x:c r="G1737" s="23" t="str">
        <x:f>IF(E1737=F1737,"PASS","FAIL")</x:f>
        <x:v>PASS</x:v>
      </x:c>
    </x:row>
    <x:row r="1738">
      <x:c r="B1738" s="21" t="str">
        <x:v>A01732</x:v>
      </x:c>
      <x:c r="C1738" s="21" t="str">
        <x:v>stage</x:v>
      </x:c>
      <x:c r="D1738" s="21" t="str">
        <x:v>stage 518 planned conservation</x:v>
      </x:c>
      <x:c r="E1738" s="21" t="n">
        <x:f>IF(ABS('Stage Ledger'!J524-MIN('Stage Ledger'!F524,'Stage Ledger'!H524,'Stage Ledger'!I524))&lt;0.000001,1,0)</x:f>
        <x:v>1</x:v>
      </x:c>
      <x:c r="F1738" s="21" t="n">
        <x:v>1</x:v>
      </x:c>
      <x:c r="G1738" s="23" t="str">
        <x:f>IF(E1738=F1738,"PASS","FAIL")</x:f>
        <x:v>PASS</x:v>
      </x:c>
    </x:row>
    <x:row r="1739">
      <x:c r="B1739" s="21" t="str">
        <x:v>A01733</x:v>
      </x:c>
      <x:c r="C1739" s="21" t="str">
        <x:v>stage</x:v>
      </x:c>
      <x:c r="D1739" s="21" t="str">
        <x:v>stage 518 observed conservation</x:v>
      </x:c>
      <x:c r="E1739" s="21" t="n">
        <x:f>IF(AND(ABS('Stage Ledger'!R524-IF(AND('Stage Ledger'!P524=1,'Stage Ledger'!Q524=1),MIN('Stage Ledger'!F524,'Stage Ledger'!M524,'Stage Ledger'!R523),0))&lt;0.000001,'Stage Ledger'!S524=IF('Stage Ledger'!R524&gt;='Stage Ledger'!F524,"ADMITTED","NOT ADMITTED")),1,0)</x:f>
        <x:v>1</x:v>
      </x:c>
      <x:c r="F1739" s="21" t="n">
        <x:v>1</x:v>
      </x:c>
      <x:c r="G1739" s="23" t="str">
        <x:f>IF(E1739=F1739,"PASS","FAIL")</x:f>
        <x:v>PASS</x:v>
      </x:c>
    </x:row>
    <x:row r="1740">
      <x:c r="B1740" s="21" t="str">
        <x:v>A01734</x:v>
      </x:c>
      <x:c r="C1740" s="21" t="str">
        <x:v>stage</x:v>
      </x:c>
      <x:c r="D1740" s="21" t="str">
        <x:v>stage 519 planned conservation</x:v>
      </x:c>
      <x:c r="E1740" s="21" t="n">
        <x:f>IF(ABS('Stage Ledger'!J525-MIN('Stage Ledger'!F525,'Stage Ledger'!H525,'Stage Ledger'!I525))&lt;0.000001,1,0)</x:f>
        <x:v>1</x:v>
      </x:c>
      <x:c r="F1740" s="21" t="n">
        <x:v>1</x:v>
      </x:c>
      <x:c r="G1740" s="23" t="str">
        <x:f>IF(E1740=F1740,"PASS","FAIL")</x:f>
        <x:v>PASS</x:v>
      </x:c>
    </x:row>
    <x:row r="1741">
      <x:c r="B1741" s="21" t="str">
        <x:v>A01735</x:v>
      </x:c>
      <x:c r="C1741" s="21" t="str">
        <x:v>stage</x:v>
      </x:c>
      <x:c r="D1741" s="21" t="str">
        <x:v>stage 519 observed conservation</x:v>
      </x:c>
      <x:c r="E1741" s="21" t="n">
        <x:f>IF(AND(ABS('Stage Ledger'!R525-IF(AND('Stage Ledger'!P525=1,'Stage Ledger'!Q525=1),MIN('Stage Ledger'!F525,'Stage Ledger'!M525,'Stage Ledger'!R524),0))&lt;0.000001,'Stage Ledger'!S525=IF('Stage Ledger'!R525&gt;='Stage Ledger'!F525,"ADMITTED","NOT ADMITTED")),1,0)</x:f>
        <x:v>1</x:v>
      </x:c>
      <x:c r="F1741" s="21" t="n">
        <x:v>1</x:v>
      </x:c>
      <x:c r="G1741" s="23" t="str">
        <x:f>IF(E1741=F1741,"PASS","FAIL")</x:f>
        <x:v>PASS</x:v>
      </x:c>
    </x:row>
    <x:row r="1742">
      <x:c r="B1742" s="21" t="str">
        <x:v>A01736</x:v>
      </x:c>
      <x:c r="C1742" s="21" t="str">
        <x:v>stage</x:v>
      </x:c>
      <x:c r="D1742" s="21" t="str">
        <x:v>stage 520 planned conservation</x:v>
      </x:c>
      <x:c r="E1742" s="21" t="n">
        <x:f>IF(ABS('Stage Ledger'!J526-MIN('Stage Ledger'!F526,'Stage Ledger'!H526,'Stage Ledger'!I526))&lt;0.000001,1,0)</x:f>
        <x:v>1</x:v>
      </x:c>
      <x:c r="F1742" s="21" t="n">
        <x:v>1</x:v>
      </x:c>
      <x:c r="G1742" s="23" t="str">
        <x:f>IF(E1742=F1742,"PASS","FAIL")</x:f>
        <x:v>PASS</x:v>
      </x:c>
    </x:row>
    <x:row r="1743">
      <x:c r="B1743" s="21" t="str">
        <x:v>A01737</x:v>
      </x:c>
      <x:c r="C1743" s="21" t="str">
        <x:v>stage</x:v>
      </x:c>
      <x:c r="D1743" s="21" t="str">
        <x:v>stage 520 observed conservation</x:v>
      </x:c>
      <x:c r="E1743" s="21" t="n">
        <x:f>IF(AND(ABS('Stage Ledger'!R526-IF(AND('Stage Ledger'!P526=1,'Stage Ledger'!Q526=1),MIN('Stage Ledger'!F526,'Stage Ledger'!M526,'Stage Ledger'!R525),0))&lt;0.000001,'Stage Ledger'!S526=IF('Stage Ledger'!R526&gt;='Stage Ledger'!F526,"ADMITTED","NOT ADMITTED")),1,0)</x:f>
        <x:v>1</x:v>
      </x:c>
      <x:c r="F1743" s="21" t="n">
        <x:v>1</x:v>
      </x:c>
      <x:c r="G1743" s="23" t="str">
        <x:f>IF(E1743=F1743,"PASS","FAIL")</x:f>
        <x:v>PASS</x:v>
      </x:c>
    </x:row>
    <x:row r="1744">
      <x:c r="B1744" s="21" t="str">
        <x:v>A01738</x:v>
      </x:c>
      <x:c r="C1744" s="21" t="str">
        <x:v>stage</x:v>
      </x:c>
      <x:c r="D1744" s="21" t="str">
        <x:v>stage 521 planned conservation</x:v>
      </x:c>
      <x:c r="E1744" s="21" t="n">
        <x:f>IF(ABS('Stage Ledger'!J527-MIN('Stage Ledger'!F527,'Stage Ledger'!H527,'Stage Ledger'!I527))&lt;0.000001,1,0)</x:f>
        <x:v>1</x:v>
      </x:c>
      <x:c r="F1744" s="21" t="n">
        <x:v>1</x:v>
      </x:c>
      <x:c r="G1744" s="23" t="str">
        <x:f>IF(E1744=F1744,"PASS","FAIL")</x:f>
        <x:v>PASS</x:v>
      </x:c>
    </x:row>
    <x:row r="1745">
      <x:c r="B1745" s="21" t="str">
        <x:v>A01739</x:v>
      </x:c>
      <x:c r="C1745" s="21" t="str">
        <x:v>stage</x:v>
      </x:c>
      <x:c r="D1745" s="21" t="str">
        <x:v>stage 521 observed conservation</x:v>
      </x:c>
      <x:c r="E1745" s="21" t="n">
        <x:f>IF(AND(ABS('Stage Ledger'!R527-IF(AND('Stage Ledger'!P527=1,'Stage Ledger'!Q527=1),MIN('Stage Ledger'!F527,'Stage Ledger'!M527,'Stage Ledger'!R526),0))&lt;0.000001,'Stage Ledger'!S527=IF('Stage Ledger'!R527&gt;='Stage Ledger'!F527,"ADMITTED","NOT ADMITTED")),1,0)</x:f>
        <x:v>1</x:v>
      </x:c>
      <x:c r="F1745" s="21" t="n">
        <x:v>1</x:v>
      </x:c>
      <x:c r="G1745" s="23" t="str">
        <x:f>IF(E1745=F1745,"PASS","FAIL")</x:f>
        <x:v>PASS</x:v>
      </x:c>
    </x:row>
    <x:row r="1746">
      <x:c r="B1746" s="21" t="str">
        <x:v>A01740</x:v>
      </x:c>
      <x:c r="C1746" s="21" t="str">
        <x:v>stage</x:v>
      </x:c>
      <x:c r="D1746" s="21" t="str">
        <x:v>stage 522 planned conservation</x:v>
      </x:c>
      <x:c r="E1746" s="21" t="n">
        <x:f>IF(ABS('Stage Ledger'!J528-MIN('Stage Ledger'!F528,'Stage Ledger'!H528,'Stage Ledger'!I528))&lt;0.000001,1,0)</x:f>
        <x:v>1</x:v>
      </x:c>
      <x:c r="F1746" s="21" t="n">
        <x:v>1</x:v>
      </x:c>
      <x:c r="G1746" s="23" t="str">
        <x:f>IF(E1746=F1746,"PASS","FAIL")</x:f>
        <x:v>PASS</x:v>
      </x:c>
    </x:row>
    <x:row r="1747">
      <x:c r="B1747" s="21" t="str">
        <x:v>A01741</x:v>
      </x:c>
      <x:c r="C1747" s="21" t="str">
        <x:v>stage</x:v>
      </x:c>
      <x:c r="D1747" s="21" t="str">
        <x:v>stage 522 observed conservation</x:v>
      </x:c>
      <x:c r="E1747" s="21" t="n">
        <x:f>IF(AND(ABS('Stage Ledger'!R528-IF(AND('Stage Ledger'!P528=1,'Stage Ledger'!Q528=1),MIN('Stage Ledger'!F528,'Stage Ledger'!M528,'Stage Ledger'!R527),0))&lt;0.000001,'Stage Ledger'!S528=IF('Stage Ledger'!R528&gt;='Stage Ledger'!F528,"ADMITTED","NOT ADMITTED")),1,0)</x:f>
        <x:v>1</x:v>
      </x:c>
      <x:c r="F1747" s="21" t="n">
        <x:v>1</x:v>
      </x:c>
      <x:c r="G1747" s="23" t="str">
        <x:f>IF(E1747=F1747,"PASS","FAIL")</x:f>
        <x:v>PASS</x:v>
      </x:c>
    </x:row>
    <x:row r="1748">
      <x:c r="B1748" s="21" t="str">
        <x:v>A01742</x:v>
      </x:c>
      <x:c r="C1748" s="21" t="str">
        <x:v>stage</x:v>
      </x:c>
      <x:c r="D1748" s="21" t="str">
        <x:v>stage 523 planned conservation</x:v>
      </x:c>
      <x:c r="E1748" s="21" t="n">
        <x:f>IF(ABS('Stage Ledger'!J529-MIN('Stage Ledger'!F529,'Stage Ledger'!H529,'Stage Ledger'!I529))&lt;0.000001,1,0)</x:f>
        <x:v>1</x:v>
      </x:c>
      <x:c r="F1748" s="21" t="n">
        <x:v>1</x:v>
      </x:c>
      <x:c r="G1748" s="23" t="str">
        <x:f>IF(E1748=F1748,"PASS","FAIL")</x:f>
        <x:v>PASS</x:v>
      </x:c>
    </x:row>
    <x:row r="1749">
      <x:c r="B1749" s="21" t="str">
        <x:v>A01743</x:v>
      </x:c>
      <x:c r="C1749" s="21" t="str">
        <x:v>stage</x:v>
      </x:c>
      <x:c r="D1749" s="21" t="str">
        <x:v>stage 523 observed conservation</x:v>
      </x:c>
      <x:c r="E1749" s="21" t="n">
        <x:f>IF(AND(ABS('Stage Ledger'!R529-IF(AND('Stage Ledger'!P529=1,'Stage Ledger'!Q529=1),MIN('Stage Ledger'!F529,'Stage Ledger'!M529,'Stage Ledger'!R528),0))&lt;0.000001,'Stage Ledger'!S529=IF('Stage Ledger'!R529&gt;='Stage Ledger'!F529,"ADMITTED","NOT ADMITTED")),1,0)</x:f>
        <x:v>1</x:v>
      </x:c>
      <x:c r="F1749" s="21" t="n">
        <x:v>1</x:v>
      </x:c>
      <x:c r="G1749" s="23" t="str">
        <x:f>IF(E1749=F1749,"PASS","FAIL")</x:f>
        <x:v>PASS</x:v>
      </x:c>
    </x:row>
    <x:row r="1750">
      <x:c r="B1750" s="21" t="str">
        <x:v>A01744</x:v>
      </x:c>
      <x:c r="C1750" s="21" t="str">
        <x:v>stage</x:v>
      </x:c>
      <x:c r="D1750" s="21" t="str">
        <x:v>stage 524 planned conservation</x:v>
      </x:c>
      <x:c r="E1750" s="21" t="n">
        <x:f>IF(ABS('Stage Ledger'!J530-MIN('Stage Ledger'!F530,'Stage Ledger'!H530,'Stage Ledger'!I530))&lt;0.000001,1,0)</x:f>
        <x:v>1</x:v>
      </x:c>
      <x:c r="F1750" s="21" t="n">
        <x:v>1</x:v>
      </x:c>
      <x:c r="G1750" s="23" t="str">
        <x:f>IF(E1750=F1750,"PASS","FAIL")</x:f>
        <x:v>PASS</x:v>
      </x:c>
    </x:row>
    <x:row r="1751">
      <x:c r="B1751" s="21" t="str">
        <x:v>A01745</x:v>
      </x:c>
      <x:c r="C1751" s="21" t="str">
        <x:v>stage</x:v>
      </x:c>
      <x:c r="D1751" s="21" t="str">
        <x:v>stage 524 observed conservation</x:v>
      </x:c>
      <x:c r="E1751" s="21" t="n">
        <x:f>IF(AND(ABS('Stage Ledger'!R530-IF(AND('Stage Ledger'!P530=1,'Stage Ledger'!Q530=1),MIN('Stage Ledger'!F530,'Stage Ledger'!M530,'Stage Ledger'!R529),0))&lt;0.000001,'Stage Ledger'!S530=IF('Stage Ledger'!R530&gt;='Stage Ledger'!F530,"ADMITTED","NOT ADMITTED")),1,0)</x:f>
        <x:v>1</x:v>
      </x:c>
      <x:c r="F1751" s="21" t="n">
        <x:v>1</x:v>
      </x:c>
      <x:c r="G1751" s="23" t="str">
        <x:f>IF(E1751=F1751,"PASS","FAIL")</x:f>
        <x:v>PASS</x:v>
      </x:c>
    </x:row>
    <x:row r="1752">
      <x:c r="B1752" s="21" t="str">
        <x:v>A01746</x:v>
      </x:c>
      <x:c r="C1752" s="21" t="str">
        <x:v>stage</x:v>
      </x:c>
      <x:c r="D1752" s="21" t="str">
        <x:v>stage 525 planned conservation</x:v>
      </x:c>
      <x:c r="E1752" s="21" t="n">
        <x:f>IF(ABS('Stage Ledger'!J531-MIN('Stage Ledger'!F531,'Stage Ledger'!H531,'Stage Ledger'!I531))&lt;0.000001,1,0)</x:f>
        <x:v>1</x:v>
      </x:c>
      <x:c r="F1752" s="21" t="n">
        <x:v>1</x:v>
      </x:c>
      <x:c r="G1752" s="23" t="str">
        <x:f>IF(E1752=F1752,"PASS","FAIL")</x:f>
        <x:v>PASS</x:v>
      </x:c>
    </x:row>
    <x:row r="1753">
      <x:c r="B1753" s="21" t="str">
        <x:v>A01747</x:v>
      </x:c>
      <x:c r="C1753" s="21" t="str">
        <x:v>stage</x:v>
      </x:c>
      <x:c r="D1753" s="21" t="str">
        <x:v>stage 525 observed conservation</x:v>
      </x:c>
      <x:c r="E1753" s="21" t="n">
        <x:f>IF(AND(ABS('Stage Ledger'!R531-IF(AND('Stage Ledger'!P531=1,'Stage Ledger'!Q531=1),MIN('Stage Ledger'!F531,'Stage Ledger'!M531,'Stage Ledger'!R530),0))&lt;0.000001,'Stage Ledger'!S531=IF('Stage Ledger'!R531&gt;='Stage Ledger'!F531,"ADMITTED","NOT ADMITTED")),1,0)</x:f>
        <x:v>1</x:v>
      </x:c>
      <x:c r="F1753" s="21" t="n">
        <x:v>1</x:v>
      </x:c>
      <x:c r="G1753" s="23" t="str">
        <x:f>IF(E1753=F1753,"PASS","FAIL")</x:f>
        <x:v>PASS</x:v>
      </x:c>
    </x:row>
    <x:row r="1754">
      <x:c r="B1754" s="21" t="str">
        <x:v>A01748</x:v>
      </x:c>
      <x:c r="C1754" s="21" t="str">
        <x:v>stage</x:v>
      </x:c>
      <x:c r="D1754" s="21" t="str">
        <x:v>stage 526 planned conservation</x:v>
      </x:c>
      <x:c r="E1754" s="21" t="n">
        <x:f>IF(ABS('Stage Ledger'!J532-MIN('Stage Ledger'!F532,'Stage Ledger'!H532,'Stage Ledger'!I532))&lt;0.000001,1,0)</x:f>
        <x:v>1</x:v>
      </x:c>
      <x:c r="F1754" s="21" t="n">
        <x:v>1</x:v>
      </x:c>
      <x:c r="G1754" s="23" t="str">
        <x:f>IF(E1754=F1754,"PASS","FAIL")</x:f>
        <x:v>PASS</x:v>
      </x:c>
    </x:row>
    <x:row r="1755">
      <x:c r="B1755" s="21" t="str">
        <x:v>A01749</x:v>
      </x:c>
      <x:c r="C1755" s="21" t="str">
        <x:v>stage</x:v>
      </x:c>
      <x:c r="D1755" s="21" t="str">
        <x:v>stage 526 observed conservation</x:v>
      </x:c>
      <x:c r="E1755" s="21" t="n">
        <x:f>IF(AND(ABS('Stage Ledger'!R532-IF(AND('Stage Ledger'!P532=1,'Stage Ledger'!Q532=1),MIN('Stage Ledger'!F532,'Stage Ledger'!M532,'Stage Ledger'!R531),0))&lt;0.000001,'Stage Ledger'!S532=IF('Stage Ledger'!R532&gt;='Stage Ledger'!F532,"ADMITTED","NOT ADMITTED")),1,0)</x:f>
        <x:v>1</x:v>
      </x:c>
      <x:c r="F1755" s="21" t="n">
        <x:v>1</x:v>
      </x:c>
      <x:c r="G1755" s="23" t="str">
        <x:f>IF(E1755=F1755,"PASS","FAIL")</x:f>
        <x:v>PASS</x:v>
      </x:c>
    </x:row>
    <x:row r="1756">
      <x:c r="B1756" s="21" t="str">
        <x:v>A01750</x:v>
      </x:c>
      <x:c r="C1756" s="21" t="str">
        <x:v>stage</x:v>
      </x:c>
      <x:c r="D1756" s="21" t="str">
        <x:v>stage 527 planned conservation</x:v>
      </x:c>
      <x:c r="E1756" s="21" t="n">
        <x:f>IF(ABS('Stage Ledger'!J533-MIN('Stage Ledger'!F533,'Stage Ledger'!H533,'Stage Ledger'!I533))&lt;0.000001,1,0)</x:f>
        <x:v>1</x:v>
      </x:c>
      <x:c r="F1756" s="21" t="n">
        <x:v>1</x:v>
      </x:c>
      <x:c r="G1756" s="23" t="str">
        <x:f>IF(E1756=F1756,"PASS","FAIL")</x:f>
        <x:v>PASS</x:v>
      </x:c>
    </x:row>
    <x:row r="1757">
      <x:c r="B1757" s="21" t="str">
        <x:v>A01751</x:v>
      </x:c>
      <x:c r="C1757" s="21" t="str">
        <x:v>stage</x:v>
      </x:c>
      <x:c r="D1757" s="21" t="str">
        <x:v>stage 527 observed conservation</x:v>
      </x:c>
      <x:c r="E1757" s="21" t="n">
        <x:f>IF(AND(ABS('Stage Ledger'!R533-IF(AND('Stage Ledger'!P533=1,'Stage Ledger'!Q533=1),MIN('Stage Ledger'!F533,'Stage Ledger'!M533,'Stage Ledger'!R532),0))&lt;0.000001,'Stage Ledger'!S533=IF('Stage Ledger'!R533&gt;='Stage Ledger'!F533,"ADMITTED","NOT ADMITTED")),1,0)</x:f>
        <x:v>1</x:v>
      </x:c>
      <x:c r="F1757" s="21" t="n">
        <x:v>1</x:v>
      </x:c>
      <x:c r="G1757" s="23" t="str">
        <x:f>IF(E1757=F1757,"PASS","FAIL")</x:f>
        <x:v>PASS</x:v>
      </x:c>
    </x:row>
    <x:row r="1758">
      <x:c r="B1758" s="21" t="str">
        <x:v>A01752</x:v>
      </x:c>
      <x:c r="C1758" s="21" t="str">
        <x:v>stage</x:v>
      </x:c>
      <x:c r="D1758" s="21" t="str">
        <x:v>stage 528 planned conservation</x:v>
      </x:c>
      <x:c r="E1758" s="21" t="n">
        <x:f>IF(ABS('Stage Ledger'!J534-MIN('Stage Ledger'!F534,'Stage Ledger'!H534,'Stage Ledger'!I534))&lt;0.000001,1,0)</x:f>
        <x:v>1</x:v>
      </x:c>
      <x:c r="F1758" s="21" t="n">
        <x:v>1</x:v>
      </x:c>
      <x:c r="G1758" s="23" t="str">
        <x:f>IF(E1758=F1758,"PASS","FAIL")</x:f>
        <x:v>PASS</x:v>
      </x:c>
    </x:row>
    <x:row r="1759">
      <x:c r="B1759" s="21" t="str">
        <x:v>A01753</x:v>
      </x:c>
      <x:c r="C1759" s="21" t="str">
        <x:v>stage</x:v>
      </x:c>
      <x:c r="D1759" s="21" t="str">
        <x:v>stage 528 observed conservation</x:v>
      </x:c>
      <x:c r="E1759" s="21" t="n">
        <x:f>IF(AND(ABS('Stage Ledger'!R534-IF(AND('Stage Ledger'!P534=1,'Stage Ledger'!Q534=1),MIN('Stage Ledger'!F534,'Stage Ledger'!M534,'Stage Ledger'!R533),0))&lt;0.000001,'Stage Ledger'!S534=IF('Stage Ledger'!R534&gt;='Stage Ledger'!F534,"ADMITTED","NOT ADMITTED")),1,0)</x:f>
        <x:v>1</x:v>
      </x:c>
      <x:c r="F1759" s="21" t="n">
        <x:v>1</x:v>
      </x:c>
      <x:c r="G1759" s="23" t="str">
        <x:f>IF(E1759=F1759,"PASS","FAIL")</x:f>
        <x:v>PASS</x:v>
      </x:c>
    </x:row>
    <x:row r="1760">
      <x:c r="B1760" s="21" t="str">
        <x:v>A01754</x:v>
      </x:c>
      <x:c r="C1760" s="21" t="str">
        <x:v>stage</x:v>
      </x:c>
      <x:c r="D1760" s="21" t="str">
        <x:v>stage 529 planned conservation</x:v>
      </x:c>
      <x:c r="E1760" s="21" t="n">
        <x:f>IF(ABS('Stage Ledger'!J535-MIN('Stage Ledger'!F535,'Stage Ledger'!H535,'Stage Ledger'!I535))&lt;0.000001,1,0)</x:f>
        <x:v>1</x:v>
      </x:c>
      <x:c r="F1760" s="21" t="n">
        <x:v>1</x:v>
      </x:c>
      <x:c r="G1760" s="23" t="str">
        <x:f>IF(E1760=F1760,"PASS","FAIL")</x:f>
        <x:v>PASS</x:v>
      </x:c>
    </x:row>
    <x:row r="1761">
      <x:c r="B1761" s="21" t="str">
        <x:v>A01755</x:v>
      </x:c>
      <x:c r="C1761" s="21" t="str">
        <x:v>stage</x:v>
      </x:c>
      <x:c r="D1761" s="21" t="str">
        <x:v>stage 529 observed conservation</x:v>
      </x:c>
      <x:c r="E1761" s="21" t="n">
        <x:f>IF(AND(ABS('Stage Ledger'!R535-IF(AND('Stage Ledger'!P535=1,'Stage Ledger'!Q535=1),MIN('Stage Ledger'!F535,'Stage Ledger'!M535),0))&lt;0.000001,'Stage Ledger'!S535=IF('Stage Ledger'!R535&gt;='Stage Ledger'!F535,"ADMITTED","NOT ADMITTED")),1,0)</x:f>
        <x:v>1</x:v>
      </x:c>
      <x:c r="F1761" s="21" t="n">
        <x:v>1</x:v>
      </x:c>
      <x:c r="G1761" s="23" t="str">
        <x:f>IF(E1761=F1761,"PASS","FAIL")</x:f>
        <x:v>PASS</x:v>
      </x:c>
    </x:row>
    <x:row r="1762">
      <x:c r="B1762" s="21" t="str">
        <x:v>A01756</x:v>
      </x:c>
      <x:c r="C1762" s="21" t="str">
        <x:v>stage</x:v>
      </x:c>
      <x:c r="D1762" s="21" t="str">
        <x:v>stage 530 planned conservation</x:v>
      </x:c>
      <x:c r="E1762" s="21" t="n">
        <x:f>IF(ABS('Stage Ledger'!J536-MIN('Stage Ledger'!F536,'Stage Ledger'!H536,'Stage Ledger'!I536))&lt;0.000001,1,0)</x:f>
        <x:v>1</x:v>
      </x:c>
      <x:c r="F1762" s="21" t="n">
        <x:v>1</x:v>
      </x:c>
      <x:c r="G1762" s="23" t="str">
        <x:f>IF(E1762=F1762,"PASS","FAIL")</x:f>
        <x:v>PASS</x:v>
      </x:c>
    </x:row>
    <x:row r="1763">
      <x:c r="B1763" s="21" t="str">
        <x:v>A01757</x:v>
      </x:c>
      <x:c r="C1763" s="21" t="str">
        <x:v>stage</x:v>
      </x:c>
      <x:c r="D1763" s="21" t="str">
        <x:v>stage 530 observed conservation</x:v>
      </x:c>
      <x:c r="E1763" s="21" t="n">
        <x:f>IF(AND(ABS('Stage Ledger'!R536-IF(AND('Stage Ledger'!P536=1,'Stage Ledger'!Q536=1),MIN('Stage Ledger'!F536,'Stage Ledger'!M536,'Stage Ledger'!R535),0))&lt;0.000001,'Stage Ledger'!S536=IF('Stage Ledger'!R536&gt;='Stage Ledger'!F536,"ADMITTED","NOT ADMITTED")),1,0)</x:f>
        <x:v>1</x:v>
      </x:c>
      <x:c r="F1763" s="21" t="n">
        <x:v>1</x:v>
      </x:c>
      <x:c r="G1763" s="23" t="str">
        <x:f>IF(E1763=F1763,"PASS","FAIL")</x:f>
        <x:v>PASS</x:v>
      </x:c>
    </x:row>
    <x:row r="1764">
      <x:c r="B1764" s="21" t="str">
        <x:v>A01758</x:v>
      </x:c>
      <x:c r="C1764" s="21" t="str">
        <x:v>stage</x:v>
      </x:c>
      <x:c r="D1764" s="21" t="str">
        <x:v>stage 531 planned conservation</x:v>
      </x:c>
      <x:c r="E1764" s="21" t="n">
        <x:f>IF(ABS('Stage Ledger'!J537-MIN('Stage Ledger'!F537,'Stage Ledger'!H537,'Stage Ledger'!I537))&lt;0.000001,1,0)</x:f>
        <x:v>1</x:v>
      </x:c>
      <x:c r="F1764" s="21" t="n">
        <x:v>1</x:v>
      </x:c>
      <x:c r="G1764" s="23" t="str">
        <x:f>IF(E1764=F1764,"PASS","FAIL")</x:f>
        <x:v>PASS</x:v>
      </x:c>
    </x:row>
    <x:row r="1765">
      <x:c r="B1765" s="21" t="str">
        <x:v>A01759</x:v>
      </x:c>
      <x:c r="C1765" s="21" t="str">
        <x:v>stage</x:v>
      </x:c>
      <x:c r="D1765" s="21" t="str">
        <x:v>stage 531 observed conservation</x:v>
      </x:c>
      <x:c r="E1765" s="21" t="n">
        <x:f>IF(AND(ABS('Stage Ledger'!R537-IF(AND('Stage Ledger'!P537=1,'Stage Ledger'!Q537=1),MIN('Stage Ledger'!F537,'Stage Ledger'!M537,'Stage Ledger'!R536),0))&lt;0.000001,'Stage Ledger'!S537=IF('Stage Ledger'!R537&gt;='Stage Ledger'!F537,"ADMITTED","NOT ADMITTED")),1,0)</x:f>
        <x:v>1</x:v>
      </x:c>
      <x:c r="F1765" s="21" t="n">
        <x:v>1</x:v>
      </x:c>
      <x:c r="G1765" s="23" t="str">
        <x:f>IF(E1765=F1765,"PASS","FAIL")</x:f>
        <x:v>PASS</x:v>
      </x:c>
    </x:row>
    <x:row r="1766">
      <x:c r="B1766" s="21" t="str">
        <x:v>A01760</x:v>
      </x:c>
      <x:c r="C1766" s="21" t="str">
        <x:v>stage</x:v>
      </x:c>
      <x:c r="D1766" s="21" t="str">
        <x:v>stage 532 planned conservation</x:v>
      </x:c>
      <x:c r="E1766" s="21" t="n">
        <x:f>IF(ABS('Stage Ledger'!J538-MIN('Stage Ledger'!F538,'Stage Ledger'!H538,'Stage Ledger'!I538))&lt;0.000001,1,0)</x:f>
        <x:v>1</x:v>
      </x:c>
      <x:c r="F1766" s="21" t="n">
        <x:v>1</x:v>
      </x:c>
      <x:c r="G1766" s="23" t="str">
        <x:f>IF(E1766=F1766,"PASS","FAIL")</x:f>
        <x:v>PASS</x:v>
      </x:c>
    </x:row>
    <x:row r="1767">
      <x:c r="B1767" s="21" t="str">
        <x:v>A01761</x:v>
      </x:c>
      <x:c r="C1767" s="21" t="str">
        <x:v>stage</x:v>
      </x:c>
      <x:c r="D1767" s="21" t="str">
        <x:v>stage 532 observed conservation</x:v>
      </x:c>
      <x:c r="E1767" s="21" t="n">
        <x:f>IF(AND(ABS('Stage Ledger'!R538-IF(AND('Stage Ledger'!P538=1,'Stage Ledger'!Q538=1),MIN('Stage Ledger'!F538,'Stage Ledger'!M538,'Stage Ledger'!R537),0))&lt;0.000001,'Stage Ledger'!S538=IF('Stage Ledger'!R538&gt;='Stage Ledger'!F538,"ADMITTED","NOT ADMITTED")),1,0)</x:f>
        <x:v>1</x:v>
      </x:c>
      <x:c r="F1767" s="21" t="n">
        <x:v>1</x:v>
      </x:c>
      <x:c r="G1767" s="23" t="str">
        <x:f>IF(E1767=F1767,"PASS","FAIL")</x:f>
        <x:v>PASS</x:v>
      </x:c>
    </x:row>
    <x:row r="1768">
      <x:c r="B1768" s="21" t="str">
        <x:v>A01762</x:v>
      </x:c>
      <x:c r="C1768" s="21" t="str">
        <x:v>stage</x:v>
      </x:c>
      <x:c r="D1768" s="21" t="str">
        <x:v>stage 533 planned conservation</x:v>
      </x:c>
      <x:c r="E1768" s="21" t="n">
        <x:f>IF(ABS('Stage Ledger'!J539-MIN('Stage Ledger'!F539,'Stage Ledger'!H539,'Stage Ledger'!I539))&lt;0.000001,1,0)</x:f>
        <x:v>1</x:v>
      </x:c>
      <x:c r="F1768" s="21" t="n">
        <x:v>1</x:v>
      </x:c>
      <x:c r="G1768" s="23" t="str">
        <x:f>IF(E1768=F1768,"PASS","FAIL")</x:f>
        <x:v>PASS</x:v>
      </x:c>
    </x:row>
    <x:row r="1769">
      <x:c r="B1769" s="21" t="str">
        <x:v>A01763</x:v>
      </x:c>
      <x:c r="C1769" s="21" t="str">
        <x:v>stage</x:v>
      </x:c>
      <x:c r="D1769" s="21" t="str">
        <x:v>stage 533 observed conservation</x:v>
      </x:c>
      <x:c r="E1769" s="21" t="n">
        <x:f>IF(AND(ABS('Stage Ledger'!R539-IF(AND('Stage Ledger'!P539=1,'Stage Ledger'!Q539=1),MIN('Stage Ledger'!F539,'Stage Ledger'!M539,'Stage Ledger'!R538),0))&lt;0.000001,'Stage Ledger'!S539=IF('Stage Ledger'!R539&gt;='Stage Ledger'!F539,"ADMITTED","NOT ADMITTED")),1,0)</x:f>
        <x:v>1</x:v>
      </x:c>
      <x:c r="F1769" s="21" t="n">
        <x:v>1</x:v>
      </x:c>
      <x:c r="G1769" s="23" t="str">
        <x:f>IF(E1769=F1769,"PASS","FAIL")</x:f>
        <x:v>PASS</x:v>
      </x:c>
    </x:row>
    <x:row r="1770">
      <x:c r="B1770" s="21" t="str">
        <x:v>A01764</x:v>
      </x:c>
      <x:c r="C1770" s="21" t="str">
        <x:v>stage</x:v>
      </x:c>
      <x:c r="D1770" s="21" t="str">
        <x:v>stage 534 planned conservation</x:v>
      </x:c>
      <x:c r="E1770" s="21" t="n">
        <x:f>IF(ABS('Stage Ledger'!J540-MIN('Stage Ledger'!F540,'Stage Ledger'!H540,'Stage Ledger'!I540))&lt;0.000001,1,0)</x:f>
        <x:v>1</x:v>
      </x:c>
      <x:c r="F1770" s="21" t="n">
        <x:v>1</x:v>
      </x:c>
      <x:c r="G1770" s="23" t="str">
        <x:f>IF(E1770=F1770,"PASS","FAIL")</x:f>
        <x:v>PASS</x:v>
      </x:c>
    </x:row>
    <x:row r="1771">
      <x:c r="B1771" s="21" t="str">
        <x:v>A01765</x:v>
      </x:c>
      <x:c r="C1771" s="21" t="str">
        <x:v>stage</x:v>
      </x:c>
      <x:c r="D1771" s="21" t="str">
        <x:v>stage 534 observed conservation</x:v>
      </x:c>
      <x:c r="E1771" s="21" t="n">
        <x:f>IF(AND(ABS('Stage Ledger'!R540-IF(AND('Stage Ledger'!P540=1,'Stage Ledger'!Q540=1),MIN('Stage Ledger'!F540,'Stage Ledger'!M540,'Stage Ledger'!R539),0))&lt;0.000001,'Stage Ledger'!S540=IF('Stage Ledger'!R540&gt;='Stage Ledger'!F540,"ADMITTED","NOT ADMITTED")),1,0)</x:f>
        <x:v>1</x:v>
      </x:c>
      <x:c r="F1771" s="21" t="n">
        <x:v>1</x:v>
      </x:c>
      <x:c r="G1771" s="23" t="str">
        <x:f>IF(E1771=F1771,"PASS","FAIL")</x:f>
        <x:v>PASS</x:v>
      </x:c>
    </x:row>
    <x:row r="1772">
      <x:c r="B1772" s="21" t="str">
        <x:v>A01766</x:v>
      </x:c>
      <x:c r="C1772" s="21" t="str">
        <x:v>stage</x:v>
      </x:c>
      <x:c r="D1772" s="21" t="str">
        <x:v>stage 535 planned conservation</x:v>
      </x:c>
      <x:c r="E1772" s="21" t="n">
        <x:f>IF(ABS('Stage Ledger'!J541-MIN('Stage Ledger'!F541,'Stage Ledger'!H541,'Stage Ledger'!I541))&lt;0.000001,1,0)</x:f>
        <x:v>1</x:v>
      </x:c>
      <x:c r="F1772" s="21" t="n">
        <x:v>1</x:v>
      </x:c>
      <x:c r="G1772" s="23" t="str">
        <x:f>IF(E1772=F1772,"PASS","FAIL")</x:f>
        <x:v>PASS</x:v>
      </x:c>
    </x:row>
    <x:row r="1773">
      <x:c r="B1773" s="21" t="str">
        <x:v>A01767</x:v>
      </x:c>
      <x:c r="C1773" s="21" t="str">
        <x:v>stage</x:v>
      </x:c>
      <x:c r="D1773" s="21" t="str">
        <x:v>stage 535 observed conservation</x:v>
      </x:c>
      <x:c r="E1773" s="21" t="n">
        <x:f>IF(AND(ABS('Stage Ledger'!R541-IF(AND('Stage Ledger'!P541=1,'Stage Ledger'!Q541=1),MIN('Stage Ledger'!F541,'Stage Ledger'!M541,'Stage Ledger'!R540),0))&lt;0.000001,'Stage Ledger'!S541=IF('Stage Ledger'!R541&gt;='Stage Ledger'!F541,"ADMITTED","NOT ADMITTED")),1,0)</x:f>
        <x:v>1</x:v>
      </x:c>
      <x:c r="F1773" s="21" t="n">
        <x:v>1</x:v>
      </x:c>
      <x:c r="G1773" s="23" t="str">
        <x:f>IF(E1773=F1773,"PASS","FAIL")</x:f>
        <x:v>PASS</x:v>
      </x:c>
    </x:row>
    <x:row r="1774">
      <x:c r="B1774" s="21" t="str">
        <x:v>A01768</x:v>
      </x:c>
      <x:c r="C1774" s="21" t="str">
        <x:v>stage</x:v>
      </x:c>
      <x:c r="D1774" s="21" t="str">
        <x:v>stage 536 planned conservation</x:v>
      </x:c>
      <x:c r="E1774" s="21" t="n">
        <x:f>IF(ABS('Stage Ledger'!J542-MIN('Stage Ledger'!F542,'Stage Ledger'!H542,'Stage Ledger'!I542))&lt;0.000001,1,0)</x:f>
        <x:v>1</x:v>
      </x:c>
      <x:c r="F1774" s="21" t="n">
        <x:v>1</x:v>
      </x:c>
      <x:c r="G1774" s="23" t="str">
        <x:f>IF(E1774=F1774,"PASS","FAIL")</x:f>
        <x:v>PASS</x:v>
      </x:c>
    </x:row>
    <x:row r="1775">
      <x:c r="B1775" s="21" t="str">
        <x:v>A01769</x:v>
      </x:c>
      <x:c r="C1775" s="21" t="str">
        <x:v>stage</x:v>
      </x:c>
      <x:c r="D1775" s="21" t="str">
        <x:v>stage 536 observed conservation</x:v>
      </x:c>
      <x:c r="E1775" s="21" t="n">
        <x:f>IF(AND(ABS('Stage Ledger'!R542-IF(AND('Stage Ledger'!P542=1,'Stage Ledger'!Q542=1),MIN('Stage Ledger'!F542,'Stage Ledger'!M542,'Stage Ledger'!R541),0))&lt;0.000001,'Stage Ledger'!S542=IF('Stage Ledger'!R542&gt;='Stage Ledger'!F542,"ADMITTED","NOT ADMITTED")),1,0)</x:f>
        <x:v>1</x:v>
      </x:c>
      <x:c r="F1775" s="21" t="n">
        <x:v>1</x:v>
      </x:c>
      <x:c r="G1775" s="23" t="str">
        <x:f>IF(E1775=F1775,"PASS","FAIL")</x:f>
        <x:v>PASS</x:v>
      </x:c>
    </x:row>
    <x:row r="1776">
      <x:c r="B1776" s="21" t="str">
        <x:v>A01770</x:v>
      </x:c>
      <x:c r="C1776" s="21" t="str">
        <x:v>stage</x:v>
      </x:c>
      <x:c r="D1776" s="21" t="str">
        <x:v>stage 537 planned conservation</x:v>
      </x:c>
      <x:c r="E1776" s="21" t="n">
        <x:f>IF(ABS('Stage Ledger'!J543-MIN('Stage Ledger'!F543,'Stage Ledger'!H543,'Stage Ledger'!I543))&lt;0.000001,1,0)</x:f>
        <x:v>1</x:v>
      </x:c>
      <x:c r="F1776" s="21" t="n">
        <x:v>1</x:v>
      </x:c>
      <x:c r="G1776" s="23" t="str">
        <x:f>IF(E1776=F1776,"PASS","FAIL")</x:f>
        <x:v>PASS</x:v>
      </x:c>
    </x:row>
    <x:row r="1777">
      <x:c r="B1777" s="21" t="str">
        <x:v>A01771</x:v>
      </x:c>
      <x:c r="C1777" s="21" t="str">
        <x:v>stage</x:v>
      </x:c>
      <x:c r="D1777" s="21" t="str">
        <x:v>stage 537 observed conservation</x:v>
      </x:c>
      <x:c r="E1777" s="21" t="n">
        <x:f>IF(AND(ABS('Stage Ledger'!R543-IF(AND('Stage Ledger'!P543=1,'Stage Ledger'!Q543=1),MIN('Stage Ledger'!F543,'Stage Ledger'!M543,'Stage Ledger'!R542),0))&lt;0.000001,'Stage Ledger'!S543=IF('Stage Ledger'!R543&gt;='Stage Ledger'!F543,"ADMITTED","NOT ADMITTED")),1,0)</x:f>
        <x:v>1</x:v>
      </x:c>
      <x:c r="F1777" s="21" t="n">
        <x:v>1</x:v>
      </x:c>
      <x:c r="G1777" s="23" t="str">
        <x:f>IF(E1777=F1777,"PASS","FAIL")</x:f>
        <x:v>PASS</x:v>
      </x:c>
    </x:row>
    <x:row r="1778">
      <x:c r="B1778" s="21" t="str">
        <x:v>A01772</x:v>
      </x:c>
      <x:c r="C1778" s="21" t="str">
        <x:v>stage</x:v>
      </x:c>
      <x:c r="D1778" s="21" t="str">
        <x:v>stage 538 planned conservation</x:v>
      </x:c>
      <x:c r="E1778" s="21" t="n">
        <x:f>IF(ABS('Stage Ledger'!J544-MIN('Stage Ledger'!F544,'Stage Ledger'!H544,'Stage Ledger'!I544))&lt;0.000001,1,0)</x:f>
        <x:v>1</x:v>
      </x:c>
      <x:c r="F1778" s="21" t="n">
        <x:v>1</x:v>
      </x:c>
      <x:c r="G1778" s="23" t="str">
        <x:f>IF(E1778=F1778,"PASS","FAIL")</x:f>
        <x:v>PASS</x:v>
      </x:c>
    </x:row>
    <x:row r="1779">
      <x:c r="B1779" s="21" t="str">
        <x:v>A01773</x:v>
      </x:c>
      <x:c r="C1779" s="21" t="str">
        <x:v>stage</x:v>
      </x:c>
      <x:c r="D1779" s="21" t="str">
        <x:v>stage 538 observed conservation</x:v>
      </x:c>
      <x:c r="E1779" s="21" t="n">
        <x:f>IF(AND(ABS('Stage Ledger'!R544-IF(AND('Stage Ledger'!P544=1,'Stage Ledger'!Q544=1),MIN('Stage Ledger'!F544,'Stage Ledger'!M544,'Stage Ledger'!R543),0))&lt;0.000001,'Stage Ledger'!S544=IF('Stage Ledger'!R544&gt;='Stage Ledger'!F544,"ADMITTED","NOT ADMITTED")),1,0)</x:f>
        <x:v>1</x:v>
      </x:c>
      <x:c r="F1779" s="21" t="n">
        <x:v>1</x:v>
      </x:c>
      <x:c r="G1779" s="23" t="str">
        <x:f>IF(E1779=F1779,"PASS","FAIL")</x:f>
        <x:v>PASS</x:v>
      </x:c>
    </x:row>
    <x:row r="1780">
      <x:c r="B1780" s="21" t="str">
        <x:v>A01774</x:v>
      </x:c>
      <x:c r="C1780" s="21" t="str">
        <x:v>stage</x:v>
      </x:c>
      <x:c r="D1780" s="21" t="str">
        <x:v>stage 539 planned conservation</x:v>
      </x:c>
      <x:c r="E1780" s="21" t="n">
        <x:f>IF(ABS('Stage Ledger'!J545-MIN('Stage Ledger'!F545,'Stage Ledger'!H545,'Stage Ledger'!I545))&lt;0.000001,1,0)</x:f>
        <x:v>1</x:v>
      </x:c>
      <x:c r="F1780" s="21" t="n">
        <x:v>1</x:v>
      </x:c>
      <x:c r="G1780" s="23" t="str">
        <x:f>IF(E1780=F1780,"PASS","FAIL")</x:f>
        <x:v>PASS</x:v>
      </x:c>
    </x:row>
    <x:row r="1781">
      <x:c r="B1781" s="21" t="str">
        <x:v>A01775</x:v>
      </x:c>
      <x:c r="C1781" s="21" t="str">
        <x:v>stage</x:v>
      </x:c>
      <x:c r="D1781" s="21" t="str">
        <x:v>stage 539 observed conservation</x:v>
      </x:c>
      <x:c r="E1781" s="21" t="n">
        <x:f>IF(AND(ABS('Stage Ledger'!R545-IF(AND('Stage Ledger'!P545=1,'Stage Ledger'!Q545=1),MIN('Stage Ledger'!F545,'Stage Ledger'!M545,'Stage Ledger'!R544),0))&lt;0.000001,'Stage Ledger'!S545=IF('Stage Ledger'!R545&gt;='Stage Ledger'!F545,"ADMITTED","NOT ADMITTED")),1,0)</x:f>
        <x:v>1</x:v>
      </x:c>
      <x:c r="F1781" s="21" t="n">
        <x:v>1</x:v>
      </x:c>
      <x:c r="G1781" s="23" t="str">
        <x:f>IF(E1781=F1781,"PASS","FAIL")</x:f>
        <x:v>PASS</x:v>
      </x:c>
    </x:row>
    <x:row r="1782">
      <x:c r="B1782" s="21" t="str">
        <x:v>A01776</x:v>
      </x:c>
      <x:c r="C1782" s="21" t="str">
        <x:v>stage</x:v>
      </x:c>
      <x:c r="D1782" s="21" t="str">
        <x:v>stage 540 planned conservation</x:v>
      </x:c>
      <x:c r="E1782" s="21" t="n">
        <x:f>IF(ABS('Stage Ledger'!J546-MIN('Stage Ledger'!F546,'Stage Ledger'!H546,'Stage Ledger'!I546))&lt;0.000001,1,0)</x:f>
        <x:v>1</x:v>
      </x:c>
      <x:c r="F1782" s="21" t="n">
        <x:v>1</x:v>
      </x:c>
      <x:c r="G1782" s="23" t="str">
        <x:f>IF(E1782=F1782,"PASS","FAIL")</x:f>
        <x:v>PASS</x:v>
      </x:c>
    </x:row>
    <x:row r="1783">
      <x:c r="B1783" s="21" t="str">
        <x:v>A01777</x:v>
      </x:c>
      <x:c r="C1783" s="21" t="str">
        <x:v>stage</x:v>
      </x:c>
      <x:c r="D1783" s="21" t="str">
        <x:v>stage 540 observed conservation</x:v>
      </x:c>
      <x:c r="E1783" s="21" t="n">
        <x:f>IF(AND(ABS('Stage Ledger'!R546-IF(AND('Stage Ledger'!P546=1,'Stage Ledger'!Q546=1),MIN('Stage Ledger'!F546,'Stage Ledger'!M546,'Stage Ledger'!R545),0))&lt;0.000001,'Stage Ledger'!S546=IF('Stage Ledger'!R546&gt;='Stage Ledger'!F546,"ADMITTED","NOT ADMITTED")),1,0)</x:f>
        <x:v>1</x:v>
      </x:c>
      <x:c r="F1783" s="21" t="n">
        <x:v>1</x:v>
      </x:c>
      <x:c r="G1783" s="23" t="str">
        <x:f>IF(E1783=F1783,"PASS","FAIL")</x:f>
        <x:v>PASS</x:v>
      </x:c>
    </x:row>
    <x:row r="1784">
      <x:c r="B1784" s="21" t="str">
        <x:v>A01778</x:v>
      </x:c>
      <x:c r="C1784" s="21" t="str">
        <x:v>stage</x:v>
      </x:c>
      <x:c r="D1784" s="21" t="str">
        <x:v>stage 541 planned conservation</x:v>
      </x:c>
      <x:c r="E1784" s="21" t="n">
        <x:f>IF(ABS('Stage Ledger'!J547-MIN('Stage Ledger'!F547,'Stage Ledger'!H547,'Stage Ledger'!I547))&lt;0.000001,1,0)</x:f>
        <x:v>1</x:v>
      </x:c>
      <x:c r="F1784" s="21" t="n">
        <x:v>1</x:v>
      </x:c>
      <x:c r="G1784" s="23" t="str">
        <x:f>IF(E1784=F1784,"PASS","FAIL")</x:f>
        <x:v>PASS</x:v>
      </x:c>
    </x:row>
    <x:row r="1785">
      <x:c r="B1785" s="21" t="str">
        <x:v>A01779</x:v>
      </x:c>
      <x:c r="C1785" s="21" t="str">
        <x:v>stage</x:v>
      </x:c>
      <x:c r="D1785" s="21" t="str">
        <x:v>stage 541 observed conservation</x:v>
      </x:c>
      <x:c r="E1785" s="21" t="n">
        <x:f>IF(AND(ABS('Stage Ledger'!R547-IF(AND('Stage Ledger'!P547=1,'Stage Ledger'!Q547=1),MIN('Stage Ledger'!F547,'Stage Ledger'!M547),0))&lt;0.000001,'Stage Ledger'!S547=IF('Stage Ledger'!R547&gt;='Stage Ledger'!F547,"ADMITTED","NOT ADMITTED")),1,0)</x:f>
        <x:v>1</x:v>
      </x:c>
      <x:c r="F1785" s="21" t="n">
        <x:v>1</x:v>
      </x:c>
      <x:c r="G1785" s="23" t="str">
        <x:f>IF(E1785=F1785,"PASS","FAIL")</x:f>
        <x:v>PASS</x:v>
      </x:c>
    </x:row>
    <x:row r="1786">
      <x:c r="B1786" s="21" t="str">
        <x:v>A01780</x:v>
      </x:c>
      <x:c r="C1786" s="21" t="str">
        <x:v>stage</x:v>
      </x:c>
      <x:c r="D1786" s="21" t="str">
        <x:v>stage 542 planned conservation</x:v>
      </x:c>
      <x:c r="E1786" s="21" t="n">
        <x:f>IF(ABS('Stage Ledger'!J548-MIN('Stage Ledger'!F548,'Stage Ledger'!H548,'Stage Ledger'!I548))&lt;0.000001,1,0)</x:f>
        <x:v>1</x:v>
      </x:c>
      <x:c r="F1786" s="21" t="n">
        <x:v>1</x:v>
      </x:c>
      <x:c r="G1786" s="23" t="str">
        <x:f>IF(E1786=F1786,"PASS","FAIL")</x:f>
        <x:v>PASS</x:v>
      </x:c>
    </x:row>
    <x:row r="1787">
      <x:c r="B1787" s="21" t="str">
        <x:v>A01781</x:v>
      </x:c>
      <x:c r="C1787" s="21" t="str">
        <x:v>stage</x:v>
      </x:c>
      <x:c r="D1787" s="21" t="str">
        <x:v>stage 542 observed conservation</x:v>
      </x:c>
      <x:c r="E1787" s="21" t="n">
        <x:f>IF(AND(ABS('Stage Ledger'!R548-IF(AND('Stage Ledger'!P548=1,'Stage Ledger'!Q548=1),MIN('Stage Ledger'!F548,'Stage Ledger'!M548,'Stage Ledger'!R547),0))&lt;0.000001,'Stage Ledger'!S548=IF('Stage Ledger'!R548&gt;='Stage Ledger'!F548,"ADMITTED","NOT ADMITTED")),1,0)</x:f>
        <x:v>1</x:v>
      </x:c>
      <x:c r="F1787" s="21" t="n">
        <x:v>1</x:v>
      </x:c>
      <x:c r="G1787" s="23" t="str">
        <x:f>IF(E1787=F1787,"PASS","FAIL")</x:f>
        <x:v>PASS</x:v>
      </x:c>
    </x:row>
    <x:row r="1788">
      <x:c r="B1788" s="21" t="str">
        <x:v>A01782</x:v>
      </x:c>
      <x:c r="C1788" s="21" t="str">
        <x:v>stage</x:v>
      </x:c>
      <x:c r="D1788" s="21" t="str">
        <x:v>stage 543 planned conservation</x:v>
      </x:c>
      <x:c r="E1788" s="21" t="n">
        <x:f>IF(ABS('Stage Ledger'!J549-MIN('Stage Ledger'!F549,'Stage Ledger'!H549,'Stage Ledger'!I549))&lt;0.000001,1,0)</x:f>
        <x:v>1</x:v>
      </x:c>
      <x:c r="F1788" s="21" t="n">
        <x:v>1</x:v>
      </x:c>
      <x:c r="G1788" s="23" t="str">
        <x:f>IF(E1788=F1788,"PASS","FAIL")</x:f>
        <x:v>PASS</x:v>
      </x:c>
    </x:row>
    <x:row r="1789">
      <x:c r="B1789" s="21" t="str">
        <x:v>A01783</x:v>
      </x:c>
      <x:c r="C1789" s="21" t="str">
        <x:v>stage</x:v>
      </x:c>
      <x:c r="D1789" s="21" t="str">
        <x:v>stage 543 observed conservation</x:v>
      </x:c>
      <x:c r="E1789" s="21" t="n">
        <x:f>IF(AND(ABS('Stage Ledger'!R549-IF(AND('Stage Ledger'!P549=1,'Stage Ledger'!Q549=1),MIN('Stage Ledger'!F549,'Stage Ledger'!M549,'Stage Ledger'!R548),0))&lt;0.000001,'Stage Ledger'!S549=IF('Stage Ledger'!R549&gt;='Stage Ledger'!F549,"ADMITTED","NOT ADMITTED")),1,0)</x:f>
        <x:v>1</x:v>
      </x:c>
      <x:c r="F1789" s="21" t="n">
        <x:v>1</x:v>
      </x:c>
      <x:c r="G1789" s="23" t="str">
        <x:f>IF(E1789=F1789,"PASS","FAIL")</x:f>
        <x:v>PASS</x:v>
      </x:c>
    </x:row>
    <x:row r="1790">
      <x:c r="B1790" s="21" t="str">
        <x:v>A01784</x:v>
      </x:c>
      <x:c r="C1790" s="21" t="str">
        <x:v>stage</x:v>
      </x:c>
      <x:c r="D1790" s="21" t="str">
        <x:v>stage 544 planned conservation</x:v>
      </x:c>
      <x:c r="E1790" s="21" t="n">
        <x:f>IF(ABS('Stage Ledger'!J550-MIN('Stage Ledger'!F550,'Stage Ledger'!H550,'Stage Ledger'!I550))&lt;0.000001,1,0)</x:f>
        <x:v>1</x:v>
      </x:c>
      <x:c r="F1790" s="21" t="n">
        <x:v>1</x:v>
      </x:c>
      <x:c r="G1790" s="23" t="str">
        <x:f>IF(E1790=F1790,"PASS","FAIL")</x:f>
        <x:v>PASS</x:v>
      </x:c>
    </x:row>
    <x:row r="1791">
      <x:c r="B1791" s="21" t="str">
        <x:v>A01785</x:v>
      </x:c>
      <x:c r="C1791" s="21" t="str">
        <x:v>stage</x:v>
      </x:c>
      <x:c r="D1791" s="21" t="str">
        <x:v>stage 544 observed conservation</x:v>
      </x:c>
      <x:c r="E1791" s="21" t="n">
        <x:f>IF(AND(ABS('Stage Ledger'!R550-IF(AND('Stage Ledger'!P550=1,'Stage Ledger'!Q550=1),MIN('Stage Ledger'!F550,'Stage Ledger'!M550,'Stage Ledger'!R549),0))&lt;0.000001,'Stage Ledger'!S550=IF('Stage Ledger'!R550&gt;='Stage Ledger'!F550,"ADMITTED","NOT ADMITTED")),1,0)</x:f>
        <x:v>1</x:v>
      </x:c>
      <x:c r="F1791" s="21" t="n">
        <x:v>1</x:v>
      </x:c>
      <x:c r="G1791" s="23" t="str">
        <x:f>IF(E1791=F1791,"PASS","FAIL")</x:f>
        <x:v>PASS</x:v>
      </x:c>
    </x:row>
    <x:row r="1792">
      <x:c r="B1792" s="21" t="str">
        <x:v>A01786</x:v>
      </x:c>
      <x:c r="C1792" s="21" t="str">
        <x:v>stage</x:v>
      </x:c>
      <x:c r="D1792" s="21" t="str">
        <x:v>stage 545 planned conservation</x:v>
      </x:c>
      <x:c r="E1792" s="21" t="n">
        <x:f>IF(ABS('Stage Ledger'!J551-MIN('Stage Ledger'!F551,'Stage Ledger'!H551,'Stage Ledger'!I551))&lt;0.000001,1,0)</x:f>
        <x:v>1</x:v>
      </x:c>
      <x:c r="F1792" s="21" t="n">
        <x:v>1</x:v>
      </x:c>
      <x:c r="G1792" s="23" t="str">
        <x:f>IF(E1792=F1792,"PASS","FAIL")</x:f>
        <x:v>PASS</x:v>
      </x:c>
    </x:row>
    <x:row r="1793">
      <x:c r="B1793" s="21" t="str">
        <x:v>A01787</x:v>
      </x:c>
      <x:c r="C1793" s="21" t="str">
        <x:v>stage</x:v>
      </x:c>
      <x:c r="D1793" s="21" t="str">
        <x:v>stage 545 observed conservation</x:v>
      </x:c>
      <x:c r="E1793" s="21" t="n">
        <x:f>IF(AND(ABS('Stage Ledger'!R551-IF(AND('Stage Ledger'!P551=1,'Stage Ledger'!Q551=1),MIN('Stage Ledger'!F551,'Stage Ledger'!M551,'Stage Ledger'!R550),0))&lt;0.000001,'Stage Ledger'!S551=IF('Stage Ledger'!R551&gt;='Stage Ledger'!F551,"ADMITTED","NOT ADMITTED")),1,0)</x:f>
        <x:v>1</x:v>
      </x:c>
      <x:c r="F1793" s="21" t="n">
        <x:v>1</x:v>
      </x:c>
      <x:c r="G1793" s="23" t="str">
        <x:f>IF(E1793=F1793,"PASS","FAIL")</x:f>
        <x:v>PASS</x:v>
      </x:c>
    </x:row>
    <x:row r="1794">
      <x:c r="B1794" s="21" t="str">
        <x:v>A01788</x:v>
      </x:c>
      <x:c r="C1794" s="21" t="str">
        <x:v>stage</x:v>
      </x:c>
      <x:c r="D1794" s="21" t="str">
        <x:v>stage 546 planned conservation</x:v>
      </x:c>
      <x:c r="E1794" s="21" t="n">
        <x:f>IF(ABS('Stage Ledger'!J552-MIN('Stage Ledger'!F552,'Stage Ledger'!H552,'Stage Ledger'!I552))&lt;0.000001,1,0)</x:f>
        <x:v>1</x:v>
      </x:c>
      <x:c r="F1794" s="21" t="n">
        <x:v>1</x:v>
      </x:c>
      <x:c r="G1794" s="23" t="str">
        <x:f>IF(E1794=F1794,"PASS","FAIL")</x:f>
        <x:v>PASS</x:v>
      </x:c>
    </x:row>
    <x:row r="1795">
      <x:c r="B1795" s="21" t="str">
        <x:v>A01789</x:v>
      </x:c>
      <x:c r="C1795" s="21" t="str">
        <x:v>stage</x:v>
      </x:c>
      <x:c r="D1795" s="21" t="str">
        <x:v>stage 546 observed conservation</x:v>
      </x:c>
      <x:c r="E1795" s="21" t="n">
        <x:f>IF(AND(ABS('Stage Ledger'!R552-IF(AND('Stage Ledger'!P552=1,'Stage Ledger'!Q552=1),MIN('Stage Ledger'!F552,'Stage Ledger'!M552,'Stage Ledger'!R551),0))&lt;0.000001,'Stage Ledger'!S552=IF('Stage Ledger'!R552&gt;='Stage Ledger'!F552,"ADMITTED","NOT ADMITTED")),1,0)</x:f>
        <x:v>1</x:v>
      </x:c>
      <x:c r="F1795" s="21" t="n">
        <x:v>1</x:v>
      </x:c>
      <x:c r="G1795" s="23" t="str">
        <x:f>IF(E1795=F1795,"PASS","FAIL")</x:f>
        <x:v>PASS</x:v>
      </x:c>
    </x:row>
    <x:row r="1796">
      <x:c r="B1796" s="21" t="str">
        <x:v>A01790</x:v>
      </x:c>
      <x:c r="C1796" s="21" t="str">
        <x:v>stage</x:v>
      </x:c>
      <x:c r="D1796" s="21" t="str">
        <x:v>stage 547 planned conservation</x:v>
      </x:c>
      <x:c r="E1796" s="21" t="n">
        <x:f>IF(ABS('Stage Ledger'!J553-MIN('Stage Ledger'!F553,'Stage Ledger'!H553,'Stage Ledger'!I553))&lt;0.000001,1,0)</x:f>
        <x:v>1</x:v>
      </x:c>
      <x:c r="F1796" s="21" t="n">
        <x:v>1</x:v>
      </x:c>
      <x:c r="G1796" s="23" t="str">
        <x:f>IF(E1796=F1796,"PASS","FAIL")</x:f>
        <x:v>PASS</x:v>
      </x:c>
    </x:row>
    <x:row r="1797">
      <x:c r="B1797" s="21" t="str">
        <x:v>A01791</x:v>
      </x:c>
      <x:c r="C1797" s="21" t="str">
        <x:v>stage</x:v>
      </x:c>
      <x:c r="D1797" s="21" t="str">
        <x:v>stage 547 observed conservation</x:v>
      </x:c>
      <x:c r="E1797" s="21" t="n">
        <x:f>IF(AND(ABS('Stage Ledger'!R553-IF(AND('Stage Ledger'!P553=1,'Stage Ledger'!Q553=1),MIN('Stage Ledger'!F553,'Stage Ledger'!M553,'Stage Ledger'!R552),0))&lt;0.000001,'Stage Ledger'!S553=IF('Stage Ledger'!R553&gt;='Stage Ledger'!F553,"ADMITTED","NOT ADMITTED")),1,0)</x:f>
        <x:v>1</x:v>
      </x:c>
      <x:c r="F1797" s="21" t="n">
        <x:v>1</x:v>
      </x:c>
      <x:c r="G1797" s="23" t="str">
        <x:f>IF(E1797=F1797,"PASS","FAIL")</x:f>
        <x:v>PASS</x:v>
      </x:c>
    </x:row>
    <x:row r="1798">
      <x:c r="B1798" s="21" t="str">
        <x:v>A01792</x:v>
      </x:c>
      <x:c r="C1798" s="21" t="str">
        <x:v>stage</x:v>
      </x:c>
      <x:c r="D1798" s="21" t="str">
        <x:v>stage 548 planned conservation</x:v>
      </x:c>
      <x:c r="E1798" s="21" t="n">
        <x:f>IF(ABS('Stage Ledger'!J554-MIN('Stage Ledger'!F554,'Stage Ledger'!H554,'Stage Ledger'!I554))&lt;0.000001,1,0)</x:f>
        <x:v>1</x:v>
      </x:c>
      <x:c r="F1798" s="21" t="n">
        <x:v>1</x:v>
      </x:c>
      <x:c r="G1798" s="23" t="str">
        <x:f>IF(E1798=F1798,"PASS","FAIL")</x:f>
        <x:v>PASS</x:v>
      </x:c>
    </x:row>
    <x:row r="1799">
      <x:c r="B1799" s="21" t="str">
        <x:v>A01793</x:v>
      </x:c>
      <x:c r="C1799" s="21" t="str">
        <x:v>stage</x:v>
      </x:c>
      <x:c r="D1799" s="21" t="str">
        <x:v>stage 548 observed conservation</x:v>
      </x:c>
      <x:c r="E1799" s="21" t="n">
        <x:f>IF(AND(ABS('Stage Ledger'!R554-IF(AND('Stage Ledger'!P554=1,'Stage Ledger'!Q554=1),MIN('Stage Ledger'!F554,'Stage Ledger'!M554,'Stage Ledger'!R553),0))&lt;0.000001,'Stage Ledger'!S554=IF('Stage Ledger'!R554&gt;='Stage Ledger'!F554,"ADMITTED","NOT ADMITTED")),1,0)</x:f>
        <x:v>1</x:v>
      </x:c>
      <x:c r="F1799" s="21" t="n">
        <x:v>1</x:v>
      </x:c>
      <x:c r="G1799" s="23" t="str">
        <x:f>IF(E1799=F1799,"PASS","FAIL")</x:f>
        <x:v>PASS</x:v>
      </x:c>
    </x:row>
    <x:row r="1800">
      <x:c r="B1800" s="21" t="str">
        <x:v>A01794</x:v>
      </x:c>
      <x:c r="C1800" s="21" t="str">
        <x:v>stage</x:v>
      </x:c>
      <x:c r="D1800" s="21" t="str">
        <x:v>stage 549 planned conservation</x:v>
      </x:c>
      <x:c r="E1800" s="21" t="n">
        <x:f>IF(ABS('Stage Ledger'!J555-MIN('Stage Ledger'!F555,'Stage Ledger'!H555,'Stage Ledger'!I555))&lt;0.000001,1,0)</x:f>
        <x:v>1</x:v>
      </x:c>
      <x:c r="F1800" s="21" t="n">
        <x:v>1</x:v>
      </x:c>
      <x:c r="G1800" s="23" t="str">
        <x:f>IF(E1800=F1800,"PASS","FAIL")</x:f>
        <x:v>PASS</x:v>
      </x:c>
    </x:row>
    <x:row r="1801">
      <x:c r="B1801" s="21" t="str">
        <x:v>A01795</x:v>
      </x:c>
      <x:c r="C1801" s="21" t="str">
        <x:v>stage</x:v>
      </x:c>
      <x:c r="D1801" s="21" t="str">
        <x:v>stage 549 observed conservation</x:v>
      </x:c>
      <x:c r="E1801" s="21" t="n">
        <x:f>IF(AND(ABS('Stage Ledger'!R555-IF(AND('Stage Ledger'!P555=1,'Stage Ledger'!Q555=1),MIN('Stage Ledger'!F555,'Stage Ledger'!M555,'Stage Ledger'!R554),0))&lt;0.000001,'Stage Ledger'!S555=IF('Stage Ledger'!R555&gt;='Stage Ledger'!F555,"ADMITTED","NOT ADMITTED")),1,0)</x:f>
        <x:v>1</x:v>
      </x:c>
      <x:c r="F1801" s="21" t="n">
        <x:v>1</x:v>
      </x:c>
      <x:c r="G1801" s="23" t="str">
        <x:f>IF(E1801=F1801,"PASS","FAIL")</x:f>
        <x:v>PASS</x:v>
      </x:c>
    </x:row>
    <x:row r="1802">
      <x:c r="B1802" s="21" t="str">
        <x:v>A01796</x:v>
      </x:c>
      <x:c r="C1802" s="21" t="str">
        <x:v>stage</x:v>
      </x:c>
      <x:c r="D1802" s="21" t="str">
        <x:v>stage 550 planned conservation</x:v>
      </x:c>
      <x:c r="E1802" s="21" t="n">
        <x:f>IF(ABS('Stage Ledger'!J556-MIN('Stage Ledger'!F556,'Stage Ledger'!H556,'Stage Ledger'!I556))&lt;0.000001,1,0)</x:f>
        <x:v>1</x:v>
      </x:c>
      <x:c r="F1802" s="21" t="n">
        <x:v>1</x:v>
      </x:c>
      <x:c r="G1802" s="23" t="str">
        <x:f>IF(E1802=F1802,"PASS","FAIL")</x:f>
        <x:v>PASS</x:v>
      </x:c>
    </x:row>
    <x:row r="1803">
      <x:c r="B1803" s="21" t="str">
        <x:v>A01797</x:v>
      </x:c>
      <x:c r="C1803" s="21" t="str">
        <x:v>stage</x:v>
      </x:c>
      <x:c r="D1803" s="21" t="str">
        <x:v>stage 550 observed conservation</x:v>
      </x:c>
      <x:c r="E1803" s="21" t="n">
        <x:f>IF(AND(ABS('Stage Ledger'!R556-IF(AND('Stage Ledger'!P556=1,'Stage Ledger'!Q556=1),MIN('Stage Ledger'!F556,'Stage Ledger'!M556,'Stage Ledger'!R555),0))&lt;0.000001,'Stage Ledger'!S556=IF('Stage Ledger'!R556&gt;='Stage Ledger'!F556,"ADMITTED","NOT ADMITTED")),1,0)</x:f>
        <x:v>1</x:v>
      </x:c>
      <x:c r="F1803" s="21" t="n">
        <x:v>1</x:v>
      </x:c>
      <x:c r="G1803" s="23" t="str">
        <x:f>IF(E1803=F1803,"PASS","FAIL")</x:f>
        <x:v>PASS</x:v>
      </x:c>
    </x:row>
    <x:row r="1804">
      <x:c r="B1804" s="21" t="str">
        <x:v>A01798</x:v>
      </x:c>
      <x:c r="C1804" s="21" t="str">
        <x:v>stage</x:v>
      </x:c>
      <x:c r="D1804" s="21" t="str">
        <x:v>stage 551 planned conservation</x:v>
      </x:c>
      <x:c r="E1804" s="21" t="n">
        <x:f>IF(ABS('Stage Ledger'!J557-MIN('Stage Ledger'!F557,'Stage Ledger'!H557,'Stage Ledger'!I557))&lt;0.000001,1,0)</x:f>
        <x:v>1</x:v>
      </x:c>
      <x:c r="F1804" s="21" t="n">
        <x:v>1</x:v>
      </x:c>
      <x:c r="G1804" s="23" t="str">
        <x:f>IF(E1804=F1804,"PASS","FAIL")</x:f>
        <x:v>PASS</x:v>
      </x:c>
    </x:row>
    <x:row r="1805">
      <x:c r="B1805" s="21" t="str">
        <x:v>A01799</x:v>
      </x:c>
      <x:c r="C1805" s="21" t="str">
        <x:v>stage</x:v>
      </x:c>
      <x:c r="D1805" s="21" t="str">
        <x:v>stage 551 observed conservation</x:v>
      </x:c>
      <x:c r="E1805" s="21" t="n">
        <x:f>IF(AND(ABS('Stage Ledger'!R557-IF(AND('Stage Ledger'!P557=1,'Stage Ledger'!Q557=1),MIN('Stage Ledger'!F557,'Stage Ledger'!M557,'Stage Ledger'!R556),0))&lt;0.000001,'Stage Ledger'!S557=IF('Stage Ledger'!R557&gt;='Stage Ledger'!F557,"ADMITTED","NOT ADMITTED")),1,0)</x:f>
        <x:v>1</x:v>
      </x:c>
      <x:c r="F1805" s="21" t="n">
        <x:v>1</x:v>
      </x:c>
      <x:c r="G1805" s="23" t="str">
        <x:f>IF(E1805=F1805,"PASS","FAIL")</x:f>
        <x:v>PASS</x:v>
      </x:c>
    </x:row>
    <x:row r="1806">
      <x:c r="B1806" s="21" t="str">
        <x:v>A01800</x:v>
      </x:c>
      <x:c r="C1806" s="21" t="str">
        <x:v>stage</x:v>
      </x:c>
      <x:c r="D1806" s="21" t="str">
        <x:v>stage 552 planned conservation</x:v>
      </x:c>
      <x:c r="E1806" s="21" t="n">
        <x:f>IF(ABS('Stage Ledger'!J558-MIN('Stage Ledger'!F558,'Stage Ledger'!H558,'Stage Ledger'!I558))&lt;0.000001,1,0)</x:f>
        <x:v>1</x:v>
      </x:c>
      <x:c r="F1806" s="21" t="n">
        <x:v>1</x:v>
      </x:c>
      <x:c r="G1806" s="23" t="str">
        <x:f>IF(E1806=F1806,"PASS","FAIL")</x:f>
        <x:v>PASS</x:v>
      </x:c>
    </x:row>
    <x:row r="1807">
      <x:c r="B1807" s="21" t="str">
        <x:v>A01801</x:v>
      </x:c>
      <x:c r="C1807" s="21" t="str">
        <x:v>stage</x:v>
      </x:c>
      <x:c r="D1807" s="21" t="str">
        <x:v>stage 552 observed conservation</x:v>
      </x:c>
      <x:c r="E1807" s="21" t="n">
        <x:f>IF(AND(ABS('Stage Ledger'!R558-IF(AND('Stage Ledger'!P558=1,'Stage Ledger'!Q558=1),MIN('Stage Ledger'!F558,'Stage Ledger'!M558,'Stage Ledger'!R557),0))&lt;0.000001,'Stage Ledger'!S558=IF('Stage Ledger'!R558&gt;='Stage Ledger'!F558,"ADMITTED","NOT ADMITTED")),1,0)</x:f>
        <x:v>1</x:v>
      </x:c>
      <x:c r="F1807" s="21" t="n">
        <x:v>1</x:v>
      </x:c>
      <x:c r="G1807" s="23" t="str">
        <x:f>IF(E1807=F1807,"PASS","FAIL")</x:f>
        <x:v>PASS</x:v>
      </x:c>
    </x:row>
    <x:row r="1808">
      <x:c r="B1808" s="21" t="str">
        <x:v>A01802</x:v>
      </x:c>
      <x:c r="C1808" s="21" t="str">
        <x:v>stage</x:v>
      </x:c>
      <x:c r="D1808" s="21" t="str">
        <x:v>stage 553 planned conservation</x:v>
      </x:c>
      <x:c r="E1808" s="21" t="n">
        <x:f>IF(ABS('Stage Ledger'!J559-MIN('Stage Ledger'!F559,'Stage Ledger'!H559,'Stage Ledger'!I559))&lt;0.000001,1,0)</x:f>
        <x:v>1</x:v>
      </x:c>
      <x:c r="F1808" s="21" t="n">
        <x:v>1</x:v>
      </x:c>
      <x:c r="G1808" s="23" t="str">
        <x:f>IF(E1808=F1808,"PASS","FAIL")</x:f>
        <x:v>PASS</x:v>
      </x:c>
    </x:row>
    <x:row r="1809">
      <x:c r="B1809" s="21" t="str">
        <x:v>A01803</x:v>
      </x:c>
      <x:c r="C1809" s="21" t="str">
        <x:v>stage</x:v>
      </x:c>
      <x:c r="D1809" s="21" t="str">
        <x:v>stage 553 observed conservation</x:v>
      </x:c>
      <x:c r="E1809" s="21" t="n">
        <x:f>IF(AND(ABS('Stage Ledger'!R559-IF(AND('Stage Ledger'!P559=1,'Stage Ledger'!Q559=1),MIN('Stage Ledger'!F559,'Stage Ledger'!M559),0))&lt;0.000001,'Stage Ledger'!S559=IF('Stage Ledger'!R559&gt;='Stage Ledger'!F559,"ADMITTED","NOT ADMITTED")),1,0)</x:f>
        <x:v>1</x:v>
      </x:c>
      <x:c r="F1809" s="21" t="n">
        <x:v>1</x:v>
      </x:c>
      <x:c r="G1809" s="23" t="str">
        <x:f>IF(E1809=F1809,"PASS","FAIL")</x:f>
        <x:v>PASS</x:v>
      </x:c>
    </x:row>
    <x:row r="1810">
      <x:c r="B1810" s="21" t="str">
        <x:v>A01804</x:v>
      </x:c>
      <x:c r="C1810" s="21" t="str">
        <x:v>stage</x:v>
      </x:c>
      <x:c r="D1810" s="21" t="str">
        <x:v>stage 554 planned conservation</x:v>
      </x:c>
      <x:c r="E1810" s="21" t="n">
        <x:f>IF(ABS('Stage Ledger'!J560-MIN('Stage Ledger'!F560,'Stage Ledger'!H560,'Stage Ledger'!I560))&lt;0.000001,1,0)</x:f>
        <x:v>1</x:v>
      </x:c>
      <x:c r="F1810" s="21" t="n">
        <x:v>1</x:v>
      </x:c>
      <x:c r="G1810" s="23" t="str">
        <x:f>IF(E1810=F1810,"PASS","FAIL")</x:f>
        <x:v>PASS</x:v>
      </x:c>
    </x:row>
    <x:row r="1811">
      <x:c r="B1811" s="21" t="str">
        <x:v>A01805</x:v>
      </x:c>
      <x:c r="C1811" s="21" t="str">
        <x:v>stage</x:v>
      </x:c>
      <x:c r="D1811" s="21" t="str">
        <x:v>stage 554 observed conservation</x:v>
      </x:c>
      <x:c r="E1811" s="21" t="n">
        <x:f>IF(AND(ABS('Stage Ledger'!R560-IF(AND('Stage Ledger'!P560=1,'Stage Ledger'!Q560=1),MIN('Stage Ledger'!F560,'Stage Ledger'!M560,'Stage Ledger'!R559),0))&lt;0.000001,'Stage Ledger'!S560=IF('Stage Ledger'!R560&gt;='Stage Ledger'!F560,"ADMITTED","NOT ADMITTED")),1,0)</x:f>
        <x:v>1</x:v>
      </x:c>
      <x:c r="F1811" s="21" t="n">
        <x:v>1</x:v>
      </x:c>
      <x:c r="G1811" s="23" t="str">
        <x:f>IF(E1811=F1811,"PASS","FAIL")</x:f>
        <x:v>PASS</x:v>
      </x:c>
    </x:row>
    <x:row r="1812">
      <x:c r="B1812" s="21" t="str">
        <x:v>A01806</x:v>
      </x:c>
      <x:c r="C1812" s="21" t="str">
        <x:v>stage</x:v>
      </x:c>
      <x:c r="D1812" s="21" t="str">
        <x:v>stage 555 planned conservation</x:v>
      </x:c>
      <x:c r="E1812" s="21" t="n">
        <x:f>IF(ABS('Stage Ledger'!J561-MIN('Stage Ledger'!F561,'Stage Ledger'!H561,'Stage Ledger'!I561))&lt;0.000001,1,0)</x:f>
        <x:v>1</x:v>
      </x:c>
      <x:c r="F1812" s="21" t="n">
        <x:v>1</x:v>
      </x:c>
      <x:c r="G1812" s="23" t="str">
        <x:f>IF(E1812=F1812,"PASS","FAIL")</x:f>
        <x:v>PASS</x:v>
      </x:c>
    </x:row>
    <x:row r="1813">
      <x:c r="B1813" s="21" t="str">
        <x:v>A01807</x:v>
      </x:c>
      <x:c r="C1813" s="21" t="str">
        <x:v>stage</x:v>
      </x:c>
      <x:c r="D1813" s="21" t="str">
        <x:v>stage 555 observed conservation</x:v>
      </x:c>
      <x:c r="E1813" s="21" t="n">
        <x:f>IF(AND(ABS('Stage Ledger'!R561-IF(AND('Stage Ledger'!P561=1,'Stage Ledger'!Q561=1),MIN('Stage Ledger'!F561,'Stage Ledger'!M561,'Stage Ledger'!R560),0))&lt;0.000001,'Stage Ledger'!S561=IF('Stage Ledger'!R561&gt;='Stage Ledger'!F561,"ADMITTED","NOT ADMITTED")),1,0)</x:f>
        <x:v>1</x:v>
      </x:c>
      <x:c r="F1813" s="21" t="n">
        <x:v>1</x:v>
      </x:c>
      <x:c r="G1813" s="23" t="str">
        <x:f>IF(E1813=F1813,"PASS","FAIL")</x:f>
        <x:v>PASS</x:v>
      </x:c>
    </x:row>
    <x:row r="1814">
      <x:c r="B1814" s="21" t="str">
        <x:v>A01808</x:v>
      </x:c>
      <x:c r="C1814" s="21" t="str">
        <x:v>stage</x:v>
      </x:c>
      <x:c r="D1814" s="21" t="str">
        <x:v>stage 556 planned conservation</x:v>
      </x:c>
      <x:c r="E1814" s="21" t="n">
        <x:f>IF(ABS('Stage Ledger'!J562-MIN('Stage Ledger'!F562,'Stage Ledger'!H562,'Stage Ledger'!I562))&lt;0.000001,1,0)</x:f>
        <x:v>1</x:v>
      </x:c>
      <x:c r="F1814" s="21" t="n">
        <x:v>1</x:v>
      </x:c>
      <x:c r="G1814" s="23" t="str">
        <x:f>IF(E1814=F1814,"PASS","FAIL")</x:f>
        <x:v>PASS</x:v>
      </x:c>
    </x:row>
    <x:row r="1815">
      <x:c r="B1815" s="21" t="str">
        <x:v>A01809</x:v>
      </x:c>
      <x:c r="C1815" s="21" t="str">
        <x:v>stage</x:v>
      </x:c>
      <x:c r="D1815" s="21" t="str">
        <x:v>stage 556 observed conservation</x:v>
      </x:c>
      <x:c r="E1815" s="21" t="n">
        <x:f>IF(AND(ABS('Stage Ledger'!R562-IF(AND('Stage Ledger'!P562=1,'Stage Ledger'!Q562=1),MIN('Stage Ledger'!F562,'Stage Ledger'!M562,'Stage Ledger'!R561),0))&lt;0.000001,'Stage Ledger'!S562=IF('Stage Ledger'!R562&gt;='Stage Ledger'!F562,"ADMITTED","NOT ADMITTED")),1,0)</x:f>
        <x:v>1</x:v>
      </x:c>
      <x:c r="F1815" s="21" t="n">
        <x:v>1</x:v>
      </x:c>
      <x:c r="G1815" s="23" t="str">
        <x:f>IF(E1815=F1815,"PASS","FAIL")</x:f>
        <x:v>PASS</x:v>
      </x:c>
    </x:row>
    <x:row r="1816">
      <x:c r="B1816" s="21" t="str">
        <x:v>A01810</x:v>
      </x:c>
      <x:c r="C1816" s="21" t="str">
        <x:v>stage</x:v>
      </x:c>
      <x:c r="D1816" s="21" t="str">
        <x:v>stage 557 planned conservation</x:v>
      </x:c>
      <x:c r="E1816" s="21" t="n">
        <x:f>IF(ABS('Stage Ledger'!J563-MIN('Stage Ledger'!F563,'Stage Ledger'!H563,'Stage Ledger'!I563))&lt;0.000001,1,0)</x:f>
        <x:v>1</x:v>
      </x:c>
      <x:c r="F1816" s="21" t="n">
        <x:v>1</x:v>
      </x:c>
      <x:c r="G1816" s="23" t="str">
        <x:f>IF(E1816=F1816,"PASS","FAIL")</x:f>
        <x:v>PASS</x:v>
      </x:c>
    </x:row>
    <x:row r="1817">
      <x:c r="B1817" s="21" t="str">
        <x:v>A01811</x:v>
      </x:c>
      <x:c r="C1817" s="21" t="str">
        <x:v>stage</x:v>
      </x:c>
      <x:c r="D1817" s="21" t="str">
        <x:v>stage 557 observed conservation</x:v>
      </x:c>
      <x:c r="E1817" s="21" t="n">
        <x:f>IF(AND(ABS('Stage Ledger'!R563-IF(AND('Stage Ledger'!P563=1,'Stage Ledger'!Q563=1),MIN('Stage Ledger'!F563,'Stage Ledger'!M563,'Stage Ledger'!R562),0))&lt;0.000001,'Stage Ledger'!S563=IF('Stage Ledger'!R563&gt;='Stage Ledger'!F563,"ADMITTED","NOT ADMITTED")),1,0)</x:f>
        <x:v>1</x:v>
      </x:c>
      <x:c r="F1817" s="21" t="n">
        <x:v>1</x:v>
      </x:c>
      <x:c r="G1817" s="23" t="str">
        <x:f>IF(E1817=F1817,"PASS","FAIL")</x:f>
        <x:v>PASS</x:v>
      </x:c>
    </x:row>
    <x:row r="1818">
      <x:c r="B1818" s="21" t="str">
        <x:v>A01812</x:v>
      </x:c>
      <x:c r="C1818" s="21" t="str">
        <x:v>stage</x:v>
      </x:c>
      <x:c r="D1818" s="21" t="str">
        <x:v>stage 558 planned conservation</x:v>
      </x:c>
      <x:c r="E1818" s="21" t="n">
        <x:f>IF(ABS('Stage Ledger'!J564-MIN('Stage Ledger'!F564,'Stage Ledger'!H564,'Stage Ledger'!I564))&lt;0.000001,1,0)</x:f>
        <x:v>1</x:v>
      </x:c>
      <x:c r="F1818" s="21" t="n">
        <x:v>1</x:v>
      </x:c>
      <x:c r="G1818" s="23" t="str">
        <x:f>IF(E1818=F1818,"PASS","FAIL")</x:f>
        <x:v>PASS</x:v>
      </x:c>
    </x:row>
    <x:row r="1819">
      <x:c r="B1819" s="21" t="str">
        <x:v>A01813</x:v>
      </x:c>
      <x:c r="C1819" s="21" t="str">
        <x:v>stage</x:v>
      </x:c>
      <x:c r="D1819" s="21" t="str">
        <x:v>stage 558 observed conservation</x:v>
      </x:c>
      <x:c r="E1819" s="21" t="n">
        <x:f>IF(AND(ABS('Stage Ledger'!R564-IF(AND('Stage Ledger'!P564=1,'Stage Ledger'!Q564=1),MIN('Stage Ledger'!F564,'Stage Ledger'!M564,'Stage Ledger'!R563),0))&lt;0.000001,'Stage Ledger'!S564=IF('Stage Ledger'!R564&gt;='Stage Ledger'!F564,"ADMITTED","NOT ADMITTED")),1,0)</x:f>
        <x:v>1</x:v>
      </x:c>
      <x:c r="F1819" s="21" t="n">
        <x:v>1</x:v>
      </x:c>
      <x:c r="G1819" s="23" t="str">
        <x:f>IF(E1819=F1819,"PASS","FAIL")</x:f>
        <x:v>PASS</x:v>
      </x:c>
    </x:row>
    <x:row r="1820">
      <x:c r="B1820" s="21" t="str">
        <x:v>A01814</x:v>
      </x:c>
      <x:c r="C1820" s="21" t="str">
        <x:v>stage</x:v>
      </x:c>
      <x:c r="D1820" s="21" t="str">
        <x:v>stage 559 planned conservation</x:v>
      </x:c>
      <x:c r="E1820" s="21" t="n">
        <x:f>IF(ABS('Stage Ledger'!J565-MIN('Stage Ledger'!F565,'Stage Ledger'!H565,'Stage Ledger'!I565))&lt;0.000001,1,0)</x:f>
        <x:v>1</x:v>
      </x:c>
      <x:c r="F1820" s="21" t="n">
        <x:v>1</x:v>
      </x:c>
      <x:c r="G1820" s="23" t="str">
        <x:f>IF(E1820=F1820,"PASS","FAIL")</x:f>
        <x:v>PASS</x:v>
      </x:c>
    </x:row>
    <x:row r="1821">
      <x:c r="B1821" s="21" t="str">
        <x:v>A01815</x:v>
      </x:c>
      <x:c r="C1821" s="21" t="str">
        <x:v>stage</x:v>
      </x:c>
      <x:c r="D1821" s="21" t="str">
        <x:v>stage 559 observed conservation</x:v>
      </x:c>
      <x:c r="E1821" s="21" t="n">
        <x:f>IF(AND(ABS('Stage Ledger'!R565-IF(AND('Stage Ledger'!P565=1,'Stage Ledger'!Q565=1),MIN('Stage Ledger'!F565,'Stage Ledger'!M565,'Stage Ledger'!R564),0))&lt;0.000001,'Stage Ledger'!S565=IF('Stage Ledger'!R565&gt;='Stage Ledger'!F565,"ADMITTED","NOT ADMITTED")),1,0)</x:f>
        <x:v>1</x:v>
      </x:c>
      <x:c r="F1821" s="21" t="n">
        <x:v>1</x:v>
      </x:c>
      <x:c r="G1821" s="23" t="str">
        <x:f>IF(E1821=F1821,"PASS","FAIL")</x:f>
        <x:v>PASS</x:v>
      </x:c>
    </x:row>
    <x:row r="1822">
      <x:c r="B1822" s="21" t="str">
        <x:v>A01816</x:v>
      </x:c>
      <x:c r="C1822" s="21" t="str">
        <x:v>stage</x:v>
      </x:c>
      <x:c r="D1822" s="21" t="str">
        <x:v>stage 560 planned conservation</x:v>
      </x:c>
      <x:c r="E1822" s="21" t="n">
        <x:f>IF(ABS('Stage Ledger'!J566-MIN('Stage Ledger'!F566,'Stage Ledger'!H566,'Stage Ledger'!I566))&lt;0.000001,1,0)</x:f>
        <x:v>1</x:v>
      </x:c>
      <x:c r="F1822" s="21" t="n">
        <x:v>1</x:v>
      </x:c>
      <x:c r="G1822" s="23" t="str">
        <x:f>IF(E1822=F1822,"PASS","FAIL")</x:f>
        <x:v>PASS</x:v>
      </x:c>
    </x:row>
    <x:row r="1823">
      <x:c r="B1823" s="21" t="str">
        <x:v>A01817</x:v>
      </x:c>
      <x:c r="C1823" s="21" t="str">
        <x:v>stage</x:v>
      </x:c>
      <x:c r="D1823" s="21" t="str">
        <x:v>stage 560 observed conservation</x:v>
      </x:c>
      <x:c r="E1823" s="21" t="n">
        <x:f>IF(AND(ABS('Stage Ledger'!R566-IF(AND('Stage Ledger'!P566=1,'Stage Ledger'!Q566=1),MIN('Stage Ledger'!F566,'Stage Ledger'!M566,'Stage Ledger'!R565),0))&lt;0.000001,'Stage Ledger'!S566=IF('Stage Ledger'!R566&gt;='Stage Ledger'!F566,"ADMITTED","NOT ADMITTED")),1,0)</x:f>
        <x:v>1</x:v>
      </x:c>
      <x:c r="F1823" s="21" t="n">
        <x:v>1</x:v>
      </x:c>
      <x:c r="G1823" s="23" t="str">
        <x:f>IF(E1823=F1823,"PASS","FAIL")</x:f>
        <x:v>PASS</x:v>
      </x:c>
    </x:row>
    <x:row r="1824">
      <x:c r="B1824" s="21" t="str">
        <x:v>A01818</x:v>
      </x:c>
      <x:c r="C1824" s="21" t="str">
        <x:v>stage</x:v>
      </x:c>
      <x:c r="D1824" s="21" t="str">
        <x:v>stage 561 planned conservation</x:v>
      </x:c>
      <x:c r="E1824" s="21" t="n">
        <x:f>IF(ABS('Stage Ledger'!J567-MIN('Stage Ledger'!F567,'Stage Ledger'!H567,'Stage Ledger'!I567))&lt;0.000001,1,0)</x:f>
        <x:v>1</x:v>
      </x:c>
      <x:c r="F1824" s="21" t="n">
        <x:v>1</x:v>
      </x:c>
      <x:c r="G1824" s="23" t="str">
        <x:f>IF(E1824=F1824,"PASS","FAIL")</x:f>
        <x:v>PASS</x:v>
      </x:c>
    </x:row>
    <x:row r="1825">
      <x:c r="B1825" s="21" t="str">
        <x:v>A01819</x:v>
      </x:c>
      <x:c r="C1825" s="21" t="str">
        <x:v>stage</x:v>
      </x:c>
      <x:c r="D1825" s="21" t="str">
        <x:v>stage 561 observed conservation</x:v>
      </x:c>
      <x:c r="E1825" s="21" t="n">
        <x:f>IF(AND(ABS('Stage Ledger'!R567-IF(AND('Stage Ledger'!P567=1,'Stage Ledger'!Q567=1),MIN('Stage Ledger'!F567,'Stage Ledger'!M567,'Stage Ledger'!R566),0))&lt;0.000001,'Stage Ledger'!S567=IF('Stage Ledger'!R567&gt;='Stage Ledger'!F567,"ADMITTED","NOT ADMITTED")),1,0)</x:f>
        <x:v>1</x:v>
      </x:c>
      <x:c r="F1825" s="21" t="n">
        <x:v>1</x:v>
      </x:c>
      <x:c r="G1825" s="23" t="str">
        <x:f>IF(E1825=F1825,"PASS","FAIL")</x:f>
        <x:v>PASS</x:v>
      </x:c>
    </x:row>
    <x:row r="1826">
      <x:c r="B1826" s="21" t="str">
        <x:v>A01820</x:v>
      </x:c>
      <x:c r="C1826" s="21" t="str">
        <x:v>stage</x:v>
      </x:c>
      <x:c r="D1826" s="21" t="str">
        <x:v>stage 562 planned conservation</x:v>
      </x:c>
      <x:c r="E1826" s="21" t="n">
        <x:f>IF(ABS('Stage Ledger'!J568-MIN('Stage Ledger'!F568,'Stage Ledger'!H568,'Stage Ledger'!I568))&lt;0.000001,1,0)</x:f>
        <x:v>1</x:v>
      </x:c>
      <x:c r="F1826" s="21" t="n">
        <x:v>1</x:v>
      </x:c>
      <x:c r="G1826" s="23" t="str">
        <x:f>IF(E1826=F1826,"PASS","FAIL")</x:f>
        <x:v>PASS</x:v>
      </x:c>
    </x:row>
    <x:row r="1827">
      <x:c r="B1827" s="21" t="str">
        <x:v>A01821</x:v>
      </x:c>
      <x:c r="C1827" s="21" t="str">
        <x:v>stage</x:v>
      </x:c>
      <x:c r="D1827" s="21" t="str">
        <x:v>stage 562 observed conservation</x:v>
      </x:c>
      <x:c r="E1827" s="21" t="n">
        <x:f>IF(AND(ABS('Stage Ledger'!R568-IF(AND('Stage Ledger'!P568=1,'Stage Ledger'!Q568=1),MIN('Stage Ledger'!F568,'Stage Ledger'!M568,'Stage Ledger'!R567),0))&lt;0.000001,'Stage Ledger'!S568=IF('Stage Ledger'!R568&gt;='Stage Ledger'!F568,"ADMITTED","NOT ADMITTED")),1,0)</x:f>
        <x:v>1</x:v>
      </x:c>
      <x:c r="F1827" s="21" t="n">
        <x:v>1</x:v>
      </x:c>
      <x:c r="G1827" s="23" t="str">
        <x:f>IF(E1827=F1827,"PASS","FAIL")</x:f>
        <x:v>PASS</x:v>
      </x:c>
    </x:row>
    <x:row r="1828">
      <x:c r="B1828" s="21" t="str">
        <x:v>A01822</x:v>
      </x:c>
      <x:c r="C1828" s="21" t="str">
        <x:v>stage</x:v>
      </x:c>
      <x:c r="D1828" s="21" t="str">
        <x:v>stage 563 planned conservation</x:v>
      </x:c>
      <x:c r="E1828" s="21" t="n">
        <x:f>IF(ABS('Stage Ledger'!J569-MIN('Stage Ledger'!F569,'Stage Ledger'!H569,'Stage Ledger'!I569))&lt;0.000001,1,0)</x:f>
        <x:v>1</x:v>
      </x:c>
      <x:c r="F1828" s="21" t="n">
        <x:v>1</x:v>
      </x:c>
      <x:c r="G1828" s="23" t="str">
        <x:f>IF(E1828=F1828,"PASS","FAIL")</x:f>
        <x:v>PASS</x:v>
      </x:c>
    </x:row>
    <x:row r="1829">
      <x:c r="B1829" s="21" t="str">
        <x:v>A01823</x:v>
      </x:c>
      <x:c r="C1829" s="21" t="str">
        <x:v>stage</x:v>
      </x:c>
      <x:c r="D1829" s="21" t="str">
        <x:v>stage 563 observed conservation</x:v>
      </x:c>
      <x:c r="E1829" s="21" t="n">
        <x:f>IF(AND(ABS('Stage Ledger'!R569-IF(AND('Stage Ledger'!P569=1,'Stage Ledger'!Q569=1),MIN('Stage Ledger'!F569,'Stage Ledger'!M569,'Stage Ledger'!R568),0))&lt;0.000001,'Stage Ledger'!S569=IF('Stage Ledger'!R569&gt;='Stage Ledger'!F569,"ADMITTED","NOT ADMITTED")),1,0)</x:f>
        <x:v>1</x:v>
      </x:c>
      <x:c r="F1829" s="21" t="n">
        <x:v>1</x:v>
      </x:c>
      <x:c r="G1829" s="23" t="str">
        <x:f>IF(E1829=F1829,"PASS","FAIL")</x:f>
        <x:v>PASS</x:v>
      </x:c>
    </x:row>
    <x:row r="1830">
      <x:c r="B1830" s="21" t="str">
        <x:v>A01824</x:v>
      </x:c>
      <x:c r="C1830" s="21" t="str">
        <x:v>stage</x:v>
      </x:c>
      <x:c r="D1830" s="21" t="str">
        <x:v>stage 564 planned conservation</x:v>
      </x:c>
      <x:c r="E1830" s="21" t="n">
        <x:f>IF(ABS('Stage Ledger'!J570-MIN('Stage Ledger'!F570,'Stage Ledger'!H570,'Stage Ledger'!I570))&lt;0.000001,1,0)</x:f>
        <x:v>1</x:v>
      </x:c>
      <x:c r="F1830" s="21" t="n">
        <x:v>1</x:v>
      </x:c>
      <x:c r="G1830" s="23" t="str">
        <x:f>IF(E1830=F1830,"PASS","FAIL")</x:f>
        <x:v>PASS</x:v>
      </x:c>
    </x:row>
    <x:row r="1831">
      <x:c r="B1831" s="21" t="str">
        <x:v>A01825</x:v>
      </x:c>
      <x:c r="C1831" s="21" t="str">
        <x:v>stage</x:v>
      </x:c>
      <x:c r="D1831" s="21" t="str">
        <x:v>stage 564 observed conservation</x:v>
      </x:c>
      <x:c r="E1831" s="21" t="n">
        <x:f>IF(AND(ABS('Stage Ledger'!R570-IF(AND('Stage Ledger'!P570=1,'Stage Ledger'!Q570=1),MIN('Stage Ledger'!F570,'Stage Ledger'!M570,'Stage Ledger'!R569),0))&lt;0.000001,'Stage Ledger'!S570=IF('Stage Ledger'!R570&gt;='Stage Ledger'!F570,"ADMITTED","NOT ADMITTED")),1,0)</x:f>
        <x:v>1</x:v>
      </x:c>
      <x:c r="F1831" s="21" t="n">
        <x:v>1</x:v>
      </x:c>
      <x:c r="G1831" s="23" t="str">
        <x:f>IF(E1831=F1831,"PASS","FAIL")</x:f>
        <x:v>PASS</x:v>
      </x:c>
    </x:row>
    <x:row r="1832">
      <x:c r="B1832" s="21" t="str">
        <x:v>A01826</x:v>
      </x:c>
      <x:c r="C1832" s="21" t="str">
        <x:v>stage</x:v>
      </x:c>
      <x:c r="D1832" s="21" t="str">
        <x:v>stage 565 planned conservation</x:v>
      </x:c>
      <x:c r="E1832" s="21" t="n">
        <x:f>IF(ABS('Stage Ledger'!J571-MIN('Stage Ledger'!F571,'Stage Ledger'!H571,'Stage Ledger'!I571))&lt;0.000001,1,0)</x:f>
        <x:v>1</x:v>
      </x:c>
      <x:c r="F1832" s="21" t="n">
        <x:v>1</x:v>
      </x:c>
      <x:c r="G1832" s="23" t="str">
        <x:f>IF(E1832=F1832,"PASS","FAIL")</x:f>
        <x:v>PASS</x:v>
      </x:c>
    </x:row>
    <x:row r="1833">
      <x:c r="B1833" s="21" t="str">
        <x:v>A01827</x:v>
      </x:c>
      <x:c r="C1833" s="21" t="str">
        <x:v>stage</x:v>
      </x:c>
      <x:c r="D1833" s="21" t="str">
        <x:v>stage 565 observed conservation</x:v>
      </x:c>
      <x:c r="E1833" s="21" t="n">
        <x:f>IF(AND(ABS('Stage Ledger'!R571-IF(AND('Stage Ledger'!P571=1,'Stage Ledger'!Q571=1),MIN('Stage Ledger'!F571,'Stage Ledger'!M571),0))&lt;0.000001,'Stage Ledger'!S571=IF('Stage Ledger'!R571&gt;='Stage Ledger'!F571,"ADMITTED","NOT ADMITTED")),1,0)</x:f>
        <x:v>1</x:v>
      </x:c>
      <x:c r="F1833" s="21" t="n">
        <x:v>1</x:v>
      </x:c>
      <x:c r="G1833" s="23" t="str">
        <x:f>IF(E1833=F1833,"PASS","FAIL")</x:f>
        <x:v>PASS</x:v>
      </x:c>
    </x:row>
    <x:row r="1834">
      <x:c r="B1834" s="21" t="str">
        <x:v>A01828</x:v>
      </x:c>
      <x:c r="C1834" s="21" t="str">
        <x:v>stage</x:v>
      </x:c>
      <x:c r="D1834" s="21" t="str">
        <x:v>stage 566 planned conservation</x:v>
      </x:c>
      <x:c r="E1834" s="21" t="n">
        <x:f>IF(ABS('Stage Ledger'!J572-MIN('Stage Ledger'!F572,'Stage Ledger'!H572,'Stage Ledger'!I572))&lt;0.000001,1,0)</x:f>
        <x:v>1</x:v>
      </x:c>
      <x:c r="F1834" s="21" t="n">
        <x:v>1</x:v>
      </x:c>
      <x:c r="G1834" s="23" t="str">
        <x:f>IF(E1834=F1834,"PASS","FAIL")</x:f>
        <x:v>PASS</x:v>
      </x:c>
    </x:row>
    <x:row r="1835">
      <x:c r="B1835" s="21" t="str">
        <x:v>A01829</x:v>
      </x:c>
      <x:c r="C1835" s="21" t="str">
        <x:v>stage</x:v>
      </x:c>
      <x:c r="D1835" s="21" t="str">
        <x:v>stage 566 observed conservation</x:v>
      </x:c>
      <x:c r="E1835" s="21" t="n">
        <x:f>IF(AND(ABS('Stage Ledger'!R572-IF(AND('Stage Ledger'!P572=1,'Stage Ledger'!Q572=1),MIN('Stage Ledger'!F572,'Stage Ledger'!M572,'Stage Ledger'!R571),0))&lt;0.000001,'Stage Ledger'!S572=IF('Stage Ledger'!R572&gt;='Stage Ledger'!F572,"ADMITTED","NOT ADMITTED")),1,0)</x:f>
        <x:v>1</x:v>
      </x:c>
      <x:c r="F1835" s="21" t="n">
        <x:v>1</x:v>
      </x:c>
      <x:c r="G1835" s="23" t="str">
        <x:f>IF(E1835=F1835,"PASS","FAIL")</x:f>
        <x:v>PASS</x:v>
      </x:c>
    </x:row>
    <x:row r="1836">
      <x:c r="B1836" s="21" t="str">
        <x:v>A01830</x:v>
      </x:c>
      <x:c r="C1836" s="21" t="str">
        <x:v>stage</x:v>
      </x:c>
      <x:c r="D1836" s="21" t="str">
        <x:v>stage 567 planned conservation</x:v>
      </x:c>
      <x:c r="E1836" s="21" t="n">
        <x:f>IF(ABS('Stage Ledger'!J573-MIN('Stage Ledger'!F573,'Stage Ledger'!H573,'Stage Ledger'!I573))&lt;0.000001,1,0)</x:f>
        <x:v>1</x:v>
      </x:c>
      <x:c r="F1836" s="21" t="n">
        <x:v>1</x:v>
      </x:c>
      <x:c r="G1836" s="23" t="str">
        <x:f>IF(E1836=F1836,"PASS","FAIL")</x:f>
        <x:v>PASS</x:v>
      </x:c>
    </x:row>
    <x:row r="1837">
      <x:c r="B1837" s="21" t="str">
        <x:v>A01831</x:v>
      </x:c>
      <x:c r="C1837" s="21" t="str">
        <x:v>stage</x:v>
      </x:c>
      <x:c r="D1837" s="21" t="str">
        <x:v>stage 567 observed conservation</x:v>
      </x:c>
      <x:c r="E1837" s="21" t="n">
        <x:f>IF(AND(ABS('Stage Ledger'!R573-IF(AND('Stage Ledger'!P573=1,'Stage Ledger'!Q573=1),MIN('Stage Ledger'!F573,'Stage Ledger'!M573,'Stage Ledger'!R572),0))&lt;0.000001,'Stage Ledger'!S573=IF('Stage Ledger'!R573&gt;='Stage Ledger'!F573,"ADMITTED","NOT ADMITTED")),1,0)</x:f>
        <x:v>1</x:v>
      </x:c>
      <x:c r="F1837" s="21" t="n">
        <x:v>1</x:v>
      </x:c>
      <x:c r="G1837" s="23" t="str">
        <x:f>IF(E1837=F1837,"PASS","FAIL")</x:f>
        <x:v>PASS</x:v>
      </x:c>
    </x:row>
    <x:row r="1838">
      <x:c r="B1838" s="21" t="str">
        <x:v>A01832</x:v>
      </x:c>
      <x:c r="C1838" s="21" t="str">
        <x:v>stage</x:v>
      </x:c>
      <x:c r="D1838" s="21" t="str">
        <x:v>stage 568 planned conservation</x:v>
      </x:c>
      <x:c r="E1838" s="21" t="n">
        <x:f>IF(ABS('Stage Ledger'!J574-MIN('Stage Ledger'!F574,'Stage Ledger'!H574,'Stage Ledger'!I574))&lt;0.000001,1,0)</x:f>
        <x:v>1</x:v>
      </x:c>
      <x:c r="F1838" s="21" t="n">
        <x:v>1</x:v>
      </x:c>
      <x:c r="G1838" s="23" t="str">
        <x:f>IF(E1838=F1838,"PASS","FAIL")</x:f>
        <x:v>PASS</x:v>
      </x:c>
    </x:row>
    <x:row r="1839">
      <x:c r="B1839" s="21" t="str">
        <x:v>A01833</x:v>
      </x:c>
      <x:c r="C1839" s="21" t="str">
        <x:v>stage</x:v>
      </x:c>
      <x:c r="D1839" s="21" t="str">
        <x:v>stage 568 observed conservation</x:v>
      </x:c>
      <x:c r="E1839" s="21" t="n">
        <x:f>IF(AND(ABS('Stage Ledger'!R574-IF(AND('Stage Ledger'!P574=1,'Stage Ledger'!Q574=1),MIN('Stage Ledger'!F574,'Stage Ledger'!M574,'Stage Ledger'!R573),0))&lt;0.000001,'Stage Ledger'!S574=IF('Stage Ledger'!R574&gt;='Stage Ledger'!F574,"ADMITTED","NOT ADMITTED")),1,0)</x:f>
        <x:v>1</x:v>
      </x:c>
      <x:c r="F1839" s="21" t="n">
        <x:v>1</x:v>
      </x:c>
      <x:c r="G1839" s="23" t="str">
        <x:f>IF(E1839=F1839,"PASS","FAIL")</x:f>
        <x:v>PASS</x:v>
      </x:c>
    </x:row>
    <x:row r="1840">
      <x:c r="B1840" s="21" t="str">
        <x:v>A01834</x:v>
      </x:c>
      <x:c r="C1840" s="21" t="str">
        <x:v>stage</x:v>
      </x:c>
      <x:c r="D1840" s="21" t="str">
        <x:v>stage 569 planned conservation</x:v>
      </x:c>
      <x:c r="E1840" s="21" t="n">
        <x:f>IF(ABS('Stage Ledger'!J575-MIN('Stage Ledger'!F575,'Stage Ledger'!H575,'Stage Ledger'!I575))&lt;0.000001,1,0)</x:f>
        <x:v>1</x:v>
      </x:c>
      <x:c r="F1840" s="21" t="n">
        <x:v>1</x:v>
      </x:c>
      <x:c r="G1840" s="23" t="str">
        <x:f>IF(E1840=F1840,"PASS","FAIL")</x:f>
        <x:v>PASS</x:v>
      </x:c>
    </x:row>
    <x:row r="1841">
      <x:c r="B1841" s="21" t="str">
        <x:v>A01835</x:v>
      </x:c>
      <x:c r="C1841" s="21" t="str">
        <x:v>stage</x:v>
      </x:c>
      <x:c r="D1841" s="21" t="str">
        <x:v>stage 569 observed conservation</x:v>
      </x:c>
      <x:c r="E1841" s="21" t="n">
        <x:f>IF(AND(ABS('Stage Ledger'!R575-IF(AND('Stage Ledger'!P575=1,'Stage Ledger'!Q575=1),MIN('Stage Ledger'!F575,'Stage Ledger'!M575,'Stage Ledger'!R574),0))&lt;0.000001,'Stage Ledger'!S575=IF('Stage Ledger'!R575&gt;='Stage Ledger'!F575,"ADMITTED","NOT ADMITTED")),1,0)</x:f>
        <x:v>1</x:v>
      </x:c>
      <x:c r="F1841" s="21" t="n">
        <x:v>1</x:v>
      </x:c>
      <x:c r="G1841" s="23" t="str">
        <x:f>IF(E1841=F1841,"PASS","FAIL")</x:f>
        <x:v>PASS</x:v>
      </x:c>
    </x:row>
    <x:row r="1842">
      <x:c r="B1842" s="21" t="str">
        <x:v>A01836</x:v>
      </x:c>
      <x:c r="C1842" s="21" t="str">
        <x:v>stage</x:v>
      </x:c>
      <x:c r="D1842" s="21" t="str">
        <x:v>stage 570 planned conservation</x:v>
      </x:c>
      <x:c r="E1842" s="21" t="n">
        <x:f>IF(ABS('Stage Ledger'!J576-MIN('Stage Ledger'!F576,'Stage Ledger'!H576,'Stage Ledger'!I576))&lt;0.000001,1,0)</x:f>
        <x:v>1</x:v>
      </x:c>
      <x:c r="F1842" s="21" t="n">
        <x:v>1</x:v>
      </x:c>
      <x:c r="G1842" s="23" t="str">
        <x:f>IF(E1842=F1842,"PASS","FAIL")</x:f>
        <x:v>PASS</x:v>
      </x:c>
    </x:row>
    <x:row r="1843">
      <x:c r="B1843" s="21" t="str">
        <x:v>A01837</x:v>
      </x:c>
      <x:c r="C1843" s="21" t="str">
        <x:v>stage</x:v>
      </x:c>
      <x:c r="D1843" s="21" t="str">
        <x:v>stage 570 observed conservation</x:v>
      </x:c>
      <x:c r="E1843" s="21" t="n">
        <x:f>IF(AND(ABS('Stage Ledger'!R576-IF(AND('Stage Ledger'!P576=1,'Stage Ledger'!Q576=1),MIN('Stage Ledger'!F576,'Stage Ledger'!M576,'Stage Ledger'!R575),0))&lt;0.000001,'Stage Ledger'!S576=IF('Stage Ledger'!R576&gt;='Stage Ledger'!F576,"ADMITTED","NOT ADMITTED")),1,0)</x:f>
        <x:v>1</x:v>
      </x:c>
      <x:c r="F1843" s="21" t="n">
        <x:v>1</x:v>
      </x:c>
      <x:c r="G1843" s="23" t="str">
        <x:f>IF(E1843=F1843,"PASS","FAIL")</x:f>
        <x:v>PASS</x:v>
      </x:c>
    </x:row>
    <x:row r="1844">
      <x:c r="B1844" s="21" t="str">
        <x:v>A01838</x:v>
      </x:c>
      <x:c r="C1844" s="21" t="str">
        <x:v>stage</x:v>
      </x:c>
      <x:c r="D1844" s="21" t="str">
        <x:v>stage 571 planned conservation</x:v>
      </x:c>
      <x:c r="E1844" s="21" t="n">
        <x:f>IF(ABS('Stage Ledger'!J577-MIN('Stage Ledger'!F577,'Stage Ledger'!H577,'Stage Ledger'!I577))&lt;0.000001,1,0)</x:f>
        <x:v>1</x:v>
      </x:c>
      <x:c r="F1844" s="21" t="n">
        <x:v>1</x:v>
      </x:c>
      <x:c r="G1844" s="23" t="str">
        <x:f>IF(E1844=F1844,"PASS","FAIL")</x:f>
        <x:v>PASS</x:v>
      </x:c>
    </x:row>
    <x:row r="1845">
      <x:c r="B1845" s="21" t="str">
        <x:v>A01839</x:v>
      </x:c>
      <x:c r="C1845" s="21" t="str">
        <x:v>stage</x:v>
      </x:c>
      <x:c r="D1845" s="21" t="str">
        <x:v>stage 571 observed conservation</x:v>
      </x:c>
      <x:c r="E1845" s="21" t="n">
        <x:f>IF(AND(ABS('Stage Ledger'!R577-IF(AND('Stage Ledger'!P577=1,'Stage Ledger'!Q577=1),MIN('Stage Ledger'!F577,'Stage Ledger'!M577,'Stage Ledger'!R576),0))&lt;0.000001,'Stage Ledger'!S577=IF('Stage Ledger'!R577&gt;='Stage Ledger'!F577,"ADMITTED","NOT ADMITTED")),1,0)</x:f>
        <x:v>1</x:v>
      </x:c>
      <x:c r="F1845" s="21" t="n">
        <x:v>1</x:v>
      </x:c>
      <x:c r="G1845" s="23" t="str">
        <x:f>IF(E1845=F1845,"PASS","FAIL")</x:f>
        <x:v>PASS</x:v>
      </x:c>
    </x:row>
    <x:row r="1846">
      <x:c r="B1846" s="21" t="str">
        <x:v>A01840</x:v>
      </x:c>
      <x:c r="C1846" s="21" t="str">
        <x:v>stage</x:v>
      </x:c>
      <x:c r="D1846" s="21" t="str">
        <x:v>stage 572 planned conservation</x:v>
      </x:c>
      <x:c r="E1846" s="21" t="n">
        <x:f>IF(ABS('Stage Ledger'!J578-MIN('Stage Ledger'!F578,'Stage Ledger'!H578,'Stage Ledger'!I578))&lt;0.000001,1,0)</x:f>
        <x:v>1</x:v>
      </x:c>
      <x:c r="F1846" s="21" t="n">
        <x:v>1</x:v>
      </x:c>
      <x:c r="G1846" s="23" t="str">
        <x:f>IF(E1846=F1846,"PASS","FAIL")</x:f>
        <x:v>PASS</x:v>
      </x:c>
    </x:row>
    <x:row r="1847">
      <x:c r="B1847" s="21" t="str">
        <x:v>A01841</x:v>
      </x:c>
      <x:c r="C1847" s="21" t="str">
        <x:v>stage</x:v>
      </x:c>
      <x:c r="D1847" s="21" t="str">
        <x:v>stage 572 observed conservation</x:v>
      </x:c>
      <x:c r="E1847" s="21" t="n">
        <x:f>IF(AND(ABS('Stage Ledger'!R578-IF(AND('Stage Ledger'!P578=1,'Stage Ledger'!Q578=1),MIN('Stage Ledger'!F578,'Stage Ledger'!M578,'Stage Ledger'!R577),0))&lt;0.000001,'Stage Ledger'!S578=IF('Stage Ledger'!R578&gt;='Stage Ledger'!F578,"ADMITTED","NOT ADMITTED")),1,0)</x:f>
        <x:v>1</x:v>
      </x:c>
      <x:c r="F1847" s="21" t="n">
        <x:v>1</x:v>
      </x:c>
      <x:c r="G1847" s="23" t="str">
        <x:f>IF(E1847=F1847,"PASS","FAIL")</x:f>
        <x:v>PASS</x:v>
      </x:c>
    </x:row>
    <x:row r="1848">
      <x:c r="B1848" s="21" t="str">
        <x:v>A01842</x:v>
      </x:c>
      <x:c r="C1848" s="21" t="str">
        <x:v>stage</x:v>
      </x:c>
      <x:c r="D1848" s="21" t="str">
        <x:v>stage 573 planned conservation</x:v>
      </x:c>
      <x:c r="E1848" s="21" t="n">
        <x:f>IF(ABS('Stage Ledger'!J579-MIN('Stage Ledger'!F579,'Stage Ledger'!H579,'Stage Ledger'!I579))&lt;0.000001,1,0)</x:f>
        <x:v>1</x:v>
      </x:c>
      <x:c r="F1848" s="21" t="n">
        <x:v>1</x:v>
      </x:c>
      <x:c r="G1848" s="23" t="str">
        <x:f>IF(E1848=F1848,"PASS","FAIL")</x:f>
        <x:v>PASS</x:v>
      </x:c>
    </x:row>
    <x:row r="1849">
      <x:c r="B1849" s="21" t="str">
        <x:v>A01843</x:v>
      </x:c>
      <x:c r="C1849" s="21" t="str">
        <x:v>stage</x:v>
      </x:c>
      <x:c r="D1849" s="21" t="str">
        <x:v>stage 573 observed conservation</x:v>
      </x:c>
      <x:c r="E1849" s="21" t="n">
        <x:f>IF(AND(ABS('Stage Ledger'!R579-IF(AND('Stage Ledger'!P579=1,'Stage Ledger'!Q579=1),MIN('Stage Ledger'!F579,'Stage Ledger'!M579,'Stage Ledger'!R578),0))&lt;0.000001,'Stage Ledger'!S579=IF('Stage Ledger'!R579&gt;='Stage Ledger'!F579,"ADMITTED","NOT ADMITTED")),1,0)</x:f>
        <x:v>1</x:v>
      </x:c>
      <x:c r="F1849" s="21" t="n">
        <x:v>1</x:v>
      </x:c>
      <x:c r="G1849" s="23" t="str">
        <x:f>IF(E1849=F1849,"PASS","FAIL")</x:f>
        <x:v>PASS</x:v>
      </x:c>
    </x:row>
    <x:row r="1850">
      <x:c r="B1850" s="21" t="str">
        <x:v>A01844</x:v>
      </x:c>
      <x:c r="C1850" s="21" t="str">
        <x:v>stage</x:v>
      </x:c>
      <x:c r="D1850" s="21" t="str">
        <x:v>stage 574 planned conservation</x:v>
      </x:c>
      <x:c r="E1850" s="21" t="n">
        <x:f>IF(ABS('Stage Ledger'!J580-MIN('Stage Ledger'!F580,'Stage Ledger'!H580,'Stage Ledger'!I580))&lt;0.000001,1,0)</x:f>
        <x:v>1</x:v>
      </x:c>
      <x:c r="F1850" s="21" t="n">
        <x:v>1</x:v>
      </x:c>
      <x:c r="G1850" s="23" t="str">
        <x:f>IF(E1850=F1850,"PASS","FAIL")</x:f>
        <x:v>PASS</x:v>
      </x:c>
    </x:row>
    <x:row r="1851">
      <x:c r="B1851" s="21" t="str">
        <x:v>A01845</x:v>
      </x:c>
      <x:c r="C1851" s="21" t="str">
        <x:v>stage</x:v>
      </x:c>
      <x:c r="D1851" s="21" t="str">
        <x:v>stage 574 observed conservation</x:v>
      </x:c>
      <x:c r="E1851" s="21" t="n">
        <x:f>IF(AND(ABS('Stage Ledger'!R580-IF(AND('Stage Ledger'!P580=1,'Stage Ledger'!Q580=1),MIN('Stage Ledger'!F580,'Stage Ledger'!M580,'Stage Ledger'!R579),0))&lt;0.000001,'Stage Ledger'!S580=IF('Stage Ledger'!R580&gt;='Stage Ledger'!F580,"ADMITTED","NOT ADMITTED")),1,0)</x:f>
        <x:v>1</x:v>
      </x:c>
      <x:c r="F1851" s="21" t="n">
        <x:v>1</x:v>
      </x:c>
      <x:c r="G1851" s="23" t="str">
        <x:f>IF(E1851=F1851,"PASS","FAIL")</x:f>
        <x:v>PASS</x:v>
      </x:c>
    </x:row>
    <x:row r="1852">
      <x:c r="B1852" s="21" t="str">
        <x:v>A01846</x:v>
      </x:c>
      <x:c r="C1852" s="21" t="str">
        <x:v>stage</x:v>
      </x:c>
      <x:c r="D1852" s="21" t="str">
        <x:v>stage 575 planned conservation</x:v>
      </x:c>
      <x:c r="E1852" s="21" t="n">
        <x:f>IF(ABS('Stage Ledger'!J581-MIN('Stage Ledger'!F581,'Stage Ledger'!H581,'Stage Ledger'!I581))&lt;0.000001,1,0)</x:f>
        <x:v>1</x:v>
      </x:c>
      <x:c r="F1852" s="21" t="n">
        <x:v>1</x:v>
      </x:c>
      <x:c r="G1852" s="23" t="str">
        <x:f>IF(E1852=F1852,"PASS","FAIL")</x:f>
        <x:v>PASS</x:v>
      </x:c>
    </x:row>
    <x:row r="1853">
      <x:c r="B1853" s="21" t="str">
        <x:v>A01847</x:v>
      </x:c>
      <x:c r="C1853" s="21" t="str">
        <x:v>stage</x:v>
      </x:c>
      <x:c r="D1853" s="21" t="str">
        <x:v>stage 575 observed conservation</x:v>
      </x:c>
      <x:c r="E1853" s="21" t="n">
        <x:f>IF(AND(ABS('Stage Ledger'!R581-IF(AND('Stage Ledger'!P581=1,'Stage Ledger'!Q581=1),MIN('Stage Ledger'!F581,'Stage Ledger'!M581,'Stage Ledger'!R580),0))&lt;0.000001,'Stage Ledger'!S581=IF('Stage Ledger'!R581&gt;='Stage Ledger'!F581,"ADMITTED","NOT ADMITTED")),1,0)</x:f>
        <x:v>1</x:v>
      </x:c>
      <x:c r="F1853" s="21" t="n">
        <x:v>1</x:v>
      </x:c>
      <x:c r="G1853" s="23" t="str">
        <x:f>IF(E1853=F1853,"PASS","FAIL")</x:f>
        <x:v>PASS</x:v>
      </x:c>
    </x:row>
    <x:row r="1854">
      <x:c r="B1854" s="21" t="str">
        <x:v>A01848</x:v>
      </x:c>
      <x:c r="C1854" s="21" t="str">
        <x:v>stage</x:v>
      </x:c>
      <x:c r="D1854" s="21" t="str">
        <x:v>stage 576 planned conservation</x:v>
      </x:c>
      <x:c r="E1854" s="21" t="n">
        <x:f>IF(ABS('Stage Ledger'!J582-MIN('Stage Ledger'!F582,'Stage Ledger'!H582,'Stage Ledger'!I582))&lt;0.000001,1,0)</x:f>
        <x:v>1</x:v>
      </x:c>
      <x:c r="F1854" s="21" t="n">
        <x:v>1</x:v>
      </x:c>
      <x:c r="G1854" s="23" t="str">
        <x:f>IF(E1854=F1854,"PASS","FAIL")</x:f>
        <x:v>PASS</x:v>
      </x:c>
    </x:row>
    <x:row r="1855">
      <x:c r="B1855" s="21" t="str">
        <x:v>A01849</x:v>
      </x:c>
      <x:c r="C1855" s="21" t="str">
        <x:v>stage</x:v>
      </x:c>
      <x:c r="D1855" s="21" t="str">
        <x:v>stage 576 observed conservation</x:v>
      </x:c>
      <x:c r="E1855" s="21" t="n">
        <x:f>IF(AND(ABS('Stage Ledger'!R582-IF(AND('Stage Ledger'!P582=1,'Stage Ledger'!Q582=1),MIN('Stage Ledger'!F582,'Stage Ledger'!M582,'Stage Ledger'!R581),0))&lt;0.000001,'Stage Ledger'!S582=IF('Stage Ledger'!R582&gt;='Stage Ledger'!F582,"ADMITTED","NOT ADMITTED")),1,0)</x:f>
        <x:v>1</x:v>
      </x:c>
      <x:c r="F1855" s="21" t="n">
        <x:v>1</x:v>
      </x:c>
      <x:c r="G1855" s="23" t="str">
        <x:f>IF(E1855=F1855,"PASS","FAIL")</x:f>
        <x:v>PASS</x:v>
      </x:c>
    </x:row>
    <x:row r="1856">
      <x:c r="B1856" s="21" t="str">
        <x:v>A01850</x:v>
      </x:c>
      <x:c r="C1856" s="21" t="str">
        <x:v>sample</x:v>
      </x:c>
      <x:c r="D1856" s="21" t="str">
        <x:v>node class 1 coverage</x:v>
      </x:c>
      <x:c r="E1856" s="21" t="n">
        <x:f>IF('Industrial Sampling'!H7='Industrial Sampling'!D7,1,0)</x:f>
        <x:v>1</x:v>
      </x:c>
      <x:c r="F1856" s="21" t="n">
        <x:v>1</x:v>
      </x:c>
      <x:c r="G1856" s="23" t="str">
        <x:f>IF(E1856=F1856,"PASS","FAIL")</x:f>
        <x:v>PASS</x:v>
      </x:c>
    </x:row>
    <x:row r="1857">
      <x:c r="B1857" s="21" t="str">
        <x:v>A01851</x:v>
      </x:c>
      <x:c r="C1857" s="21" t="str">
        <x:v>sample</x:v>
      </x:c>
      <x:c r="D1857" s="21" t="str">
        <x:v>node class 1 interval</x:v>
      </x:c>
      <x:c r="E1857" s="21" t="n">
        <x:f>IF('Industrial Sampling'!F7&lt;=Assumptions!C12,1,0)</x:f>
        <x:v>1</x:v>
      </x:c>
      <x:c r="F1857" s="21" t="n">
        <x:v>1</x:v>
      </x:c>
      <x:c r="G1857" s="23" t="str">
        <x:f>IF(E1857=F1857,"PASS","FAIL")</x:f>
        <x:v>PASS</x:v>
      </x:c>
    </x:row>
    <x:row r="1858">
      <x:c r="B1858" s="21" t="str">
        <x:v>A01852</x:v>
      </x:c>
      <x:c r="C1858" s="21" t="str">
        <x:v>sample</x:v>
      </x:c>
      <x:c r="D1858" s="21" t="str">
        <x:v>node class 2 coverage</x:v>
      </x:c>
      <x:c r="E1858" s="21" t="n">
        <x:f>IF('Industrial Sampling'!H8='Industrial Sampling'!D8,1,0)</x:f>
        <x:v>1</x:v>
      </x:c>
      <x:c r="F1858" s="21" t="n">
        <x:v>1</x:v>
      </x:c>
      <x:c r="G1858" s="23" t="str">
        <x:f>IF(E1858=F1858,"PASS","FAIL")</x:f>
        <x:v>PASS</x:v>
      </x:c>
    </x:row>
    <x:row r="1859">
      <x:c r="B1859" s="21" t="str">
        <x:v>A01853</x:v>
      </x:c>
      <x:c r="C1859" s="21" t="str">
        <x:v>sample</x:v>
      </x:c>
      <x:c r="D1859" s="21" t="str">
        <x:v>node class 2 interval</x:v>
      </x:c>
      <x:c r="E1859" s="21" t="n">
        <x:f>IF('Industrial Sampling'!F8&lt;=Assumptions!C12,1,0)</x:f>
        <x:v>1</x:v>
      </x:c>
      <x:c r="F1859" s="21" t="n">
        <x:v>1</x:v>
      </x:c>
      <x:c r="G1859" s="23" t="str">
        <x:f>IF(E1859=F1859,"PASS","FAIL")</x:f>
        <x:v>PASS</x:v>
      </x:c>
    </x:row>
    <x:row r="1860">
      <x:c r="B1860" s="21" t="str">
        <x:v>A01854</x:v>
      </x:c>
      <x:c r="C1860" s="21" t="str">
        <x:v>sample</x:v>
      </x:c>
      <x:c r="D1860" s="21" t="str">
        <x:v>node class 3 coverage</x:v>
      </x:c>
      <x:c r="E1860" s="21" t="n">
        <x:f>IF('Industrial Sampling'!H9='Industrial Sampling'!D9,1,0)</x:f>
        <x:v>1</x:v>
      </x:c>
      <x:c r="F1860" s="21" t="n">
        <x:v>1</x:v>
      </x:c>
      <x:c r="G1860" s="23" t="str">
        <x:f>IF(E1860=F1860,"PASS","FAIL")</x:f>
        <x:v>PASS</x:v>
      </x:c>
    </x:row>
    <x:row r="1861">
      <x:c r="B1861" s="21" t="str">
        <x:v>A01855</x:v>
      </x:c>
      <x:c r="C1861" s="21" t="str">
        <x:v>sample</x:v>
      </x:c>
      <x:c r="D1861" s="21" t="str">
        <x:v>node class 3 interval</x:v>
      </x:c>
      <x:c r="E1861" s="21" t="n">
        <x:f>IF('Industrial Sampling'!F9&lt;=Assumptions!C12,1,0)</x:f>
        <x:v>1</x:v>
      </x:c>
      <x:c r="F1861" s="21" t="n">
        <x:v>1</x:v>
      </x:c>
      <x:c r="G1861" s="23" t="str">
        <x:f>IF(E1861=F1861,"PASS","FAIL")</x:f>
        <x:v>PASS</x:v>
      </x:c>
    </x:row>
    <x:row r="1862">
      <x:c r="B1862" s="21" t="str">
        <x:v>A01856</x:v>
      </x:c>
      <x:c r="C1862" s="21" t="str">
        <x:v>sample</x:v>
      </x:c>
      <x:c r="D1862" s="21" t="str">
        <x:v>node class 4 coverage</x:v>
      </x:c>
      <x:c r="E1862" s="21" t="n">
        <x:f>IF('Industrial Sampling'!H10='Industrial Sampling'!D10,1,0)</x:f>
        <x:v>1</x:v>
      </x:c>
      <x:c r="F1862" s="21" t="n">
        <x:v>1</x:v>
      </x:c>
      <x:c r="G1862" s="23" t="str">
        <x:f>IF(E1862=F1862,"PASS","FAIL")</x:f>
        <x:v>PASS</x:v>
      </x:c>
    </x:row>
    <x:row r="1863">
      <x:c r="B1863" s="21" t="str">
        <x:v>A01857</x:v>
      </x:c>
      <x:c r="C1863" s="21" t="str">
        <x:v>sample</x:v>
      </x:c>
      <x:c r="D1863" s="21" t="str">
        <x:v>node class 4 interval</x:v>
      </x:c>
      <x:c r="E1863" s="21" t="n">
        <x:f>IF('Industrial Sampling'!F10&lt;=Assumptions!C12,1,0)</x:f>
        <x:v>1</x:v>
      </x:c>
      <x:c r="F1863" s="21" t="n">
        <x:v>1</x:v>
      </x:c>
      <x:c r="G1863" s="23" t="str">
        <x:f>IF(E1863=F1863,"PASS","FAIL")</x:f>
        <x:v>PASS</x:v>
      </x:c>
    </x:row>
    <x:row r="1864">
      <x:c r="B1864" s="21" t="str">
        <x:v>A01858</x:v>
      </x:c>
      <x:c r="C1864" s="21" t="str">
        <x:v>sample</x:v>
      </x:c>
      <x:c r="D1864" s="21" t="str">
        <x:v>node class 5 coverage</x:v>
      </x:c>
      <x:c r="E1864" s="21" t="n">
        <x:f>IF('Industrial Sampling'!H11='Industrial Sampling'!D11,1,0)</x:f>
        <x:v>1</x:v>
      </x:c>
      <x:c r="F1864" s="21" t="n">
        <x:v>1</x:v>
      </x:c>
      <x:c r="G1864" s="23" t="str">
        <x:f>IF(E1864=F1864,"PASS","FAIL")</x:f>
        <x:v>PASS</x:v>
      </x:c>
    </x:row>
    <x:row r="1865">
      <x:c r="B1865" s="21" t="str">
        <x:v>A01859</x:v>
      </x:c>
      <x:c r="C1865" s="21" t="str">
        <x:v>sample</x:v>
      </x:c>
      <x:c r="D1865" s="21" t="str">
        <x:v>node class 5 interval</x:v>
      </x:c>
      <x:c r="E1865" s="21" t="n">
        <x:f>IF('Industrial Sampling'!F11&lt;=Assumptions!C12,1,0)</x:f>
        <x:v>1</x:v>
      </x:c>
      <x:c r="F1865" s="21" t="n">
        <x:v>1</x:v>
      </x:c>
      <x:c r="G1865" s="23" t="str">
        <x:f>IF(E1865=F1865,"PASS","FAIL")</x:f>
        <x:v>PASS</x:v>
      </x:c>
    </x:row>
    <x:row r="1866">
      <x:c r="B1866" s="21" t="str">
        <x:v>A01860</x:v>
      </x:c>
      <x:c r="C1866" s="21" t="str">
        <x:v>sample</x:v>
      </x:c>
      <x:c r="D1866" s="21" t="str">
        <x:v>node class 6 coverage</x:v>
      </x:c>
      <x:c r="E1866" s="21" t="n">
        <x:f>IF('Industrial Sampling'!H12='Industrial Sampling'!D12,1,0)</x:f>
        <x:v>1</x:v>
      </x:c>
      <x:c r="F1866" s="21" t="n">
        <x:v>1</x:v>
      </x:c>
      <x:c r="G1866" s="23" t="str">
        <x:f>IF(E1866=F1866,"PASS","FAIL")</x:f>
        <x:v>PASS</x:v>
      </x:c>
    </x:row>
    <x:row r="1867">
      <x:c r="B1867" s="21" t="str">
        <x:v>A01861</x:v>
      </x:c>
      <x:c r="C1867" s="21" t="str">
        <x:v>sample</x:v>
      </x:c>
      <x:c r="D1867" s="21" t="str">
        <x:v>node class 6 interval</x:v>
      </x:c>
      <x:c r="E1867" s="21" t="n">
        <x:f>IF('Industrial Sampling'!F12&lt;=Assumptions!C12,1,0)</x:f>
        <x:v>1</x:v>
      </x:c>
      <x:c r="F1867" s="21" t="n">
        <x:v>1</x:v>
      </x:c>
      <x:c r="G1867" s="23" t="str">
        <x:f>IF(E1867=F1867,"PASS","FAIL")</x:f>
        <x:v>PASS</x:v>
      </x:c>
    </x:row>
    <x:row r="1868">
      <x:c r="B1868" s="21" t="str">
        <x:v>A01862</x:v>
      </x:c>
      <x:c r="C1868" s="21" t="str">
        <x:v>event</x:v>
      </x:c>
      <x:c r="D1868" s="21" t="str">
        <x:v>event 1 cost positive</x:v>
      </x:c>
      <x:c r="E1868" s="21" t="n">
        <x:f>IF('Exercise Events'!F7&gt;0,1,0)</x:f>
        <x:v>1</x:v>
      </x:c>
      <x:c r="F1868" s="21" t="n">
        <x:v>1</x:v>
      </x:c>
      <x:c r="G1868" s="23" t="str">
        <x:f>IF(E1868=F1868,"PASS","FAIL")</x:f>
        <x:v>PASS</x:v>
      </x:c>
    </x:row>
    <x:row r="1869">
      <x:c r="B1869" s="21" t="str">
        <x:v>A01863</x:v>
      </x:c>
      <x:c r="C1869" s="21" t="str">
        <x:v>event</x:v>
      </x:c>
      <x:c r="D1869" s="21" t="str">
        <x:v>event 1 share</x:v>
      </x:c>
      <x:c r="E1869" s="21" t="n">
        <x:f>IF(ABS('Exercise Events'!G7-'Exercise Events'!F7/SUM('Exercise Events'!$F$7:$F$13))&lt;0.000001,1,0)</x:f>
        <x:v>1</x:v>
      </x:c>
      <x:c r="F1869" s="21" t="n">
        <x:v>1</x:v>
      </x:c>
      <x:c r="G1869" s="23" t="str">
        <x:f>IF(E1869=F1869,"PASS","FAIL")</x:f>
        <x:v>PASS</x:v>
      </x:c>
    </x:row>
    <x:row r="1870">
      <x:c r="B1870" s="21" t="str">
        <x:v>A01864</x:v>
      </x:c>
      <x:c r="C1870" s="21" t="str">
        <x:v>event</x:v>
      </x:c>
      <x:c r="D1870" s="21" t="str">
        <x:v>event 2 cost positive</x:v>
      </x:c>
      <x:c r="E1870" s="21" t="n">
        <x:f>IF('Exercise Events'!F8&gt;0,1,0)</x:f>
        <x:v>1</x:v>
      </x:c>
      <x:c r="F1870" s="21" t="n">
        <x:v>1</x:v>
      </x:c>
      <x:c r="G1870" s="23" t="str">
        <x:f>IF(E1870=F1870,"PASS","FAIL")</x:f>
        <x:v>PASS</x:v>
      </x:c>
    </x:row>
    <x:row r="1871">
      <x:c r="B1871" s="21" t="str">
        <x:v>A01865</x:v>
      </x:c>
      <x:c r="C1871" s="21" t="str">
        <x:v>event</x:v>
      </x:c>
      <x:c r="D1871" s="21" t="str">
        <x:v>event 2 share</x:v>
      </x:c>
      <x:c r="E1871" s="21" t="n">
        <x:f>IF(ABS('Exercise Events'!G8-'Exercise Events'!F8/SUM('Exercise Events'!$F$7:$F$13))&lt;0.000001,1,0)</x:f>
        <x:v>1</x:v>
      </x:c>
      <x:c r="F1871" s="21" t="n">
        <x:v>1</x:v>
      </x:c>
      <x:c r="G1871" s="23" t="str">
        <x:f>IF(E1871=F1871,"PASS","FAIL")</x:f>
        <x:v>PASS</x:v>
      </x:c>
    </x:row>
    <x:row r="1872">
      <x:c r="B1872" s="21" t="str">
        <x:v>A01866</x:v>
      </x:c>
      <x:c r="C1872" s="21" t="str">
        <x:v>event</x:v>
      </x:c>
      <x:c r="D1872" s="21" t="str">
        <x:v>event 3 cost positive</x:v>
      </x:c>
      <x:c r="E1872" s="21" t="n">
        <x:f>IF('Exercise Events'!F9&gt;0,1,0)</x:f>
        <x:v>1</x:v>
      </x:c>
      <x:c r="F1872" s="21" t="n">
        <x:v>1</x:v>
      </x:c>
      <x:c r="G1872" s="23" t="str">
        <x:f>IF(E1872=F1872,"PASS","FAIL")</x:f>
        <x:v>PASS</x:v>
      </x:c>
    </x:row>
    <x:row r="1873">
      <x:c r="B1873" s="21" t="str">
        <x:v>A01867</x:v>
      </x:c>
      <x:c r="C1873" s="21" t="str">
        <x:v>event</x:v>
      </x:c>
      <x:c r="D1873" s="21" t="str">
        <x:v>event 3 share</x:v>
      </x:c>
      <x:c r="E1873" s="21" t="n">
        <x:f>IF(ABS('Exercise Events'!G9-'Exercise Events'!F9/SUM('Exercise Events'!$F$7:$F$13))&lt;0.000001,1,0)</x:f>
        <x:v>1</x:v>
      </x:c>
      <x:c r="F1873" s="21" t="n">
        <x:v>1</x:v>
      </x:c>
      <x:c r="G1873" s="23" t="str">
        <x:f>IF(E1873=F1873,"PASS","FAIL")</x:f>
        <x:v>PASS</x:v>
      </x:c>
    </x:row>
    <x:row r="1874">
      <x:c r="B1874" s="21" t="str">
        <x:v>A01868</x:v>
      </x:c>
      <x:c r="C1874" s="21" t="str">
        <x:v>event</x:v>
      </x:c>
      <x:c r="D1874" s="21" t="str">
        <x:v>event 4 cost positive</x:v>
      </x:c>
      <x:c r="E1874" s="21" t="n">
        <x:f>IF('Exercise Events'!F10&gt;0,1,0)</x:f>
        <x:v>1</x:v>
      </x:c>
      <x:c r="F1874" s="21" t="n">
        <x:v>1</x:v>
      </x:c>
      <x:c r="G1874" s="23" t="str">
        <x:f>IF(E1874=F1874,"PASS","FAIL")</x:f>
        <x:v>PASS</x:v>
      </x:c>
    </x:row>
    <x:row r="1875">
      <x:c r="B1875" s="21" t="str">
        <x:v>A01869</x:v>
      </x:c>
      <x:c r="C1875" s="21" t="str">
        <x:v>event</x:v>
      </x:c>
      <x:c r="D1875" s="21" t="str">
        <x:v>event 4 share</x:v>
      </x:c>
      <x:c r="E1875" s="21" t="n">
        <x:f>IF(ABS('Exercise Events'!G10-'Exercise Events'!F10/SUM('Exercise Events'!$F$7:$F$13))&lt;0.000001,1,0)</x:f>
        <x:v>1</x:v>
      </x:c>
      <x:c r="F1875" s="21" t="n">
        <x:v>1</x:v>
      </x:c>
      <x:c r="G1875" s="23" t="str">
        <x:f>IF(E1875=F1875,"PASS","FAIL")</x:f>
        <x:v>PASS</x:v>
      </x:c>
    </x:row>
    <x:row r="1876">
      <x:c r="B1876" s="21" t="str">
        <x:v>A01870</x:v>
      </x:c>
      <x:c r="C1876" s="21" t="str">
        <x:v>event</x:v>
      </x:c>
      <x:c r="D1876" s="21" t="str">
        <x:v>event 5 cost positive</x:v>
      </x:c>
      <x:c r="E1876" s="21" t="n">
        <x:f>IF('Exercise Events'!F11&gt;0,1,0)</x:f>
        <x:v>1</x:v>
      </x:c>
      <x:c r="F1876" s="21" t="n">
        <x:v>1</x:v>
      </x:c>
      <x:c r="G1876" s="23" t="str">
        <x:f>IF(E1876=F1876,"PASS","FAIL")</x:f>
        <x:v>PASS</x:v>
      </x:c>
    </x:row>
    <x:row r="1877">
      <x:c r="B1877" s="21" t="str">
        <x:v>A01871</x:v>
      </x:c>
      <x:c r="C1877" s="21" t="str">
        <x:v>event</x:v>
      </x:c>
      <x:c r="D1877" s="21" t="str">
        <x:v>event 5 share</x:v>
      </x:c>
      <x:c r="E1877" s="21" t="n">
        <x:f>IF(ABS('Exercise Events'!G11-'Exercise Events'!F11/SUM('Exercise Events'!$F$7:$F$13))&lt;0.000001,1,0)</x:f>
        <x:v>1</x:v>
      </x:c>
      <x:c r="F1877" s="21" t="n">
        <x:v>1</x:v>
      </x:c>
      <x:c r="G1877" s="23" t="str">
        <x:f>IF(E1877=F1877,"PASS","FAIL")</x:f>
        <x:v>PASS</x:v>
      </x:c>
    </x:row>
    <x:row r="1878">
      <x:c r="B1878" s="21" t="str">
        <x:v>A01872</x:v>
      </x:c>
      <x:c r="C1878" s="21" t="str">
        <x:v>event</x:v>
      </x:c>
      <x:c r="D1878" s="21" t="str">
        <x:v>event 6 cost positive</x:v>
      </x:c>
      <x:c r="E1878" s="21" t="n">
        <x:f>IF('Exercise Events'!F12&gt;0,1,0)</x:f>
        <x:v>1</x:v>
      </x:c>
      <x:c r="F1878" s="21" t="n">
        <x:v>1</x:v>
      </x:c>
      <x:c r="G1878" s="23" t="str">
        <x:f>IF(E1878=F1878,"PASS","FAIL")</x:f>
        <x:v>PASS</x:v>
      </x:c>
    </x:row>
    <x:row r="1879">
      <x:c r="B1879" s="21" t="str">
        <x:v>A01873</x:v>
      </x:c>
      <x:c r="C1879" s="21" t="str">
        <x:v>event</x:v>
      </x:c>
      <x:c r="D1879" s="21" t="str">
        <x:v>event 6 share</x:v>
      </x:c>
      <x:c r="E1879" s="21" t="n">
        <x:f>IF(ABS('Exercise Events'!G12-'Exercise Events'!F12/SUM('Exercise Events'!$F$7:$F$13))&lt;0.000001,1,0)</x:f>
        <x:v>1</x:v>
      </x:c>
      <x:c r="F1879" s="21" t="n">
        <x:v>1</x:v>
      </x:c>
      <x:c r="G1879" s="23" t="str">
        <x:f>IF(E1879=F1879,"PASS","FAIL")</x:f>
        <x:v>PASS</x:v>
      </x:c>
    </x:row>
    <x:row r="1880">
      <x:c r="B1880" s="21" t="str">
        <x:v>A01874</x:v>
      </x:c>
      <x:c r="C1880" s="21" t="str">
        <x:v>event</x:v>
      </x:c>
      <x:c r="D1880" s="21" t="str">
        <x:v>event 7 cost positive</x:v>
      </x:c>
      <x:c r="E1880" s="21" t="n">
        <x:f>IF('Exercise Events'!F13&gt;0,1,0)</x:f>
        <x:v>1</x:v>
      </x:c>
      <x:c r="F1880" s="21" t="n">
        <x:v>1</x:v>
      </x:c>
      <x:c r="G1880" s="23" t="str">
        <x:f>IF(E1880=F1880,"PASS","FAIL")</x:f>
        <x:v>PASS</x:v>
      </x:c>
    </x:row>
    <x:row r="1881">
      <x:c r="B1881" s="21" t="str">
        <x:v>A01875</x:v>
      </x:c>
      <x:c r="C1881" s="21" t="str">
        <x:v>event</x:v>
      </x:c>
      <x:c r="D1881" s="21" t="str">
        <x:v>event 7 share</x:v>
      </x:c>
      <x:c r="E1881" s="21" t="n">
        <x:f>IF(ABS('Exercise Events'!G13-'Exercise Events'!F13/SUM('Exercise Events'!$F$7:$F$13))&lt;0.000001,1,0)</x:f>
        <x:v>1</x:v>
      </x:c>
      <x:c r="F1881" s="21" t="n">
        <x:v>1</x:v>
      </x:c>
      <x:c r="G1881" s="23" t="str">
        <x:f>IF(E1881=F1881,"PASS","FAIL")</x:f>
        <x:v>PASS</x:v>
      </x:c>
    </x:row>
    <x:row r="1882">
      <x:c r="B1882" s="21" t="str">
        <x:v>A01876</x:v>
      </x:c>
      <x:c r="C1882" s="21" t="str">
        <x:v>inject</x:v>
      </x:c>
      <x:c r="D1882" s="21" t="str">
        <x:v>inject 1 custody</x:v>
      </x:c>
      <x:c r="E1882" s="21" t="n">
        <x:f>IF('Inject Register'!G7="Joint exercise white cell",1,0)</x:f>
        <x:v>1</x:v>
      </x:c>
      <x:c r="F1882" s="21" t="n">
        <x:v>1</x:v>
      </x:c>
      <x:c r="G1882" s="23" t="str">
        <x:f>IF(E1882=F1882,"PASS","FAIL")</x:f>
        <x:v>PASS</x:v>
      </x:c>
    </x:row>
    <x:row r="1883">
      <x:c r="B1883" s="21" t="str">
        <x:v>A01877</x:v>
      </x:c>
      <x:c r="C1883" s="21" t="str">
        <x:v>inject</x:v>
      </x:c>
      <x:c r="D1883" s="21" t="str">
        <x:v>inject 1 state</x:v>
      </x:c>
      <x:c r="E1883" s="21" t="n">
        <x:f>IF(AND('Inject Register'!I7="OPEN",'Inject Register'!J7="HOLD"),1,0)</x:f>
        <x:v>1</x:v>
      </x:c>
      <x:c r="F1883" s="21" t="n">
        <x:v>1</x:v>
      </x:c>
      <x:c r="G1883" s="23" t="str">
        <x:f>IF(E1883=F1883,"PASS","FAIL")</x:f>
        <x:v>PASS</x:v>
      </x:c>
    </x:row>
    <x:row r="1884">
      <x:c r="B1884" s="21" t="str">
        <x:v>A01878</x:v>
      </x:c>
      <x:c r="C1884" s="21" t="str">
        <x:v>inject</x:v>
      </x:c>
      <x:c r="D1884" s="21" t="str">
        <x:v>inject 2 custody</x:v>
      </x:c>
      <x:c r="E1884" s="21" t="n">
        <x:f>IF('Inject Register'!G8="Joint exercise white cell",1,0)</x:f>
        <x:v>1</x:v>
      </x:c>
      <x:c r="F1884" s="21" t="n">
        <x:v>1</x:v>
      </x:c>
      <x:c r="G1884" s="23" t="str">
        <x:f>IF(E1884=F1884,"PASS","FAIL")</x:f>
        <x:v>PASS</x:v>
      </x:c>
    </x:row>
    <x:row r="1885">
      <x:c r="B1885" s="21" t="str">
        <x:v>A01879</x:v>
      </x:c>
      <x:c r="C1885" s="21" t="str">
        <x:v>inject</x:v>
      </x:c>
      <x:c r="D1885" s="21" t="str">
        <x:v>inject 2 state</x:v>
      </x:c>
      <x:c r="E1885" s="21" t="n">
        <x:f>IF(AND('Inject Register'!I8="OPEN",'Inject Register'!J8="HOLD"),1,0)</x:f>
        <x:v>1</x:v>
      </x:c>
      <x:c r="F1885" s="21" t="n">
        <x:v>1</x:v>
      </x:c>
      <x:c r="G1885" s="23" t="str">
        <x:f>IF(E1885=F1885,"PASS","FAIL")</x:f>
        <x:v>PASS</x:v>
      </x:c>
    </x:row>
    <x:row r="1886">
      <x:c r="B1886" s="21" t="str">
        <x:v>A01880</x:v>
      </x:c>
      <x:c r="C1886" s="21" t="str">
        <x:v>inject</x:v>
      </x:c>
      <x:c r="D1886" s="21" t="str">
        <x:v>inject 3 custody</x:v>
      </x:c>
      <x:c r="E1886" s="21" t="n">
        <x:f>IF('Inject Register'!G9="Joint exercise white cell",1,0)</x:f>
        <x:v>1</x:v>
      </x:c>
      <x:c r="F1886" s="21" t="n">
        <x:v>1</x:v>
      </x:c>
      <x:c r="G1886" s="23" t="str">
        <x:f>IF(E1886=F1886,"PASS","FAIL")</x:f>
        <x:v>PASS</x:v>
      </x:c>
    </x:row>
    <x:row r="1887">
      <x:c r="B1887" s="21" t="str">
        <x:v>A01881</x:v>
      </x:c>
      <x:c r="C1887" s="21" t="str">
        <x:v>inject</x:v>
      </x:c>
      <x:c r="D1887" s="21" t="str">
        <x:v>inject 3 state</x:v>
      </x:c>
      <x:c r="E1887" s="21" t="n">
        <x:f>IF(AND('Inject Register'!I9="OPEN",'Inject Register'!J9="HOLD"),1,0)</x:f>
        <x:v>1</x:v>
      </x:c>
      <x:c r="F1887" s="21" t="n">
        <x:v>1</x:v>
      </x:c>
      <x:c r="G1887" s="23" t="str">
        <x:f>IF(E1887=F1887,"PASS","FAIL")</x:f>
        <x:v>PASS</x:v>
      </x:c>
    </x:row>
    <x:row r="1888">
      <x:c r="B1888" s="21" t="str">
        <x:v>A01882</x:v>
      </x:c>
      <x:c r="C1888" s="21" t="str">
        <x:v>inject</x:v>
      </x:c>
      <x:c r="D1888" s="21" t="str">
        <x:v>inject 4 custody</x:v>
      </x:c>
      <x:c r="E1888" s="21" t="n">
        <x:f>IF('Inject Register'!G10="Joint exercise white cell",1,0)</x:f>
        <x:v>1</x:v>
      </x:c>
      <x:c r="F1888" s="21" t="n">
        <x:v>1</x:v>
      </x:c>
      <x:c r="G1888" s="23" t="str">
        <x:f>IF(E1888=F1888,"PASS","FAIL")</x:f>
        <x:v>PASS</x:v>
      </x:c>
    </x:row>
    <x:row r="1889">
      <x:c r="B1889" s="21" t="str">
        <x:v>A01883</x:v>
      </x:c>
      <x:c r="C1889" s="21" t="str">
        <x:v>inject</x:v>
      </x:c>
      <x:c r="D1889" s="21" t="str">
        <x:v>inject 4 state</x:v>
      </x:c>
      <x:c r="E1889" s="21" t="n">
        <x:f>IF(AND('Inject Register'!I10="OPEN",'Inject Register'!J10="HOLD"),1,0)</x:f>
        <x:v>1</x:v>
      </x:c>
      <x:c r="F1889" s="21" t="n">
        <x:v>1</x:v>
      </x:c>
      <x:c r="G1889" s="23" t="str">
        <x:f>IF(E1889=F1889,"PASS","FAIL")</x:f>
        <x:v>PASS</x:v>
      </x:c>
    </x:row>
    <x:row r="1890">
      <x:c r="B1890" s="21" t="str">
        <x:v>A01884</x:v>
      </x:c>
      <x:c r="C1890" s="21" t="str">
        <x:v>inject</x:v>
      </x:c>
      <x:c r="D1890" s="21" t="str">
        <x:v>inject 5 custody</x:v>
      </x:c>
      <x:c r="E1890" s="21" t="n">
        <x:f>IF('Inject Register'!G11="Joint exercise white cell",1,0)</x:f>
        <x:v>1</x:v>
      </x:c>
      <x:c r="F1890" s="21" t="n">
        <x:v>1</x:v>
      </x:c>
      <x:c r="G1890" s="23" t="str">
        <x:f>IF(E1890=F1890,"PASS","FAIL")</x:f>
        <x:v>PASS</x:v>
      </x:c>
    </x:row>
    <x:row r="1891">
      <x:c r="B1891" s="21" t="str">
        <x:v>A01885</x:v>
      </x:c>
      <x:c r="C1891" s="21" t="str">
        <x:v>inject</x:v>
      </x:c>
      <x:c r="D1891" s="21" t="str">
        <x:v>inject 5 state</x:v>
      </x:c>
      <x:c r="E1891" s="21" t="n">
        <x:f>IF(AND('Inject Register'!I11="OPEN",'Inject Register'!J11="HOLD"),1,0)</x:f>
        <x:v>1</x:v>
      </x:c>
      <x:c r="F1891" s="21" t="n">
        <x:v>1</x:v>
      </x:c>
      <x:c r="G1891" s="23" t="str">
        <x:f>IF(E1891=F1891,"PASS","FAIL")</x:f>
        <x:v>PASS</x:v>
      </x:c>
    </x:row>
    <x:row r="1892">
      <x:c r="B1892" s="21" t="str">
        <x:v>A01886</x:v>
      </x:c>
      <x:c r="C1892" s="21" t="str">
        <x:v>inject</x:v>
      </x:c>
      <x:c r="D1892" s="21" t="str">
        <x:v>inject 6 custody</x:v>
      </x:c>
      <x:c r="E1892" s="21" t="n">
        <x:f>IF('Inject Register'!G12="Joint exercise white cell",1,0)</x:f>
        <x:v>1</x:v>
      </x:c>
      <x:c r="F1892" s="21" t="n">
        <x:v>1</x:v>
      </x:c>
      <x:c r="G1892" s="23" t="str">
        <x:f>IF(E1892=F1892,"PASS","FAIL")</x:f>
        <x:v>PASS</x:v>
      </x:c>
    </x:row>
    <x:row r="1893">
      <x:c r="B1893" s="21" t="str">
        <x:v>A01887</x:v>
      </x:c>
      <x:c r="C1893" s="21" t="str">
        <x:v>inject</x:v>
      </x:c>
      <x:c r="D1893" s="21" t="str">
        <x:v>inject 6 state</x:v>
      </x:c>
      <x:c r="E1893" s="21" t="n">
        <x:f>IF(AND('Inject Register'!I12="OPEN",'Inject Register'!J12="HOLD"),1,0)</x:f>
        <x:v>1</x:v>
      </x:c>
      <x:c r="F1893" s="21" t="n">
        <x:v>1</x:v>
      </x:c>
      <x:c r="G1893" s="23" t="str">
        <x:f>IF(E1893=F1893,"PASS","FAIL")</x:f>
        <x:v>PASS</x:v>
      </x:c>
    </x:row>
    <x:row r="1894">
      <x:c r="B1894" s="21" t="str">
        <x:v>A01888</x:v>
      </x:c>
      <x:c r="C1894" s="21" t="str">
        <x:v>inject</x:v>
      </x:c>
      <x:c r="D1894" s="21" t="str">
        <x:v>inject 7 custody</x:v>
      </x:c>
      <x:c r="E1894" s="21" t="n">
        <x:f>IF('Inject Register'!G13="Joint exercise white cell",1,0)</x:f>
        <x:v>1</x:v>
      </x:c>
      <x:c r="F1894" s="21" t="n">
        <x:v>1</x:v>
      </x:c>
      <x:c r="G1894" s="23" t="str">
        <x:f>IF(E1894=F1894,"PASS","FAIL")</x:f>
        <x:v>PASS</x:v>
      </x:c>
    </x:row>
    <x:row r="1895">
      <x:c r="B1895" s="21" t="str">
        <x:v>A01889</x:v>
      </x:c>
      <x:c r="C1895" s="21" t="str">
        <x:v>inject</x:v>
      </x:c>
      <x:c r="D1895" s="21" t="str">
        <x:v>inject 7 state</x:v>
      </x:c>
      <x:c r="E1895" s="21" t="n">
        <x:f>IF(AND('Inject Register'!I13="OPEN",'Inject Register'!J13="HOLD"),1,0)</x:f>
        <x:v>1</x:v>
      </x:c>
      <x:c r="F1895" s="21" t="n">
        <x:v>1</x:v>
      </x:c>
      <x:c r="G1895" s="23" t="str">
        <x:f>IF(E1895=F1895,"PASS","FAIL")</x:f>
        <x:v>PASS</x:v>
      </x:c>
    </x:row>
    <x:row r="1896">
      <x:c r="B1896" s="21" t="str">
        <x:v>A01890</x:v>
      </x:c>
      <x:c r="C1896" s="21" t="str">
        <x:v>inject</x:v>
      </x:c>
      <x:c r="D1896" s="21" t="str">
        <x:v>inject 8 custody</x:v>
      </x:c>
      <x:c r="E1896" s="21" t="n">
        <x:f>IF('Inject Register'!G14="Joint exercise white cell",1,0)</x:f>
        <x:v>1</x:v>
      </x:c>
      <x:c r="F1896" s="21" t="n">
        <x:v>1</x:v>
      </x:c>
      <x:c r="G1896" s="23" t="str">
        <x:f>IF(E1896=F1896,"PASS","FAIL")</x:f>
        <x:v>PASS</x:v>
      </x:c>
    </x:row>
    <x:row r="1897">
      <x:c r="B1897" s="21" t="str">
        <x:v>A01891</x:v>
      </x:c>
      <x:c r="C1897" s="21" t="str">
        <x:v>inject</x:v>
      </x:c>
      <x:c r="D1897" s="21" t="str">
        <x:v>inject 8 state</x:v>
      </x:c>
      <x:c r="E1897" s="21" t="n">
        <x:f>IF(AND('Inject Register'!I14="OPEN",'Inject Register'!J14="HOLD"),1,0)</x:f>
        <x:v>1</x:v>
      </x:c>
      <x:c r="F1897" s="21" t="n">
        <x:v>1</x:v>
      </x:c>
      <x:c r="G1897" s="23" t="str">
        <x:f>IF(E1897=F1897,"PASS","FAIL")</x:f>
        <x:v>PASS</x:v>
      </x:c>
    </x:row>
    <x:row r="1898">
      <x:c r="B1898" s="21" t="str">
        <x:v>A01892</x:v>
      </x:c>
      <x:c r="C1898" s="21" t="str">
        <x:v>inject</x:v>
      </x:c>
      <x:c r="D1898" s="21" t="str">
        <x:v>inject 9 custody</x:v>
      </x:c>
      <x:c r="E1898" s="21" t="n">
        <x:f>IF('Inject Register'!G15="Joint exercise white cell",1,0)</x:f>
        <x:v>1</x:v>
      </x:c>
      <x:c r="F1898" s="21" t="n">
        <x:v>1</x:v>
      </x:c>
      <x:c r="G1898" s="23" t="str">
        <x:f>IF(E1898=F1898,"PASS","FAIL")</x:f>
        <x:v>PASS</x:v>
      </x:c>
    </x:row>
    <x:row r="1899">
      <x:c r="B1899" s="21" t="str">
        <x:v>A01893</x:v>
      </x:c>
      <x:c r="C1899" s="21" t="str">
        <x:v>inject</x:v>
      </x:c>
      <x:c r="D1899" s="21" t="str">
        <x:v>inject 9 state</x:v>
      </x:c>
      <x:c r="E1899" s="21" t="n">
        <x:f>IF(AND('Inject Register'!I15="OPEN",'Inject Register'!J15="HOLD"),1,0)</x:f>
        <x:v>1</x:v>
      </x:c>
      <x:c r="F1899" s="21" t="n">
        <x:v>1</x:v>
      </x:c>
      <x:c r="G1899" s="23" t="str">
        <x:f>IF(E1899=F1899,"PASS","FAIL")</x:f>
        <x:v>PASS</x:v>
      </x:c>
    </x:row>
    <x:row r="1900">
      <x:c r="B1900" s="21" t="str">
        <x:v>A01894</x:v>
      </x:c>
      <x:c r="C1900" s="21" t="str">
        <x:v>inject</x:v>
      </x:c>
      <x:c r="D1900" s="21" t="str">
        <x:v>inject 10 custody</x:v>
      </x:c>
      <x:c r="E1900" s="21" t="n">
        <x:f>IF('Inject Register'!G16="Joint exercise white cell",1,0)</x:f>
        <x:v>1</x:v>
      </x:c>
      <x:c r="F1900" s="21" t="n">
        <x:v>1</x:v>
      </x:c>
      <x:c r="G1900" s="23" t="str">
        <x:f>IF(E1900=F1900,"PASS","FAIL")</x:f>
        <x:v>PASS</x:v>
      </x:c>
    </x:row>
    <x:row r="1901">
      <x:c r="B1901" s="21" t="str">
        <x:v>A01895</x:v>
      </x:c>
      <x:c r="C1901" s="21" t="str">
        <x:v>inject</x:v>
      </x:c>
      <x:c r="D1901" s="21" t="str">
        <x:v>inject 10 state</x:v>
      </x:c>
      <x:c r="E1901" s="21" t="n">
        <x:f>IF(AND('Inject Register'!I16="OPEN",'Inject Register'!J16="HOLD"),1,0)</x:f>
        <x:v>1</x:v>
      </x:c>
      <x:c r="F1901" s="21" t="n">
        <x:v>1</x:v>
      </x:c>
      <x:c r="G1901" s="23" t="str">
        <x:f>IF(E1901=F1901,"PASS","FAIL")</x:f>
        <x:v>PASS</x:v>
      </x:c>
    </x:row>
    <x:row r="1902">
      <x:c r="B1902" s="21" t="str">
        <x:v>A01896</x:v>
      </x:c>
      <x:c r="C1902" s="21" t="str">
        <x:v>inject</x:v>
      </x:c>
      <x:c r="D1902" s="21" t="str">
        <x:v>inject 11 custody</x:v>
      </x:c>
      <x:c r="E1902" s="21" t="n">
        <x:f>IF('Inject Register'!G17="Joint exercise white cell",1,0)</x:f>
        <x:v>1</x:v>
      </x:c>
      <x:c r="F1902" s="21" t="n">
        <x:v>1</x:v>
      </x:c>
      <x:c r="G1902" s="23" t="str">
        <x:f>IF(E1902=F1902,"PASS","FAIL")</x:f>
        <x:v>PASS</x:v>
      </x:c>
    </x:row>
    <x:row r="1903">
      <x:c r="B1903" s="21" t="str">
        <x:v>A01897</x:v>
      </x:c>
      <x:c r="C1903" s="21" t="str">
        <x:v>inject</x:v>
      </x:c>
      <x:c r="D1903" s="21" t="str">
        <x:v>inject 11 state</x:v>
      </x:c>
      <x:c r="E1903" s="21" t="n">
        <x:f>IF(AND('Inject Register'!I17="OPEN",'Inject Register'!J17="HOLD"),1,0)</x:f>
        <x:v>1</x:v>
      </x:c>
      <x:c r="F1903" s="21" t="n">
        <x:v>1</x:v>
      </x:c>
      <x:c r="G1903" s="23" t="str">
        <x:f>IF(E1903=F1903,"PASS","FAIL")</x:f>
        <x:v>PASS</x:v>
      </x:c>
    </x:row>
    <x:row r="1904">
      <x:c r="B1904" s="21" t="str">
        <x:v>A01898</x:v>
      </x:c>
      <x:c r="C1904" s="21" t="str">
        <x:v>inject</x:v>
      </x:c>
      <x:c r="D1904" s="21" t="str">
        <x:v>inject 12 custody</x:v>
      </x:c>
      <x:c r="E1904" s="21" t="n">
        <x:f>IF('Inject Register'!G18="Joint exercise white cell",1,0)</x:f>
        <x:v>1</x:v>
      </x:c>
      <x:c r="F1904" s="21" t="n">
        <x:v>1</x:v>
      </x:c>
      <x:c r="G1904" s="23" t="str">
        <x:f>IF(E1904=F1904,"PASS","FAIL")</x:f>
        <x:v>PASS</x:v>
      </x:c>
    </x:row>
    <x:row r="1905">
      <x:c r="B1905" s="21" t="str">
        <x:v>A01899</x:v>
      </x:c>
      <x:c r="C1905" s="21" t="str">
        <x:v>inject</x:v>
      </x:c>
      <x:c r="D1905" s="21" t="str">
        <x:v>inject 12 state</x:v>
      </x:c>
      <x:c r="E1905" s="21" t="n">
        <x:f>IF(AND('Inject Register'!I18="OPEN",'Inject Register'!J18="HOLD"),1,0)</x:f>
        <x:v>1</x:v>
      </x:c>
      <x:c r="F1905" s="21" t="n">
        <x:v>1</x:v>
      </x:c>
      <x:c r="G1905" s="23" t="str">
        <x:f>IF(E1905=F1905,"PASS","FAIL")</x:f>
        <x:v>PASS</x:v>
      </x:c>
    </x:row>
    <x:row r="1906">
      <x:c r="B1906" s="21" t="str">
        <x:v>A01900</x:v>
      </x:c>
      <x:c r="C1906" s="21" t="str">
        <x:v>inject</x:v>
      </x:c>
      <x:c r="D1906" s="21" t="str">
        <x:v>inject 13 custody</x:v>
      </x:c>
      <x:c r="E1906" s="21" t="n">
        <x:f>IF('Inject Register'!G19="Joint exercise white cell",1,0)</x:f>
        <x:v>1</x:v>
      </x:c>
      <x:c r="F1906" s="21" t="n">
        <x:v>1</x:v>
      </x:c>
      <x:c r="G1906" s="23" t="str">
        <x:f>IF(E1906=F1906,"PASS","FAIL")</x:f>
        <x:v>PASS</x:v>
      </x:c>
    </x:row>
    <x:row r="1907">
      <x:c r="B1907" s="21" t="str">
        <x:v>A01901</x:v>
      </x:c>
      <x:c r="C1907" s="21" t="str">
        <x:v>inject</x:v>
      </x:c>
      <x:c r="D1907" s="21" t="str">
        <x:v>inject 13 state</x:v>
      </x:c>
      <x:c r="E1907" s="21" t="n">
        <x:f>IF(AND('Inject Register'!I19="OPEN",'Inject Register'!J19="HOLD"),1,0)</x:f>
        <x:v>1</x:v>
      </x:c>
      <x:c r="F1907" s="21" t="n">
        <x:v>1</x:v>
      </x:c>
      <x:c r="G1907" s="23" t="str">
        <x:f>IF(E1907=F1907,"PASS","FAIL")</x:f>
        <x:v>PASS</x:v>
      </x:c>
    </x:row>
    <x:row r="1908">
      <x:c r="B1908" s="21" t="str">
        <x:v>A01902</x:v>
      </x:c>
      <x:c r="C1908" s="21" t="str">
        <x:v>inject</x:v>
      </x:c>
      <x:c r="D1908" s="21" t="str">
        <x:v>inject 14 custody</x:v>
      </x:c>
      <x:c r="E1908" s="21" t="n">
        <x:f>IF('Inject Register'!G20="Joint exercise white cell",1,0)</x:f>
        <x:v>1</x:v>
      </x:c>
      <x:c r="F1908" s="21" t="n">
        <x:v>1</x:v>
      </x:c>
      <x:c r="G1908" s="23" t="str">
        <x:f>IF(E1908=F1908,"PASS","FAIL")</x:f>
        <x:v>PASS</x:v>
      </x:c>
    </x:row>
    <x:row r="1909">
      <x:c r="B1909" s="21" t="str">
        <x:v>A01903</x:v>
      </x:c>
      <x:c r="C1909" s="21" t="str">
        <x:v>inject</x:v>
      </x:c>
      <x:c r="D1909" s="21" t="str">
        <x:v>inject 14 state</x:v>
      </x:c>
      <x:c r="E1909" s="21" t="n">
        <x:f>IF(AND('Inject Register'!I20="OPEN",'Inject Register'!J20="HOLD"),1,0)</x:f>
        <x:v>1</x:v>
      </x:c>
      <x:c r="F1909" s="21" t="n">
        <x:v>1</x:v>
      </x:c>
      <x:c r="G1909" s="23" t="str">
        <x:f>IF(E1909=F1909,"PASS","FAIL")</x:f>
        <x:v>PASS</x:v>
      </x:c>
    </x:row>
    <x:row r="1910">
      <x:c r="B1910" s="21" t="str">
        <x:v>A01904</x:v>
      </x:c>
      <x:c r="C1910" s="21" t="str">
        <x:v>inject</x:v>
      </x:c>
      <x:c r="D1910" s="21" t="str">
        <x:v>inject 15 custody</x:v>
      </x:c>
      <x:c r="E1910" s="21" t="n">
        <x:f>IF('Inject Register'!G21="Joint exercise white cell",1,0)</x:f>
        <x:v>1</x:v>
      </x:c>
      <x:c r="F1910" s="21" t="n">
        <x:v>1</x:v>
      </x:c>
      <x:c r="G1910" s="23" t="str">
        <x:f>IF(E1910=F1910,"PASS","FAIL")</x:f>
        <x:v>PASS</x:v>
      </x:c>
    </x:row>
    <x:row r="1911">
      <x:c r="B1911" s="21" t="str">
        <x:v>A01905</x:v>
      </x:c>
      <x:c r="C1911" s="21" t="str">
        <x:v>inject</x:v>
      </x:c>
      <x:c r="D1911" s="21" t="str">
        <x:v>inject 15 state</x:v>
      </x:c>
      <x:c r="E1911" s="21" t="n">
        <x:f>IF(AND('Inject Register'!I21="OPEN",'Inject Register'!J21="HOLD"),1,0)</x:f>
        <x:v>1</x:v>
      </x:c>
      <x:c r="F1911" s="21" t="n">
        <x:v>1</x:v>
      </x:c>
      <x:c r="G1911" s="23" t="str">
        <x:f>IF(E1911=F1911,"PASS","FAIL")</x:f>
        <x:v>PASS</x:v>
      </x:c>
    </x:row>
    <x:row r="1912">
      <x:c r="B1912" s="21" t="str">
        <x:v>A01906</x:v>
      </x:c>
      <x:c r="C1912" s="21" t="str">
        <x:v>inject</x:v>
      </x:c>
      <x:c r="D1912" s="21" t="str">
        <x:v>inject 16 custody</x:v>
      </x:c>
      <x:c r="E1912" s="21" t="n">
        <x:f>IF('Inject Register'!G22="Joint exercise white cell",1,0)</x:f>
        <x:v>1</x:v>
      </x:c>
      <x:c r="F1912" s="21" t="n">
        <x:v>1</x:v>
      </x:c>
      <x:c r="G1912" s="23" t="str">
        <x:f>IF(E1912=F1912,"PASS","FAIL")</x:f>
        <x:v>PASS</x:v>
      </x:c>
    </x:row>
    <x:row r="1913">
      <x:c r="B1913" s="21" t="str">
        <x:v>A01907</x:v>
      </x:c>
      <x:c r="C1913" s="21" t="str">
        <x:v>inject</x:v>
      </x:c>
      <x:c r="D1913" s="21" t="str">
        <x:v>inject 16 state</x:v>
      </x:c>
      <x:c r="E1913" s="21" t="n">
        <x:f>IF(AND('Inject Register'!I22="OPEN",'Inject Register'!J22="HOLD"),1,0)</x:f>
        <x:v>1</x:v>
      </x:c>
      <x:c r="F1913" s="21" t="n">
        <x:v>1</x:v>
      </x:c>
      <x:c r="G1913" s="23" t="str">
        <x:f>IF(E1913=F1913,"PASS","FAIL")</x:f>
        <x:v>PASS</x:v>
      </x:c>
    </x:row>
    <x:row r="1914">
      <x:c r="B1914" s="21" t="str">
        <x:v>A01908</x:v>
      </x:c>
      <x:c r="C1914" s="21" t="str">
        <x:v>inject</x:v>
      </x:c>
      <x:c r="D1914" s="21" t="str">
        <x:v>inject 17 custody</x:v>
      </x:c>
      <x:c r="E1914" s="21" t="n">
        <x:f>IF('Inject Register'!G23="Joint exercise white cell",1,0)</x:f>
        <x:v>1</x:v>
      </x:c>
      <x:c r="F1914" s="21" t="n">
        <x:v>1</x:v>
      </x:c>
      <x:c r="G1914" s="23" t="str">
        <x:f>IF(E1914=F1914,"PASS","FAIL")</x:f>
        <x:v>PASS</x:v>
      </x:c>
    </x:row>
    <x:row r="1915">
      <x:c r="B1915" s="21" t="str">
        <x:v>A01909</x:v>
      </x:c>
      <x:c r="C1915" s="21" t="str">
        <x:v>inject</x:v>
      </x:c>
      <x:c r="D1915" s="21" t="str">
        <x:v>inject 17 state</x:v>
      </x:c>
      <x:c r="E1915" s="21" t="n">
        <x:f>IF(AND('Inject Register'!I23="OPEN",'Inject Register'!J23="HOLD"),1,0)</x:f>
        <x:v>1</x:v>
      </x:c>
      <x:c r="F1915" s="21" t="n">
        <x:v>1</x:v>
      </x:c>
      <x:c r="G1915" s="23" t="str">
        <x:f>IF(E1915=F1915,"PASS","FAIL")</x:f>
        <x:v>PASS</x:v>
      </x:c>
    </x:row>
    <x:row r="1916">
      <x:c r="B1916" s="21" t="str">
        <x:v>A01910</x:v>
      </x:c>
      <x:c r="C1916" s="21" t="str">
        <x:v>inject</x:v>
      </x:c>
      <x:c r="D1916" s="21" t="str">
        <x:v>inject 18 custody</x:v>
      </x:c>
      <x:c r="E1916" s="21" t="n">
        <x:f>IF('Inject Register'!G24="Joint exercise white cell",1,0)</x:f>
        <x:v>1</x:v>
      </x:c>
      <x:c r="F1916" s="21" t="n">
        <x:v>1</x:v>
      </x:c>
      <x:c r="G1916" s="23" t="str">
        <x:f>IF(E1916=F1916,"PASS","FAIL")</x:f>
        <x:v>PASS</x:v>
      </x:c>
    </x:row>
    <x:row r="1917">
      <x:c r="B1917" s="21" t="str">
        <x:v>A01911</x:v>
      </x:c>
      <x:c r="C1917" s="21" t="str">
        <x:v>inject</x:v>
      </x:c>
      <x:c r="D1917" s="21" t="str">
        <x:v>inject 18 state</x:v>
      </x:c>
      <x:c r="E1917" s="21" t="n">
        <x:f>IF(AND('Inject Register'!I24="OPEN",'Inject Register'!J24="HOLD"),1,0)</x:f>
        <x:v>1</x:v>
      </x:c>
      <x:c r="F1917" s="21" t="n">
        <x:v>1</x:v>
      </x:c>
      <x:c r="G1917" s="23" t="str">
        <x:f>IF(E1917=F1917,"PASS","FAIL")</x:f>
        <x:v>PASS</x:v>
      </x:c>
    </x:row>
    <x:row r="1918">
      <x:c r="B1918" s="21" t="str">
        <x:v>A01912</x:v>
      </x:c>
      <x:c r="C1918" s="21" t="str">
        <x:v>inject</x:v>
      </x:c>
      <x:c r="D1918" s="21" t="str">
        <x:v>inject 19 custody</x:v>
      </x:c>
      <x:c r="E1918" s="21" t="n">
        <x:f>IF('Inject Register'!G25="Joint exercise white cell",1,0)</x:f>
        <x:v>1</x:v>
      </x:c>
      <x:c r="F1918" s="21" t="n">
        <x:v>1</x:v>
      </x:c>
      <x:c r="G1918" s="23" t="str">
        <x:f>IF(E1918=F1918,"PASS","FAIL")</x:f>
        <x:v>PASS</x:v>
      </x:c>
    </x:row>
    <x:row r="1919">
      <x:c r="B1919" s="21" t="str">
        <x:v>A01913</x:v>
      </x:c>
      <x:c r="C1919" s="21" t="str">
        <x:v>inject</x:v>
      </x:c>
      <x:c r="D1919" s="21" t="str">
        <x:v>inject 19 state</x:v>
      </x:c>
      <x:c r="E1919" s="21" t="n">
        <x:f>IF(AND('Inject Register'!I25="OPEN",'Inject Register'!J25="HOLD"),1,0)</x:f>
        <x:v>1</x:v>
      </x:c>
      <x:c r="F1919" s="21" t="n">
        <x:v>1</x:v>
      </x:c>
      <x:c r="G1919" s="23" t="str">
        <x:f>IF(E1919=F1919,"PASS","FAIL")</x:f>
        <x:v>PASS</x:v>
      </x:c>
    </x:row>
    <x:row r="1920">
      <x:c r="B1920" s="21" t="str">
        <x:v>A01914</x:v>
      </x:c>
      <x:c r="C1920" s="21" t="str">
        <x:v>inject</x:v>
      </x:c>
      <x:c r="D1920" s="21" t="str">
        <x:v>inject 20 custody</x:v>
      </x:c>
      <x:c r="E1920" s="21" t="n">
        <x:f>IF('Inject Register'!G26="Joint exercise white cell",1,0)</x:f>
        <x:v>1</x:v>
      </x:c>
      <x:c r="F1920" s="21" t="n">
        <x:v>1</x:v>
      </x:c>
      <x:c r="G1920" s="23" t="str">
        <x:f>IF(E1920=F1920,"PASS","FAIL")</x:f>
        <x:v>PASS</x:v>
      </x:c>
    </x:row>
    <x:row r="1921">
      <x:c r="B1921" s="21" t="str">
        <x:v>A01915</x:v>
      </x:c>
      <x:c r="C1921" s="21" t="str">
        <x:v>inject</x:v>
      </x:c>
      <x:c r="D1921" s="21" t="str">
        <x:v>inject 20 state</x:v>
      </x:c>
      <x:c r="E1921" s="21" t="n">
        <x:f>IF(AND('Inject Register'!I26="OPEN",'Inject Register'!J26="HOLD"),1,0)</x:f>
        <x:v>1</x:v>
      </x:c>
      <x:c r="F1921" s="21" t="n">
        <x:v>1</x:v>
      </x:c>
      <x:c r="G1921" s="23" t="str">
        <x:f>IF(E1921=F1921,"PASS","FAIL")</x:f>
        <x:v>PASS</x:v>
      </x:c>
    </x:row>
    <x:row r="1922">
      <x:c r="B1922" s="21" t="str">
        <x:v>A01916</x:v>
      </x:c>
      <x:c r="C1922" s="21" t="str">
        <x:v>evidence</x:v>
      </x:c>
      <x:c r="D1922" s="21" t="str">
        <x:v>evidence 1 counts</x:v>
      </x:c>
      <x:c r="E1922" s="21" t="n">
        <x:f>IF(AND('Evidence Package'!F7&lt;='Evidence Package'!E7,'Evidence Package'!G7&lt;='Evidence Package'!F7),1,0)</x:f>
        <x:v>1</x:v>
      </x:c>
      <x:c r="F1922" s="21" t="n">
        <x:v>1</x:v>
      </x:c>
      <x:c r="G1922" s="23" t="str">
        <x:f>IF(E1922=F1922,"PASS","FAIL")</x:f>
        <x:v>PASS</x:v>
      </x:c>
    </x:row>
    <x:row r="1923">
      <x:c r="B1923" s="21" t="str">
        <x:v>A01917</x:v>
      </x:c>
      <x:c r="C1923" s="21" t="str">
        <x:v>evidence</x:v>
      </x:c>
      <x:c r="D1923" s="21" t="str">
        <x:v>evidence 1 state</x:v>
      </x:c>
      <x:c r="E1923" s="21" t="n">
        <x:f>IF(AND('Evidence Package'!H7="OPEN",'Evidence Package'!I7="HOLD"),1,0)</x:f>
        <x:v>1</x:v>
      </x:c>
      <x:c r="F1923" s="21" t="n">
        <x:v>1</x:v>
      </x:c>
      <x:c r="G1923" s="23" t="str">
        <x:f>IF(E1923=F1923,"PASS","FAIL")</x:f>
        <x:v>PASS</x:v>
      </x:c>
    </x:row>
    <x:row r="1924">
      <x:c r="B1924" s="21" t="str">
        <x:v>A01918</x:v>
      </x:c>
      <x:c r="C1924" s="21" t="str">
        <x:v>evidence</x:v>
      </x:c>
      <x:c r="D1924" s="21" t="str">
        <x:v>evidence 2 counts</x:v>
      </x:c>
      <x:c r="E1924" s="21" t="n">
        <x:f>IF(AND('Evidence Package'!F8&lt;='Evidence Package'!E8,'Evidence Package'!G8&lt;='Evidence Package'!F8),1,0)</x:f>
        <x:v>1</x:v>
      </x:c>
      <x:c r="F1924" s="21" t="n">
        <x:v>1</x:v>
      </x:c>
      <x:c r="G1924" s="23" t="str">
        <x:f>IF(E1924=F1924,"PASS","FAIL")</x:f>
        <x:v>PASS</x:v>
      </x:c>
    </x:row>
    <x:row r="1925">
      <x:c r="B1925" s="21" t="str">
        <x:v>A01919</x:v>
      </x:c>
      <x:c r="C1925" s="21" t="str">
        <x:v>evidence</x:v>
      </x:c>
      <x:c r="D1925" s="21" t="str">
        <x:v>evidence 2 state</x:v>
      </x:c>
      <x:c r="E1925" s="21" t="n">
        <x:f>IF(AND('Evidence Package'!H8="OPEN",'Evidence Package'!I8="HOLD"),1,0)</x:f>
        <x:v>1</x:v>
      </x:c>
      <x:c r="F1925" s="21" t="n">
        <x:v>1</x:v>
      </x:c>
      <x:c r="G1925" s="23" t="str">
        <x:f>IF(E1925=F1925,"PASS","FAIL")</x:f>
        <x:v>PASS</x:v>
      </x:c>
    </x:row>
    <x:row r="1926">
      <x:c r="B1926" s="21" t="str">
        <x:v>A01920</x:v>
      </x:c>
      <x:c r="C1926" s="21" t="str">
        <x:v>evidence</x:v>
      </x:c>
      <x:c r="D1926" s="21" t="str">
        <x:v>evidence 3 counts</x:v>
      </x:c>
      <x:c r="E1926" s="21" t="n">
        <x:f>IF(AND('Evidence Package'!F9&lt;='Evidence Package'!E9,'Evidence Package'!G9&lt;='Evidence Package'!F9),1,0)</x:f>
        <x:v>1</x:v>
      </x:c>
      <x:c r="F1926" s="21" t="n">
        <x:v>1</x:v>
      </x:c>
      <x:c r="G1926" s="23" t="str">
        <x:f>IF(E1926=F1926,"PASS","FAIL")</x:f>
        <x:v>PASS</x:v>
      </x:c>
    </x:row>
    <x:row r="1927">
      <x:c r="B1927" s="21" t="str">
        <x:v>A01921</x:v>
      </x:c>
      <x:c r="C1927" s="21" t="str">
        <x:v>evidence</x:v>
      </x:c>
      <x:c r="D1927" s="21" t="str">
        <x:v>evidence 3 state</x:v>
      </x:c>
      <x:c r="E1927" s="21" t="n">
        <x:f>IF(AND('Evidence Package'!H9="OPEN",'Evidence Package'!I9="HOLD"),1,0)</x:f>
        <x:v>1</x:v>
      </x:c>
      <x:c r="F1927" s="21" t="n">
        <x:v>1</x:v>
      </x:c>
      <x:c r="G1927" s="23" t="str">
        <x:f>IF(E1927=F1927,"PASS","FAIL")</x:f>
        <x:v>PASS</x:v>
      </x:c>
    </x:row>
    <x:row r="1928">
      <x:c r="B1928" s="21" t="str">
        <x:v>A01922</x:v>
      </x:c>
      <x:c r="C1928" s="21" t="str">
        <x:v>evidence</x:v>
      </x:c>
      <x:c r="D1928" s="21" t="str">
        <x:v>evidence 4 counts</x:v>
      </x:c>
      <x:c r="E1928" s="21" t="n">
        <x:f>IF(AND('Evidence Package'!F10&lt;='Evidence Package'!E10,'Evidence Package'!G10&lt;='Evidence Package'!F10),1,0)</x:f>
        <x:v>1</x:v>
      </x:c>
      <x:c r="F1928" s="21" t="n">
        <x:v>1</x:v>
      </x:c>
      <x:c r="G1928" s="23" t="str">
        <x:f>IF(E1928=F1928,"PASS","FAIL")</x:f>
        <x:v>PASS</x:v>
      </x:c>
    </x:row>
    <x:row r="1929">
      <x:c r="B1929" s="21" t="str">
        <x:v>A01923</x:v>
      </x:c>
      <x:c r="C1929" s="21" t="str">
        <x:v>evidence</x:v>
      </x:c>
      <x:c r="D1929" s="21" t="str">
        <x:v>evidence 4 state</x:v>
      </x:c>
      <x:c r="E1929" s="21" t="n">
        <x:f>IF(AND('Evidence Package'!H10="OPEN",'Evidence Package'!I10="HOLD"),1,0)</x:f>
        <x:v>1</x:v>
      </x:c>
      <x:c r="F1929" s="21" t="n">
        <x:v>1</x:v>
      </x:c>
      <x:c r="G1929" s="23" t="str">
        <x:f>IF(E1929=F1929,"PASS","FAIL")</x:f>
        <x:v>PASS</x:v>
      </x:c>
    </x:row>
    <x:row r="1930">
      <x:c r="B1930" s="21" t="str">
        <x:v>A01924</x:v>
      </x:c>
      <x:c r="C1930" s="21" t="str">
        <x:v>evidence</x:v>
      </x:c>
      <x:c r="D1930" s="21" t="str">
        <x:v>evidence 5 counts</x:v>
      </x:c>
      <x:c r="E1930" s="21" t="n">
        <x:f>IF(AND('Evidence Package'!F11&lt;='Evidence Package'!E11,'Evidence Package'!G11&lt;='Evidence Package'!F11),1,0)</x:f>
        <x:v>1</x:v>
      </x:c>
      <x:c r="F1930" s="21" t="n">
        <x:v>1</x:v>
      </x:c>
      <x:c r="G1930" s="23" t="str">
        <x:f>IF(E1930=F1930,"PASS","FAIL")</x:f>
        <x:v>PASS</x:v>
      </x:c>
    </x:row>
    <x:row r="1931">
      <x:c r="B1931" s="21" t="str">
        <x:v>A01925</x:v>
      </x:c>
      <x:c r="C1931" s="21" t="str">
        <x:v>evidence</x:v>
      </x:c>
      <x:c r="D1931" s="21" t="str">
        <x:v>evidence 5 state</x:v>
      </x:c>
      <x:c r="E1931" s="21" t="n">
        <x:f>IF(AND('Evidence Package'!H11="OPEN",'Evidence Package'!I11="HOLD"),1,0)</x:f>
        <x:v>1</x:v>
      </x:c>
      <x:c r="F1931" s="21" t="n">
        <x:v>1</x:v>
      </x:c>
      <x:c r="G1931" s="23" t="str">
        <x:f>IF(E1931=F1931,"PASS","FAIL")</x:f>
        <x:v>PASS</x:v>
      </x:c>
    </x:row>
    <x:row r="1932">
      <x:c r="B1932" s="21" t="str">
        <x:v>A01926</x:v>
      </x:c>
      <x:c r="C1932" s="21" t="str">
        <x:v>evidence</x:v>
      </x:c>
      <x:c r="D1932" s="21" t="str">
        <x:v>evidence 6 counts</x:v>
      </x:c>
      <x:c r="E1932" s="21" t="n">
        <x:f>IF(AND('Evidence Package'!F12&lt;='Evidence Package'!E12,'Evidence Package'!G12&lt;='Evidence Package'!F12),1,0)</x:f>
        <x:v>1</x:v>
      </x:c>
      <x:c r="F1932" s="21" t="n">
        <x:v>1</x:v>
      </x:c>
      <x:c r="G1932" s="23" t="str">
        <x:f>IF(E1932=F1932,"PASS","FAIL")</x:f>
        <x:v>PASS</x:v>
      </x:c>
    </x:row>
    <x:row r="1933">
      <x:c r="B1933" s="21" t="str">
        <x:v>A01927</x:v>
      </x:c>
      <x:c r="C1933" s="21" t="str">
        <x:v>evidence</x:v>
      </x:c>
      <x:c r="D1933" s="21" t="str">
        <x:v>evidence 6 state</x:v>
      </x:c>
      <x:c r="E1933" s="21" t="n">
        <x:f>IF(AND('Evidence Package'!H12="OPEN",'Evidence Package'!I12="HOLD"),1,0)</x:f>
        <x:v>1</x:v>
      </x:c>
      <x:c r="F1933" s="21" t="n">
        <x:v>1</x:v>
      </x:c>
      <x:c r="G1933" s="23" t="str">
        <x:f>IF(E1933=F1933,"PASS","FAIL")</x:f>
        <x:v>PASS</x:v>
      </x:c>
    </x:row>
    <x:row r="1934">
      <x:c r="B1934" s="21" t="str">
        <x:v>A01928</x:v>
      </x:c>
      <x:c r="C1934" s="21" t="str">
        <x:v>evidence</x:v>
      </x:c>
      <x:c r="D1934" s="21" t="str">
        <x:v>evidence 7 counts</x:v>
      </x:c>
      <x:c r="E1934" s="21" t="n">
        <x:f>IF(AND('Evidence Package'!F13&lt;='Evidence Package'!E13,'Evidence Package'!G13&lt;='Evidence Package'!F13),1,0)</x:f>
        <x:v>1</x:v>
      </x:c>
      <x:c r="F1934" s="21" t="n">
        <x:v>1</x:v>
      </x:c>
      <x:c r="G1934" s="23" t="str">
        <x:f>IF(E1934=F1934,"PASS","FAIL")</x:f>
        <x:v>PASS</x:v>
      </x:c>
    </x:row>
    <x:row r="1935">
      <x:c r="B1935" s="21" t="str">
        <x:v>A01929</x:v>
      </x:c>
      <x:c r="C1935" s="21" t="str">
        <x:v>evidence</x:v>
      </x:c>
      <x:c r="D1935" s="21" t="str">
        <x:v>evidence 7 state</x:v>
      </x:c>
      <x:c r="E1935" s="21" t="n">
        <x:f>IF(AND('Evidence Package'!H13="OPEN",'Evidence Package'!I13="HOLD"),1,0)</x:f>
        <x:v>1</x:v>
      </x:c>
      <x:c r="F1935" s="21" t="n">
        <x:v>1</x:v>
      </x:c>
      <x:c r="G1935" s="23" t="str">
        <x:f>IF(E1935=F1935,"PASS","FAIL")</x:f>
        <x:v>PASS</x:v>
      </x:c>
    </x:row>
    <x:row r="1936">
      <x:c r="B1936" s="21" t="str">
        <x:v>A01930</x:v>
      </x:c>
      <x:c r="C1936" s="21" t="str">
        <x:v>evidence</x:v>
      </x:c>
      <x:c r="D1936" s="21" t="str">
        <x:v>evidence 8 counts</x:v>
      </x:c>
      <x:c r="E1936" s="21" t="n">
        <x:f>IF(AND('Evidence Package'!F14&lt;='Evidence Package'!E14,'Evidence Package'!G14&lt;='Evidence Package'!F14),1,0)</x:f>
        <x:v>1</x:v>
      </x:c>
      <x:c r="F1936" s="21" t="n">
        <x:v>1</x:v>
      </x:c>
      <x:c r="G1936" s="23" t="str">
        <x:f>IF(E1936=F1936,"PASS","FAIL")</x:f>
        <x:v>PASS</x:v>
      </x:c>
    </x:row>
    <x:row r="1937">
      <x:c r="B1937" s="21" t="str">
        <x:v>A01931</x:v>
      </x:c>
      <x:c r="C1937" s="21" t="str">
        <x:v>evidence</x:v>
      </x:c>
      <x:c r="D1937" s="21" t="str">
        <x:v>evidence 8 state</x:v>
      </x:c>
      <x:c r="E1937" s="21" t="n">
        <x:f>IF(AND('Evidence Package'!H14="OPEN",'Evidence Package'!I14="HOLD"),1,0)</x:f>
        <x:v>1</x:v>
      </x:c>
      <x:c r="F1937" s="21" t="n">
        <x:v>1</x:v>
      </x:c>
      <x:c r="G1937" s="23" t="str">
        <x:f>IF(E1937=F1937,"PASS","FAIL")</x:f>
        <x:v>PASS</x:v>
      </x:c>
    </x:row>
    <x:row r="1938">
      <x:c r="B1938" s="21" t="str">
        <x:v>A01932</x:v>
      </x:c>
      <x:c r="C1938" s="21" t="str">
        <x:v>evidence</x:v>
      </x:c>
      <x:c r="D1938" s="21" t="str">
        <x:v>evidence 9 counts</x:v>
      </x:c>
      <x:c r="E1938" s="21" t="n">
        <x:f>IF(AND('Evidence Package'!F15&lt;='Evidence Package'!E15,'Evidence Package'!G15&lt;='Evidence Package'!F15),1,0)</x:f>
        <x:v>1</x:v>
      </x:c>
      <x:c r="F1938" s="21" t="n">
        <x:v>1</x:v>
      </x:c>
      <x:c r="G1938" s="23" t="str">
        <x:f>IF(E1938=F1938,"PASS","FAIL")</x:f>
        <x:v>PASS</x:v>
      </x:c>
    </x:row>
    <x:row r="1939">
      <x:c r="B1939" s="21" t="str">
        <x:v>A01933</x:v>
      </x:c>
      <x:c r="C1939" s="21" t="str">
        <x:v>evidence</x:v>
      </x:c>
      <x:c r="D1939" s="21" t="str">
        <x:v>evidence 9 state</x:v>
      </x:c>
      <x:c r="E1939" s="21" t="n">
        <x:f>IF(AND('Evidence Package'!H15="OPEN",'Evidence Package'!I15="HOLD"),1,0)</x:f>
        <x:v>1</x:v>
      </x:c>
      <x:c r="F1939" s="21" t="n">
        <x:v>1</x:v>
      </x:c>
      <x:c r="G1939" s="23" t="str">
        <x:f>IF(E1939=F1939,"PASS","FAIL")</x:f>
        <x:v>PASS</x:v>
      </x:c>
    </x:row>
    <x:row r="1940">
      <x:c r="B1940" s="21" t="str">
        <x:v>A01934</x:v>
      </x:c>
      <x:c r="C1940" s="21" t="str">
        <x:v>evidence</x:v>
      </x:c>
      <x:c r="D1940" s="21" t="str">
        <x:v>evidence 10 counts</x:v>
      </x:c>
      <x:c r="E1940" s="21" t="n">
        <x:f>IF(AND('Evidence Package'!F16&lt;='Evidence Package'!E16,'Evidence Package'!G16&lt;='Evidence Package'!F16),1,0)</x:f>
        <x:v>1</x:v>
      </x:c>
      <x:c r="F1940" s="21" t="n">
        <x:v>1</x:v>
      </x:c>
      <x:c r="G1940" s="23" t="str">
        <x:f>IF(E1940=F1940,"PASS","FAIL")</x:f>
        <x:v>PASS</x:v>
      </x:c>
    </x:row>
    <x:row r="1941">
      <x:c r="B1941" s="21" t="str">
        <x:v>A01935</x:v>
      </x:c>
      <x:c r="C1941" s="21" t="str">
        <x:v>evidence</x:v>
      </x:c>
      <x:c r="D1941" s="21" t="str">
        <x:v>evidence 10 state</x:v>
      </x:c>
      <x:c r="E1941" s="21" t="n">
        <x:f>IF(AND('Evidence Package'!H16="OPEN",'Evidence Package'!I16="HOLD"),1,0)</x:f>
        <x:v>1</x:v>
      </x:c>
      <x:c r="F1941" s="21" t="n">
        <x:v>1</x:v>
      </x:c>
      <x:c r="G1941" s="23" t="str">
        <x:f>IF(E1941=F1941,"PASS","FAIL")</x:f>
        <x:v>PASS</x:v>
      </x:c>
    </x:row>
    <x:row r="1942">
      <x:c r="B1942" s="21" t="str">
        <x:v>A01936</x:v>
      </x:c>
      <x:c r="C1942" s="21" t="str">
        <x:v>evidence</x:v>
      </x:c>
      <x:c r="D1942" s="21" t="str">
        <x:v>evidence 11 counts</x:v>
      </x:c>
      <x:c r="E1942" s="21" t="n">
        <x:f>IF(AND('Evidence Package'!F17&lt;='Evidence Package'!E17,'Evidence Package'!G17&lt;='Evidence Package'!F17),1,0)</x:f>
        <x:v>1</x:v>
      </x:c>
      <x:c r="F1942" s="21" t="n">
        <x:v>1</x:v>
      </x:c>
      <x:c r="G1942" s="23" t="str">
        <x:f>IF(E1942=F1942,"PASS","FAIL")</x:f>
        <x:v>PASS</x:v>
      </x:c>
    </x:row>
    <x:row r="1943">
      <x:c r="B1943" s="21" t="str">
        <x:v>A01937</x:v>
      </x:c>
      <x:c r="C1943" s="21" t="str">
        <x:v>evidence</x:v>
      </x:c>
      <x:c r="D1943" s="21" t="str">
        <x:v>evidence 11 state</x:v>
      </x:c>
      <x:c r="E1943" s="21" t="n">
        <x:f>IF(AND('Evidence Package'!H17="OPEN",'Evidence Package'!I17="HOLD"),1,0)</x:f>
        <x:v>1</x:v>
      </x:c>
      <x:c r="F1943" s="21" t="n">
        <x:v>1</x:v>
      </x:c>
      <x:c r="G1943" s="23" t="str">
        <x:f>IF(E1943=F1943,"PASS","FAIL")</x:f>
        <x:v>PASS</x:v>
      </x:c>
    </x:row>
    <x:row r="1944">
      <x:c r="B1944" s="21" t="str">
        <x:v>A01938</x:v>
      </x:c>
      <x:c r="C1944" s="21" t="str">
        <x:v>evidence</x:v>
      </x:c>
      <x:c r="D1944" s="21" t="str">
        <x:v>evidence 12 counts</x:v>
      </x:c>
      <x:c r="E1944" s="21" t="n">
        <x:f>IF(AND('Evidence Package'!F18&lt;='Evidence Package'!E18,'Evidence Package'!G18&lt;='Evidence Package'!F18),1,0)</x:f>
        <x:v>1</x:v>
      </x:c>
      <x:c r="F1944" s="21" t="n">
        <x:v>1</x:v>
      </x:c>
      <x:c r="G1944" s="23" t="str">
        <x:f>IF(E1944=F1944,"PASS","FAIL")</x:f>
        <x:v>PASS</x:v>
      </x:c>
    </x:row>
    <x:row r="1945">
      <x:c r="B1945" s="21" t="str">
        <x:v>A01939</x:v>
      </x:c>
      <x:c r="C1945" s="21" t="str">
        <x:v>evidence</x:v>
      </x:c>
      <x:c r="D1945" s="21" t="str">
        <x:v>evidence 12 state</x:v>
      </x:c>
      <x:c r="E1945" s="21" t="n">
        <x:f>IF(AND('Evidence Package'!H18="OPEN",'Evidence Package'!I18="HOLD"),1,0)</x:f>
        <x:v>1</x:v>
      </x:c>
      <x:c r="F1945" s="21" t="n">
        <x:v>1</x:v>
      </x:c>
      <x:c r="G1945" s="23" t="str">
        <x:f>IF(E1945=F1945,"PASS","FAIL")</x:f>
        <x:v>PASS</x:v>
      </x:c>
    </x:row>
    <x:row r="1946">
      <x:c r="B1946" s="21" t="str">
        <x:v>A01940</x:v>
      </x:c>
      <x:c r="C1946" s="21" t="str">
        <x:v>evidence</x:v>
      </x:c>
      <x:c r="D1946" s="21" t="str">
        <x:v>evidence 13 counts</x:v>
      </x:c>
      <x:c r="E1946" s="21" t="n">
        <x:f>IF(AND('Evidence Package'!F19&lt;='Evidence Package'!E19,'Evidence Package'!G19&lt;='Evidence Package'!F19),1,0)</x:f>
        <x:v>1</x:v>
      </x:c>
      <x:c r="F1946" s="21" t="n">
        <x:v>1</x:v>
      </x:c>
      <x:c r="G1946" s="23" t="str">
        <x:f>IF(E1946=F1946,"PASS","FAIL")</x:f>
        <x:v>PASS</x:v>
      </x:c>
    </x:row>
    <x:row r="1947">
      <x:c r="B1947" s="21" t="str">
        <x:v>A01941</x:v>
      </x:c>
      <x:c r="C1947" s="21" t="str">
        <x:v>evidence</x:v>
      </x:c>
      <x:c r="D1947" s="21" t="str">
        <x:v>evidence 13 state</x:v>
      </x:c>
      <x:c r="E1947" s="21" t="n">
        <x:f>IF(AND('Evidence Package'!H19="OPEN",'Evidence Package'!I19="HOLD"),1,0)</x:f>
        <x:v>1</x:v>
      </x:c>
      <x:c r="F1947" s="21" t="n">
        <x:v>1</x:v>
      </x:c>
      <x:c r="G1947" s="23" t="str">
        <x:f>IF(E1947=F1947,"PASS","FAIL")</x:f>
        <x:v>PASS</x:v>
      </x:c>
    </x:row>
    <x:row r="1948">
      <x:c r="B1948" s="21" t="str">
        <x:v>A01942</x:v>
      </x:c>
      <x:c r="C1948" s="21" t="str">
        <x:v>evidence</x:v>
      </x:c>
      <x:c r="D1948" s="21" t="str">
        <x:v>evidence 14 counts</x:v>
      </x:c>
      <x:c r="E1948" s="21" t="n">
        <x:f>IF(AND('Evidence Package'!F20&lt;='Evidence Package'!E20,'Evidence Package'!G20&lt;='Evidence Package'!F20),1,0)</x:f>
        <x:v>1</x:v>
      </x:c>
      <x:c r="F1948" s="21" t="n">
        <x:v>1</x:v>
      </x:c>
      <x:c r="G1948" s="23" t="str">
        <x:f>IF(E1948=F1948,"PASS","FAIL")</x:f>
        <x:v>PASS</x:v>
      </x:c>
    </x:row>
    <x:row r="1949">
      <x:c r="B1949" s="21" t="str">
        <x:v>A01943</x:v>
      </x:c>
      <x:c r="C1949" s="21" t="str">
        <x:v>evidence</x:v>
      </x:c>
      <x:c r="D1949" s="21" t="str">
        <x:v>evidence 14 state</x:v>
      </x:c>
      <x:c r="E1949" s="21" t="n">
        <x:f>IF(AND('Evidence Package'!H20="OPEN",'Evidence Package'!I20="HOLD"),1,0)</x:f>
        <x:v>1</x:v>
      </x:c>
      <x:c r="F1949" s="21" t="n">
        <x:v>1</x:v>
      </x:c>
      <x:c r="G1949" s="23" t="str">
        <x:f>IF(E1949=F1949,"PASS","FAIL")</x:f>
        <x:v>PASS</x:v>
      </x:c>
    </x:row>
    <x:row r="1950">
      <x:c r="B1950" s="21" t="str">
        <x:v>A01944</x:v>
      </x:c>
      <x:c r="C1950" s="21" t="str">
        <x:v>evidence</x:v>
      </x:c>
      <x:c r="D1950" s="21" t="str">
        <x:v>evidence 15 counts</x:v>
      </x:c>
      <x:c r="E1950" s="21" t="n">
        <x:f>IF(AND('Evidence Package'!F21&lt;='Evidence Package'!E21,'Evidence Package'!G21&lt;='Evidence Package'!F21),1,0)</x:f>
        <x:v>1</x:v>
      </x:c>
      <x:c r="F1950" s="21" t="n">
        <x:v>1</x:v>
      </x:c>
      <x:c r="G1950" s="23" t="str">
        <x:f>IF(E1950=F1950,"PASS","FAIL")</x:f>
        <x:v>PASS</x:v>
      </x:c>
    </x:row>
    <x:row r="1951">
      <x:c r="B1951" s="21" t="str">
        <x:v>A01945</x:v>
      </x:c>
      <x:c r="C1951" s="21" t="str">
        <x:v>evidence</x:v>
      </x:c>
      <x:c r="D1951" s="21" t="str">
        <x:v>evidence 15 state</x:v>
      </x:c>
      <x:c r="E1951" s="21" t="n">
        <x:f>IF(AND('Evidence Package'!H21="OPEN",'Evidence Package'!I21="HOLD"),1,0)</x:f>
        <x:v>1</x:v>
      </x:c>
      <x:c r="F1951" s="21" t="n">
        <x:v>1</x:v>
      </x:c>
      <x:c r="G1951" s="23" t="str">
        <x:f>IF(E1951=F1951,"PASS","FAIL")</x:f>
        <x:v>PASS</x:v>
      </x:c>
    </x:row>
    <x:row r="1952">
      <x:c r="B1952" s="21" t="str">
        <x:v>A01946</x:v>
      </x:c>
      <x:c r="C1952" s="21" t="str">
        <x:v>evidence</x:v>
      </x:c>
      <x:c r="D1952" s="21" t="str">
        <x:v>evidence 16 counts</x:v>
      </x:c>
      <x:c r="E1952" s="21" t="n">
        <x:f>IF(AND('Evidence Package'!F22&lt;='Evidence Package'!E22,'Evidence Package'!G22&lt;='Evidence Package'!F22),1,0)</x:f>
        <x:v>1</x:v>
      </x:c>
      <x:c r="F1952" s="21" t="n">
        <x:v>1</x:v>
      </x:c>
      <x:c r="G1952" s="23" t="str">
        <x:f>IF(E1952=F1952,"PASS","FAIL")</x:f>
        <x:v>PASS</x:v>
      </x:c>
    </x:row>
    <x:row r="1953">
      <x:c r="B1953" s="21" t="str">
        <x:v>A01947</x:v>
      </x:c>
      <x:c r="C1953" s="21" t="str">
        <x:v>evidence</x:v>
      </x:c>
      <x:c r="D1953" s="21" t="str">
        <x:v>evidence 16 state</x:v>
      </x:c>
      <x:c r="E1953" s="21" t="n">
        <x:f>IF(AND('Evidence Package'!H22="OPEN",'Evidence Package'!I22="HOLD"),1,0)</x:f>
        <x:v>1</x:v>
      </x:c>
      <x:c r="F1953" s="21" t="n">
        <x:v>1</x:v>
      </x:c>
      <x:c r="G1953" s="23" t="str">
        <x:f>IF(E1953=F1953,"PASS","FAIL")</x:f>
        <x:v>PASS</x:v>
      </x:c>
    </x:row>
    <x:row r="1954">
      <x:c r="B1954" s="21" t="str">
        <x:v>A01948</x:v>
      </x:c>
      <x:c r="C1954" s="21" t="str">
        <x:v>evidence</x:v>
      </x:c>
      <x:c r="D1954" s="21" t="str">
        <x:v>evidence 17 counts</x:v>
      </x:c>
      <x:c r="E1954" s="21" t="n">
        <x:f>IF(AND('Evidence Package'!F23&lt;='Evidence Package'!E23,'Evidence Package'!G23&lt;='Evidence Package'!F23),1,0)</x:f>
        <x:v>1</x:v>
      </x:c>
      <x:c r="F1954" s="21" t="n">
        <x:v>1</x:v>
      </x:c>
      <x:c r="G1954" s="23" t="str">
        <x:f>IF(E1954=F1954,"PASS","FAIL")</x:f>
        <x:v>PASS</x:v>
      </x:c>
    </x:row>
    <x:row r="1955">
      <x:c r="B1955" s="21" t="str">
        <x:v>A01949</x:v>
      </x:c>
      <x:c r="C1955" s="21" t="str">
        <x:v>evidence</x:v>
      </x:c>
      <x:c r="D1955" s="21" t="str">
        <x:v>evidence 17 state</x:v>
      </x:c>
      <x:c r="E1955" s="21" t="n">
        <x:f>IF(AND('Evidence Package'!H23="OPEN",'Evidence Package'!I23="HOLD"),1,0)</x:f>
        <x:v>1</x:v>
      </x:c>
      <x:c r="F1955" s="21" t="n">
        <x:v>1</x:v>
      </x:c>
      <x:c r="G1955" s="23" t="str">
        <x:f>IF(E1955=F1955,"PASS","FAIL")</x:f>
        <x:v>PASS</x:v>
      </x:c>
    </x:row>
    <x:row r="1956">
      <x:c r="B1956" s="21" t="str">
        <x:v>A01950</x:v>
      </x:c>
      <x:c r="C1956" s="21" t="str">
        <x:v>evidence</x:v>
      </x:c>
      <x:c r="D1956" s="21" t="str">
        <x:v>evidence 18 counts</x:v>
      </x:c>
      <x:c r="E1956" s="21" t="n">
        <x:f>IF(AND('Evidence Package'!F24&lt;='Evidence Package'!E24,'Evidence Package'!G24&lt;='Evidence Package'!F24),1,0)</x:f>
        <x:v>1</x:v>
      </x:c>
      <x:c r="F1956" s="21" t="n">
        <x:v>1</x:v>
      </x:c>
      <x:c r="G1956" s="23" t="str">
        <x:f>IF(E1956=F1956,"PASS","FAIL")</x:f>
        <x:v>PASS</x:v>
      </x:c>
    </x:row>
    <x:row r="1957">
      <x:c r="B1957" s="21" t="str">
        <x:v>A01951</x:v>
      </x:c>
      <x:c r="C1957" s="21" t="str">
        <x:v>evidence</x:v>
      </x:c>
      <x:c r="D1957" s="21" t="str">
        <x:v>evidence 18 state</x:v>
      </x:c>
      <x:c r="E1957" s="21" t="n">
        <x:f>IF(AND('Evidence Package'!H24="OPEN",'Evidence Package'!I24="HOLD"),1,0)</x:f>
        <x:v>1</x:v>
      </x:c>
      <x:c r="F1957" s="21" t="n">
        <x:v>1</x:v>
      </x:c>
      <x:c r="G1957" s="23" t="str">
        <x:f>IF(E1957=F1957,"PASS","FAIL")</x:f>
        <x:v>PASS</x:v>
      </x:c>
    </x:row>
    <x:row r="1958">
      <x:c r="B1958" s="21" t="str">
        <x:v>A01952</x:v>
      </x:c>
      <x:c r="C1958" s="21" t="str">
        <x:v>evidence</x:v>
      </x:c>
      <x:c r="D1958" s="21" t="str">
        <x:v>evidence 19 counts</x:v>
      </x:c>
      <x:c r="E1958" s="21" t="n">
        <x:f>IF(AND('Evidence Package'!F25&lt;='Evidence Package'!E25,'Evidence Package'!G25&lt;='Evidence Package'!F25),1,0)</x:f>
        <x:v>1</x:v>
      </x:c>
      <x:c r="F1958" s="21" t="n">
        <x:v>1</x:v>
      </x:c>
      <x:c r="G1958" s="23" t="str">
        <x:f>IF(E1958=F1958,"PASS","FAIL")</x:f>
        <x:v>PASS</x:v>
      </x:c>
    </x:row>
    <x:row r="1959">
      <x:c r="B1959" s="21" t="str">
        <x:v>A01953</x:v>
      </x:c>
      <x:c r="C1959" s="21" t="str">
        <x:v>evidence</x:v>
      </x:c>
      <x:c r="D1959" s="21" t="str">
        <x:v>evidence 19 state</x:v>
      </x:c>
      <x:c r="E1959" s="21" t="n">
        <x:f>IF(AND('Evidence Package'!H25="OPEN",'Evidence Package'!I25="HOLD"),1,0)</x:f>
        <x:v>1</x:v>
      </x:c>
      <x:c r="F1959" s="21" t="n">
        <x:v>1</x:v>
      </x:c>
      <x:c r="G1959" s="23" t="str">
        <x:f>IF(E1959=F1959,"PASS","FAIL")</x:f>
        <x:v>PASS</x:v>
      </x:c>
    </x:row>
    <x:row r="1960">
      <x:c r="B1960" s="21" t="str">
        <x:v>A01954</x:v>
      </x:c>
      <x:c r="C1960" s="21" t="str">
        <x:v>evidence</x:v>
      </x:c>
      <x:c r="D1960" s="21" t="str">
        <x:v>evidence 20 counts</x:v>
      </x:c>
      <x:c r="E1960" s="21" t="n">
        <x:f>IF(AND('Evidence Package'!F26&lt;='Evidence Package'!E26,'Evidence Package'!G26&lt;='Evidence Package'!F26),1,0)</x:f>
        <x:v>1</x:v>
      </x:c>
      <x:c r="F1960" s="21" t="n">
        <x:v>1</x:v>
      </x:c>
      <x:c r="G1960" s="23" t="str">
        <x:f>IF(E1960=F1960,"PASS","FAIL")</x:f>
        <x:v>PASS</x:v>
      </x:c>
    </x:row>
    <x:row r="1961">
      <x:c r="B1961" s="21" t="str">
        <x:v>A01955</x:v>
      </x:c>
      <x:c r="C1961" s="21" t="str">
        <x:v>evidence</x:v>
      </x:c>
      <x:c r="D1961" s="21" t="str">
        <x:v>evidence 20 state</x:v>
      </x:c>
      <x:c r="E1961" s="21" t="n">
        <x:f>IF(AND('Evidence Package'!H26="OPEN",'Evidence Package'!I26="HOLD"),1,0)</x:f>
        <x:v>1</x:v>
      </x:c>
      <x:c r="F1961" s="21" t="n">
        <x:v>1</x:v>
      </x:c>
      <x:c r="G1961" s="23" t="str">
        <x:f>IF(E1961=F1961,"PASS","FAIL")</x:f>
        <x:v>PASS</x:v>
      </x:c>
    </x:row>
    <x:row r="1962">
      <x:c r="B1962" s="21" t="str">
        <x:v>A01956</x:v>
      </x:c>
      <x:c r="C1962" s="21" t="str">
        <x:v>evidence</x:v>
      </x:c>
      <x:c r="D1962" s="21" t="str">
        <x:v>evidence 21 counts</x:v>
      </x:c>
      <x:c r="E1962" s="21" t="n">
        <x:f>IF(AND('Evidence Package'!F27&lt;='Evidence Package'!E27,'Evidence Package'!G27&lt;='Evidence Package'!F27),1,0)</x:f>
        <x:v>1</x:v>
      </x:c>
      <x:c r="F1962" s="21" t="n">
        <x:v>1</x:v>
      </x:c>
      <x:c r="G1962" s="23" t="str">
        <x:f>IF(E1962=F1962,"PASS","FAIL")</x:f>
        <x:v>PASS</x:v>
      </x:c>
    </x:row>
    <x:row r="1963">
      <x:c r="B1963" s="21" t="str">
        <x:v>A01957</x:v>
      </x:c>
      <x:c r="C1963" s="21" t="str">
        <x:v>evidence</x:v>
      </x:c>
      <x:c r="D1963" s="21" t="str">
        <x:v>evidence 21 state</x:v>
      </x:c>
      <x:c r="E1963" s="21" t="n">
        <x:f>IF(AND('Evidence Package'!H27="OPEN",'Evidence Package'!I27="HOLD"),1,0)</x:f>
        <x:v>1</x:v>
      </x:c>
      <x:c r="F1963" s="21" t="n">
        <x:v>1</x:v>
      </x:c>
      <x:c r="G1963" s="23" t="str">
        <x:f>IF(E1963=F1963,"PASS","FAIL")</x:f>
        <x:v>PASS</x:v>
      </x:c>
    </x:row>
    <x:row r="1964">
      <x:c r="B1964" s="21" t="str">
        <x:v>A01958</x:v>
      </x:c>
      <x:c r="C1964" s="21" t="str">
        <x:v>evidence</x:v>
      </x:c>
      <x:c r="D1964" s="21" t="str">
        <x:v>evidence 22 counts</x:v>
      </x:c>
      <x:c r="E1964" s="21" t="n">
        <x:f>IF(AND('Evidence Package'!F28&lt;='Evidence Package'!E28,'Evidence Package'!G28&lt;='Evidence Package'!F28),1,0)</x:f>
        <x:v>1</x:v>
      </x:c>
      <x:c r="F1964" s="21" t="n">
        <x:v>1</x:v>
      </x:c>
      <x:c r="G1964" s="23" t="str">
        <x:f>IF(E1964=F1964,"PASS","FAIL")</x:f>
        <x:v>PASS</x:v>
      </x:c>
    </x:row>
    <x:row r="1965">
      <x:c r="B1965" s="21" t="str">
        <x:v>A01959</x:v>
      </x:c>
      <x:c r="C1965" s="21" t="str">
        <x:v>evidence</x:v>
      </x:c>
      <x:c r="D1965" s="21" t="str">
        <x:v>evidence 22 state</x:v>
      </x:c>
      <x:c r="E1965" s="21" t="n">
        <x:f>IF(AND('Evidence Package'!H28="OPEN",'Evidence Package'!I28="HOLD"),1,0)</x:f>
        <x:v>1</x:v>
      </x:c>
      <x:c r="F1965" s="21" t="n">
        <x:v>1</x:v>
      </x:c>
      <x:c r="G1965" s="23" t="str">
        <x:f>IF(E1965=F1965,"PASS","FAIL")</x:f>
        <x:v>PASS</x:v>
      </x:c>
    </x:row>
    <x:row r="1966">
      <x:c r="B1966" s="21" t="str">
        <x:v>A01960</x:v>
      </x:c>
      <x:c r="C1966" s="21" t="str">
        <x:v>evidence</x:v>
      </x:c>
      <x:c r="D1966" s="21" t="str">
        <x:v>evidence 23 counts</x:v>
      </x:c>
      <x:c r="E1966" s="21" t="n">
        <x:f>IF(AND('Evidence Package'!F29&lt;='Evidence Package'!E29,'Evidence Package'!G29&lt;='Evidence Package'!F29),1,0)</x:f>
        <x:v>1</x:v>
      </x:c>
      <x:c r="F1966" s="21" t="n">
        <x:v>1</x:v>
      </x:c>
      <x:c r="G1966" s="23" t="str">
        <x:f>IF(E1966=F1966,"PASS","FAIL")</x:f>
        <x:v>PASS</x:v>
      </x:c>
    </x:row>
    <x:row r="1967">
      <x:c r="B1967" s="21" t="str">
        <x:v>A01961</x:v>
      </x:c>
      <x:c r="C1967" s="21" t="str">
        <x:v>evidence</x:v>
      </x:c>
      <x:c r="D1967" s="21" t="str">
        <x:v>evidence 23 state</x:v>
      </x:c>
      <x:c r="E1967" s="21" t="n">
        <x:f>IF(AND('Evidence Package'!H29="OPEN",'Evidence Package'!I29="HOLD"),1,0)</x:f>
        <x:v>1</x:v>
      </x:c>
      <x:c r="F1967" s="21" t="n">
        <x:v>1</x:v>
      </x:c>
      <x:c r="G1967" s="23" t="str">
        <x:f>IF(E1967=F1967,"PASS","FAIL")</x:f>
        <x:v>PASS</x:v>
      </x:c>
    </x:row>
    <x:row r="1968">
      <x:c r="B1968" s="21" t="str">
        <x:v>A01962</x:v>
      </x:c>
      <x:c r="C1968" s="21" t="str">
        <x:v>evidence</x:v>
      </x:c>
      <x:c r="D1968" s="21" t="str">
        <x:v>evidence 24 counts</x:v>
      </x:c>
      <x:c r="E1968" s="21" t="n">
        <x:f>IF(AND('Evidence Package'!F30&lt;='Evidence Package'!E30,'Evidence Package'!G30&lt;='Evidence Package'!F30),1,0)</x:f>
        <x:v>1</x:v>
      </x:c>
      <x:c r="F1968" s="21" t="n">
        <x:v>1</x:v>
      </x:c>
      <x:c r="G1968" s="23" t="str">
        <x:f>IF(E1968=F1968,"PASS","FAIL")</x:f>
        <x:v>PASS</x:v>
      </x:c>
    </x:row>
    <x:row r="1969">
      <x:c r="B1969" s="21" t="str">
        <x:v>A01963</x:v>
      </x:c>
      <x:c r="C1969" s="21" t="str">
        <x:v>evidence</x:v>
      </x:c>
      <x:c r="D1969" s="21" t="str">
        <x:v>evidence 24 state</x:v>
      </x:c>
      <x:c r="E1969" s="21" t="n">
        <x:f>IF(AND('Evidence Package'!H30="OPEN",'Evidence Package'!I30="HOLD"),1,0)</x:f>
        <x:v>1</x:v>
      </x:c>
      <x:c r="F1969" s="21" t="n">
        <x:v>1</x:v>
      </x:c>
      <x:c r="G1969" s="23" t="str">
        <x:f>IF(E1969=F1969,"PASS","FAIL")</x:f>
        <x:v>PASS</x:v>
      </x:c>
    </x:row>
    <x:row r="1970">
      <x:c r="B1970" s="21" t="str">
        <x:v>A01964</x:v>
      </x:c>
      <x:c r="C1970" s="21" t="str">
        <x:v>authority</x:v>
      </x:c>
      <x:c r="D1970" s="21" t="str">
        <x:v>authority 1 no self acceptance</x:v>
      </x:c>
      <x:c r="E1970" s="21" t="n">
        <x:f>IF('Authority Matrix'!H7=0,1,0)</x:f>
        <x:v>1</x:v>
      </x:c>
      <x:c r="F1970" s="21" t="n">
        <x:v>1</x:v>
      </x:c>
      <x:c r="G1970" s="23" t="str">
        <x:f>IF(E1970=F1970,"PASS","FAIL")</x:f>
        <x:v>PASS</x:v>
      </x:c>
    </x:row>
    <x:row r="1971">
      <x:c r="B1971" s="21" t="str">
        <x:v>A01965</x:v>
      </x:c>
      <x:c r="C1971" s="21" t="str">
        <x:v>authority</x:v>
      </x:c>
      <x:c r="D1971" s="21" t="str">
        <x:v>authority 1 held</x:v>
      </x:c>
      <x:c r="E1971" s="21" t="n">
        <x:f>IF('Authority Matrix'!I7="HOLD",1,0)</x:f>
        <x:v>1</x:v>
      </x:c>
      <x:c r="F1971" s="21" t="n">
        <x:v>1</x:v>
      </x:c>
      <x:c r="G1971" s="23" t="str">
        <x:f>IF(E1971=F1971,"PASS","FAIL")</x:f>
        <x:v>PASS</x:v>
      </x:c>
    </x:row>
    <x:row r="1972">
      <x:c r="B1972" s="21" t="str">
        <x:v>A01966</x:v>
      </x:c>
      <x:c r="C1972" s="21" t="str">
        <x:v>authority</x:v>
      </x:c>
      <x:c r="D1972" s="21" t="str">
        <x:v>authority 2 no self acceptance</x:v>
      </x:c>
      <x:c r="E1972" s="21" t="n">
        <x:f>IF('Authority Matrix'!H8=0,1,0)</x:f>
        <x:v>1</x:v>
      </x:c>
      <x:c r="F1972" s="21" t="n">
        <x:v>1</x:v>
      </x:c>
      <x:c r="G1972" s="23" t="str">
        <x:f>IF(E1972=F1972,"PASS","FAIL")</x:f>
        <x:v>PASS</x:v>
      </x:c>
    </x:row>
    <x:row r="1973">
      <x:c r="B1973" s="21" t="str">
        <x:v>A01967</x:v>
      </x:c>
      <x:c r="C1973" s="21" t="str">
        <x:v>authority</x:v>
      </x:c>
      <x:c r="D1973" s="21" t="str">
        <x:v>authority 2 held</x:v>
      </x:c>
      <x:c r="E1973" s="21" t="n">
        <x:f>IF('Authority Matrix'!I8="HOLD",1,0)</x:f>
        <x:v>1</x:v>
      </x:c>
      <x:c r="F1973" s="21" t="n">
        <x:v>1</x:v>
      </x:c>
      <x:c r="G1973" s="23" t="str">
        <x:f>IF(E1973=F1973,"PASS","FAIL")</x:f>
        <x:v>PASS</x:v>
      </x:c>
    </x:row>
    <x:row r="1974">
      <x:c r="B1974" s="21" t="str">
        <x:v>A01968</x:v>
      </x:c>
      <x:c r="C1974" s="21" t="str">
        <x:v>authority</x:v>
      </x:c>
      <x:c r="D1974" s="21" t="str">
        <x:v>authority 3 no self acceptance</x:v>
      </x:c>
      <x:c r="E1974" s="21" t="n">
        <x:f>IF('Authority Matrix'!H9=0,1,0)</x:f>
        <x:v>1</x:v>
      </x:c>
      <x:c r="F1974" s="21" t="n">
        <x:v>1</x:v>
      </x:c>
      <x:c r="G1974" s="23" t="str">
        <x:f>IF(E1974=F1974,"PASS","FAIL")</x:f>
        <x:v>PASS</x:v>
      </x:c>
    </x:row>
    <x:row r="1975">
      <x:c r="B1975" s="21" t="str">
        <x:v>A01969</x:v>
      </x:c>
      <x:c r="C1975" s="21" t="str">
        <x:v>authority</x:v>
      </x:c>
      <x:c r="D1975" s="21" t="str">
        <x:v>authority 3 held</x:v>
      </x:c>
      <x:c r="E1975" s="21" t="n">
        <x:f>IF('Authority Matrix'!I9="HOLD",1,0)</x:f>
        <x:v>1</x:v>
      </x:c>
      <x:c r="F1975" s="21" t="n">
        <x:v>1</x:v>
      </x:c>
      <x:c r="G1975" s="23" t="str">
        <x:f>IF(E1975=F1975,"PASS","FAIL")</x:f>
        <x:v>PASS</x:v>
      </x:c>
    </x:row>
    <x:row r="1976">
      <x:c r="B1976" s="21" t="str">
        <x:v>A01970</x:v>
      </x:c>
      <x:c r="C1976" s="21" t="str">
        <x:v>authority</x:v>
      </x:c>
      <x:c r="D1976" s="21" t="str">
        <x:v>authority 4 no self acceptance</x:v>
      </x:c>
      <x:c r="E1976" s="21" t="n">
        <x:f>IF('Authority Matrix'!H10=0,1,0)</x:f>
        <x:v>1</x:v>
      </x:c>
      <x:c r="F1976" s="21" t="n">
        <x:v>1</x:v>
      </x:c>
      <x:c r="G1976" s="23" t="str">
        <x:f>IF(E1976=F1976,"PASS","FAIL")</x:f>
        <x:v>PASS</x:v>
      </x:c>
    </x:row>
    <x:row r="1977">
      <x:c r="B1977" s="21" t="str">
        <x:v>A01971</x:v>
      </x:c>
      <x:c r="C1977" s="21" t="str">
        <x:v>authority</x:v>
      </x:c>
      <x:c r="D1977" s="21" t="str">
        <x:v>authority 4 held</x:v>
      </x:c>
      <x:c r="E1977" s="21" t="n">
        <x:f>IF('Authority Matrix'!I10="HOLD",1,0)</x:f>
        <x:v>1</x:v>
      </x:c>
      <x:c r="F1977" s="21" t="n">
        <x:v>1</x:v>
      </x:c>
      <x:c r="G1977" s="23" t="str">
        <x:f>IF(E1977=F1977,"PASS","FAIL")</x:f>
        <x:v>PASS</x:v>
      </x:c>
    </x:row>
    <x:row r="1978">
      <x:c r="B1978" s="21" t="str">
        <x:v>A01972</x:v>
      </x:c>
      <x:c r="C1978" s="21" t="str">
        <x:v>authority</x:v>
      </x:c>
      <x:c r="D1978" s="21" t="str">
        <x:v>authority 5 no self acceptance</x:v>
      </x:c>
      <x:c r="E1978" s="21" t="n">
        <x:f>IF('Authority Matrix'!H11=0,1,0)</x:f>
        <x:v>1</x:v>
      </x:c>
      <x:c r="F1978" s="21" t="n">
        <x:v>1</x:v>
      </x:c>
      <x:c r="G1978" s="23" t="str">
        <x:f>IF(E1978=F1978,"PASS","FAIL")</x:f>
        <x:v>PASS</x:v>
      </x:c>
    </x:row>
    <x:row r="1979">
      <x:c r="B1979" s="21" t="str">
        <x:v>A01973</x:v>
      </x:c>
      <x:c r="C1979" s="21" t="str">
        <x:v>authority</x:v>
      </x:c>
      <x:c r="D1979" s="21" t="str">
        <x:v>authority 5 held</x:v>
      </x:c>
      <x:c r="E1979" s="21" t="n">
        <x:f>IF('Authority Matrix'!I11="HOLD",1,0)</x:f>
        <x:v>1</x:v>
      </x:c>
      <x:c r="F1979" s="21" t="n">
        <x:v>1</x:v>
      </x:c>
      <x:c r="G1979" s="23" t="str">
        <x:f>IF(E1979=F1979,"PASS","FAIL")</x:f>
        <x:v>PASS</x:v>
      </x:c>
    </x:row>
    <x:row r="1980">
      <x:c r="B1980" s="21" t="str">
        <x:v>A01974</x:v>
      </x:c>
      <x:c r="C1980" s="21" t="str">
        <x:v>authority</x:v>
      </x:c>
      <x:c r="D1980" s="21" t="str">
        <x:v>authority 6 no self acceptance</x:v>
      </x:c>
      <x:c r="E1980" s="21" t="n">
        <x:f>IF('Authority Matrix'!H12=0,1,0)</x:f>
        <x:v>1</x:v>
      </x:c>
      <x:c r="F1980" s="21" t="n">
        <x:v>1</x:v>
      </x:c>
      <x:c r="G1980" s="23" t="str">
        <x:f>IF(E1980=F1980,"PASS","FAIL")</x:f>
        <x:v>PASS</x:v>
      </x:c>
    </x:row>
    <x:row r="1981">
      <x:c r="B1981" s="21" t="str">
        <x:v>A01975</x:v>
      </x:c>
      <x:c r="C1981" s="21" t="str">
        <x:v>authority</x:v>
      </x:c>
      <x:c r="D1981" s="21" t="str">
        <x:v>authority 6 held</x:v>
      </x:c>
      <x:c r="E1981" s="21" t="n">
        <x:f>IF('Authority Matrix'!I12="HOLD",1,0)</x:f>
        <x:v>1</x:v>
      </x:c>
      <x:c r="F1981" s="21" t="n">
        <x:v>1</x:v>
      </x:c>
      <x:c r="G1981" s="23" t="str">
        <x:f>IF(E1981=F1981,"PASS","FAIL")</x:f>
        <x:v>PASS</x:v>
      </x:c>
    </x:row>
    <x:row r="1982">
      <x:c r="B1982" s="21" t="str">
        <x:v>A01976</x:v>
      </x:c>
      <x:c r="C1982" s="21" t="str">
        <x:v>authority</x:v>
      </x:c>
      <x:c r="D1982" s="21" t="str">
        <x:v>authority 7 no self acceptance</x:v>
      </x:c>
      <x:c r="E1982" s="21" t="n">
        <x:f>IF('Authority Matrix'!H13=0,1,0)</x:f>
        <x:v>1</x:v>
      </x:c>
      <x:c r="F1982" s="21" t="n">
        <x:v>1</x:v>
      </x:c>
      <x:c r="G1982" s="23" t="str">
        <x:f>IF(E1982=F1982,"PASS","FAIL")</x:f>
        <x:v>PASS</x:v>
      </x:c>
    </x:row>
    <x:row r="1983">
      <x:c r="B1983" s="21" t="str">
        <x:v>A01977</x:v>
      </x:c>
      <x:c r="C1983" s="21" t="str">
        <x:v>authority</x:v>
      </x:c>
      <x:c r="D1983" s="21" t="str">
        <x:v>authority 7 held</x:v>
      </x:c>
      <x:c r="E1983" s="21" t="n">
        <x:f>IF('Authority Matrix'!I13="HOLD",1,0)</x:f>
        <x:v>1</x:v>
      </x:c>
      <x:c r="F1983" s="21" t="n">
        <x:v>1</x:v>
      </x:c>
      <x:c r="G1983" s="23" t="str">
        <x:f>IF(E1983=F1983,"PASS","FAIL")</x:f>
        <x:v>PASS</x:v>
      </x:c>
    </x:row>
    <x:row r="1984">
      <x:c r="B1984" s="21" t="str">
        <x:v>A01978</x:v>
      </x:c>
      <x:c r="C1984" s="21" t="str">
        <x:v>authority</x:v>
      </x:c>
      <x:c r="D1984" s="21" t="str">
        <x:v>authority 8 no self acceptance</x:v>
      </x:c>
      <x:c r="E1984" s="21" t="n">
        <x:f>IF('Authority Matrix'!H14=0,1,0)</x:f>
        <x:v>1</x:v>
      </x:c>
      <x:c r="F1984" s="21" t="n">
        <x:v>1</x:v>
      </x:c>
      <x:c r="G1984" s="23" t="str">
        <x:f>IF(E1984=F1984,"PASS","FAIL")</x:f>
        <x:v>PASS</x:v>
      </x:c>
    </x:row>
    <x:row r="1985">
      <x:c r="B1985" s="21" t="str">
        <x:v>A01979</x:v>
      </x:c>
      <x:c r="C1985" s="21" t="str">
        <x:v>authority</x:v>
      </x:c>
      <x:c r="D1985" s="21" t="str">
        <x:v>authority 8 held</x:v>
      </x:c>
      <x:c r="E1985" s="21" t="n">
        <x:f>IF('Authority Matrix'!I14="HOLD",1,0)</x:f>
        <x:v>1</x:v>
      </x:c>
      <x:c r="F1985" s="21" t="n">
        <x:v>1</x:v>
      </x:c>
      <x:c r="G1985" s="23" t="str">
        <x:f>IF(E1985=F1985,"PASS","FAIL")</x:f>
        <x:v>PASS</x:v>
      </x:c>
    </x:row>
    <x:row r="1986">
      <x:c r="B1986" s="21" t="str">
        <x:v>A01980</x:v>
      </x:c>
      <x:c r="C1986" s="21" t="str">
        <x:v>after action</x:v>
      </x:c>
      <x:c r="D1986" s="21" t="str">
        <x:v>F01 plan state</x:v>
      </x:c>
      <x:c r="E1986" s="21" t="n">
        <x:f>IF('After Action'!K7=IF('After Action'!I7&gt;=1,"ADEQUATE","GAP"),1,0)</x:f>
        <x:v>1</x:v>
      </x:c>
      <x:c r="F1986" s="21" t="n">
        <x:v>1</x:v>
      </x:c>
      <x:c r="G1986" s="23" t="str">
        <x:f>IF(E1986=F1986,"PASS","FAIL")</x:f>
        <x:v>PASS</x:v>
      </x:c>
    </x:row>
    <x:row r="1987">
      <x:c r="B1987" s="21" t="str">
        <x:v>A01981</x:v>
      </x:c>
      <x:c r="C1987" s="21" t="str">
        <x:v>after action</x:v>
      </x:c>
      <x:c r="D1987" s="21" t="str">
        <x:v>F01 physical state</x:v>
      </x:c>
      <x:c r="E1987" s="21" t="n">
        <x:f>IF('After Action'!L7=IF('After Action'!J7&gt;=1,"ADMITTED","NOT ADMITTED"),1,0)</x:f>
        <x:v>1</x:v>
      </x:c>
      <x:c r="F1987" s="21" t="n">
        <x:v>1</x:v>
      </x:c>
      <x:c r="G1987" s="23" t="str">
        <x:f>IF(E1987=F1987,"PASS","FAIL")</x:f>
        <x:v>PASS</x:v>
      </x:c>
    </x:row>
    <x:row r="1988">
      <x:c r="B1988" s="21" t="str">
        <x:v>A01982</x:v>
      </x:c>
      <x:c r="C1988" s="21" t="str">
        <x:v>after action</x:v>
      </x:c>
      <x:c r="D1988" s="21" t="str">
        <x:v>F02 plan state</x:v>
      </x:c>
      <x:c r="E1988" s="21" t="n">
        <x:f>IF('After Action'!K8=IF('After Action'!I8&gt;=1,"ADEQUATE","GAP"),1,0)</x:f>
        <x:v>1</x:v>
      </x:c>
      <x:c r="F1988" s="21" t="n">
        <x:v>1</x:v>
      </x:c>
      <x:c r="G1988" s="23" t="str">
        <x:f>IF(E1988=F1988,"PASS","FAIL")</x:f>
        <x:v>PASS</x:v>
      </x:c>
    </x:row>
    <x:row r="1989">
      <x:c r="B1989" s="21" t="str">
        <x:v>A01983</x:v>
      </x:c>
      <x:c r="C1989" s="21" t="str">
        <x:v>after action</x:v>
      </x:c>
      <x:c r="D1989" s="21" t="str">
        <x:v>F02 physical state</x:v>
      </x:c>
      <x:c r="E1989" s="21" t="n">
        <x:f>IF('After Action'!L8=IF('After Action'!J8&gt;=1,"ADMITTED","NOT ADMITTED"),1,0)</x:f>
        <x:v>1</x:v>
      </x:c>
      <x:c r="F1989" s="21" t="n">
        <x:v>1</x:v>
      </x:c>
      <x:c r="G1989" s="23" t="str">
        <x:f>IF(E1989=F1989,"PASS","FAIL")</x:f>
        <x:v>PASS</x:v>
      </x:c>
    </x:row>
    <x:row r="1990">
      <x:c r="B1990" s="21" t="str">
        <x:v>A01984</x:v>
      </x:c>
      <x:c r="C1990" s="21" t="str">
        <x:v>after action</x:v>
      </x:c>
      <x:c r="D1990" s="21" t="str">
        <x:v>F03 plan state</x:v>
      </x:c>
      <x:c r="E1990" s="21" t="n">
        <x:f>IF('After Action'!K9=IF('After Action'!I9&gt;=1,"ADEQUATE","GAP"),1,0)</x:f>
        <x:v>1</x:v>
      </x:c>
      <x:c r="F1990" s="21" t="n">
        <x:v>1</x:v>
      </x:c>
      <x:c r="G1990" s="23" t="str">
        <x:f>IF(E1990=F1990,"PASS","FAIL")</x:f>
        <x:v>PASS</x:v>
      </x:c>
    </x:row>
    <x:row r="1991">
      <x:c r="B1991" s="21" t="str">
        <x:v>A01985</x:v>
      </x:c>
      <x:c r="C1991" s="21" t="str">
        <x:v>after action</x:v>
      </x:c>
      <x:c r="D1991" s="21" t="str">
        <x:v>F03 physical state</x:v>
      </x:c>
      <x:c r="E1991" s="21" t="n">
        <x:f>IF('After Action'!L9=IF('After Action'!J9&gt;=1,"ADMITTED","NOT ADMITTED"),1,0)</x:f>
        <x:v>1</x:v>
      </x:c>
      <x:c r="F1991" s="21" t="n">
        <x:v>1</x:v>
      </x:c>
      <x:c r="G1991" s="23" t="str">
        <x:f>IF(E1991=F1991,"PASS","FAIL")</x:f>
        <x:v>PASS</x:v>
      </x:c>
    </x:row>
    <x:row r="1992">
      <x:c r="B1992" s="21" t="str">
        <x:v>A01986</x:v>
      </x:c>
      <x:c r="C1992" s="21" t="str">
        <x:v>after action</x:v>
      </x:c>
      <x:c r="D1992" s="21" t="str">
        <x:v>F04 plan state</x:v>
      </x:c>
      <x:c r="E1992" s="21" t="n">
        <x:f>IF('After Action'!K10=IF('After Action'!I10&gt;=1,"ADEQUATE","GAP"),1,0)</x:f>
        <x:v>1</x:v>
      </x:c>
      <x:c r="F1992" s="21" t="n">
        <x:v>1</x:v>
      </x:c>
      <x:c r="G1992" s="23" t="str">
        <x:f>IF(E1992=F1992,"PASS","FAIL")</x:f>
        <x:v>PASS</x:v>
      </x:c>
    </x:row>
    <x:row r="1993">
      <x:c r="B1993" s="21" t="str">
        <x:v>A01987</x:v>
      </x:c>
      <x:c r="C1993" s="21" t="str">
        <x:v>after action</x:v>
      </x:c>
      <x:c r="D1993" s="21" t="str">
        <x:v>F04 physical state</x:v>
      </x:c>
      <x:c r="E1993" s="21" t="n">
        <x:f>IF('After Action'!L10=IF('After Action'!J10&gt;=1,"ADMITTED","NOT ADMITTED"),1,0)</x:f>
        <x:v>1</x:v>
      </x:c>
      <x:c r="F1993" s="21" t="n">
        <x:v>1</x:v>
      </x:c>
      <x:c r="G1993" s="23" t="str">
        <x:f>IF(E1993=F1993,"PASS","FAIL")</x:f>
        <x:v>PASS</x:v>
      </x:c>
    </x:row>
    <x:row r="1994">
      <x:c r="B1994" s="21" t="str">
        <x:v>A01988</x:v>
      </x:c>
      <x:c r="C1994" s="21" t="str">
        <x:v>after action</x:v>
      </x:c>
      <x:c r="D1994" s="21" t="str">
        <x:v>F05 plan state</x:v>
      </x:c>
      <x:c r="E1994" s="21" t="n">
        <x:f>IF('After Action'!K11=IF('After Action'!I11&gt;=1,"ADEQUATE","GAP"),1,0)</x:f>
        <x:v>1</x:v>
      </x:c>
      <x:c r="F1994" s="21" t="n">
        <x:v>1</x:v>
      </x:c>
      <x:c r="G1994" s="23" t="str">
        <x:f>IF(E1994=F1994,"PASS","FAIL")</x:f>
        <x:v>PASS</x:v>
      </x:c>
    </x:row>
    <x:row r="1995">
      <x:c r="B1995" s="21" t="str">
        <x:v>A01989</x:v>
      </x:c>
      <x:c r="C1995" s="21" t="str">
        <x:v>after action</x:v>
      </x:c>
      <x:c r="D1995" s="21" t="str">
        <x:v>F05 physical state</x:v>
      </x:c>
      <x:c r="E1995" s="21" t="n">
        <x:f>IF('After Action'!L11=IF('After Action'!J11&gt;=1,"ADMITTED","NOT ADMITTED"),1,0)</x:f>
        <x:v>1</x:v>
      </x:c>
      <x:c r="F1995" s="21" t="n">
        <x:v>1</x:v>
      </x:c>
      <x:c r="G1995" s="23" t="str">
        <x:f>IF(E1995=F1995,"PASS","FAIL")</x:f>
        <x:v>PASS</x:v>
      </x:c>
    </x:row>
    <x:row r="1996">
      <x:c r="B1996" s="21" t="str">
        <x:v>A01990</x:v>
      </x:c>
      <x:c r="C1996" s="21" t="str">
        <x:v>after action</x:v>
      </x:c>
      <x:c r="D1996" s="21" t="str">
        <x:v>F06 plan state</x:v>
      </x:c>
      <x:c r="E1996" s="21" t="n">
        <x:f>IF('After Action'!K12=IF('After Action'!I12&gt;=1,"ADEQUATE","GAP"),1,0)</x:f>
        <x:v>1</x:v>
      </x:c>
      <x:c r="F1996" s="21" t="n">
        <x:v>1</x:v>
      </x:c>
      <x:c r="G1996" s="23" t="str">
        <x:f>IF(E1996=F1996,"PASS","FAIL")</x:f>
        <x:v>PASS</x:v>
      </x:c>
    </x:row>
    <x:row r="1997">
      <x:c r="B1997" s="21" t="str">
        <x:v>A01991</x:v>
      </x:c>
      <x:c r="C1997" s="21" t="str">
        <x:v>after action</x:v>
      </x:c>
      <x:c r="D1997" s="21" t="str">
        <x:v>F06 physical state</x:v>
      </x:c>
      <x:c r="E1997" s="21" t="n">
        <x:f>IF('After Action'!L12=IF('After Action'!J12&gt;=1,"ADMITTED","NOT ADMITTED"),1,0)</x:f>
        <x:v>1</x:v>
      </x:c>
      <x:c r="F1997" s="21" t="n">
        <x:v>1</x:v>
      </x:c>
      <x:c r="G1997" s="23" t="str">
        <x:f>IF(E1997=F1997,"PASS","FAIL")</x:f>
        <x:v>PASS</x:v>
      </x:c>
    </x:row>
    <x:row r="1998">
      <x:c r="B1998" s="21" t="str">
        <x:v>A01992</x:v>
      </x:c>
      <x:c r="C1998" s="21" t="str">
        <x:v>after action</x:v>
      </x:c>
      <x:c r="D1998" s="21" t="str">
        <x:v>F07 plan state</x:v>
      </x:c>
      <x:c r="E1998" s="21" t="n">
        <x:f>IF('After Action'!K13=IF('After Action'!I13&gt;=1,"ADEQUATE","GAP"),1,0)</x:f>
        <x:v>1</x:v>
      </x:c>
      <x:c r="F1998" s="21" t="n">
        <x:v>1</x:v>
      </x:c>
      <x:c r="G1998" s="23" t="str">
        <x:f>IF(E1998=F1998,"PASS","FAIL")</x:f>
        <x:v>PASS</x:v>
      </x:c>
    </x:row>
    <x:row r="1999">
      <x:c r="B1999" s="21" t="str">
        <x:v>A01993</x:v>
      </x:c>
      <x:c r="C1999" s="21" t="str">
        <x:v>after action</x:v>
      </x:c>
      <x:c r="D1999" s="21" t="str">
        <x:v>F07 physical state</x:v>
      </x:c>
      <x:c r="E1999" s="21" t="n">
        <x:f>IF('After Action'!L13=IF('After Action'!J13&gt;=1,"ADMITTED","NOT ADMITTED"),1,0)</x:f>
        <x:v>1</x:v>
      </x:c>
      <x:c r="F1999" s="21" t="n">
        <x:v>1</x:v>
      </x:c>
      <x:c r="G1999" s="23" t="str">
        <x:f>IF(E1999=F1999,"PASS","FAIL")</x:f>
        <x:v>PASS</x:v>
      </x:c>
    </x:row>
    <x:row r="2000">
      <x:c r="B2000" s="21" t="str">
        <x:v>A01994</x:v>
      </x:c>
      <x:c r="C2000" s="21" t="str">
        <x:v>after action</x:v>
      </x:c>
      <x:c r="D2000" s="21" t="str">
        <x:v>F08 plan state</x:v>
      </x:c>
      <x:c r="E2000" s="21" t="n">
        <x:f>IF('After Action'!K14=IF('After Action'!I14&gt;=1,"ADEQUATE","GAP"),1,0)</x:f>
        <x:v>1</x:v>
      </x:c>
      <x:c r="F2000" s="21" t="n">
        <x:v>1</x:v>
      </x:c>
      <x:c r="G2000" s="23" t="str">
        <x:f>IF(E2000=F2000,"PASS","FAIL")</x:f>
        <x:v>PASS</x:v>
      </x:c>
    </x:row>
    <x:row r="2001">
      <x:c r="B2001" s="21" t="str">
        <x:v>A01995</x:v>
      </x:c>
      <x:c r="C2001" s="21" t="str">
        <x:v>after action</x:v>
      </x:c>
      <x:c r="D2001" s="21" t="str">
        <x:v>F08 physical state</x:v>
      </x:c>
      <x:c r="E2001" s="21" t="n">
        <x:f>IF('After Action'!L14=IF('After Action'!J14&gt;=1,"ADMITTED","NOT ADMITTED"),1,0)</x:f>
        <x:v>1</x:v>
      </x:c>
      <x:c r="F2001" s="21" t="n">
        <x:v>1</x:v>
      </x:c>
      <x:c r="G2001" s="23" t="str">
        <x:f>IF(E2001=F2001,"PASS","FAIL")</x:f>
        <x:v>PASS</x:v>
      </x:c>
    </x:row>
    <x:row r="2002">
      <x:c r="B2002" s="21" t="str">
        <x:v>A01996</x:v>
      </x:c>
      <x:c r="C2002" s="21" t="str">
        <x:v>after action</x:v>
      </x:c>
      <x:c r="D2002" s="21" t="str">
        <x:v>F09 plan state</x:v>
      </x:c>
      <x:c r="E2002" s="21" t="n">
        <x:f>IF('After Action'!K15=IF('After Action'!I15&gt;=1,"ADEQUATE","GAP"),1,0)</x:f>
        <x:v>1</x:v>
      </x:c>
      <x:c r="F2002" s="21" t="n">
        <x:v>1</x:v>
      </x:c>
      <x:c r="G2002" s="23" t="str">
        <x:f>IF(E2002=F2002,"PASS","FAIL")</x:f>
        <x:v>PASS</x:v>
      </x:c>
    </x:row>
    <x:row r="2003">
      <x:c r="B2003" s="21" t="str">
        <x:v>A01997</x:v>
      </x:c>
      <x:c r="C2003" s="21" t="str">
        <x:v>after action</x:v>
      </x:c>
      <x:c r="D2003" s="21" t="str">
        <x:v>F09 physical state</x:v>
      </x:c>
      <x:c r="E2003" s="21" t="n">
        <x:f>IF('After Action'!L15=IF('After Action'!J15&gt;=1,"ADMITTED","NOT ADMITTED"),1,0)</x:f>
        <x:v>1</x:v>
      </x:c>
      <x:c r="F2003" s="21" t="n">
        <x:v>1</x:v>
      </x:c>
      <x:c r="G2003" s="23" t="str">
        <x:f>IF(E2003=F2003,"PASS","FAIL")</x:f>
        <x:v>PASS</x:v>
      </x:c>
    </x:row>
    <x:row r="2004">
      <x:c r="B2004" s="21" t="str">
        <x:v>A01998</x:v>
      </x:c>
      <x:c r="C2004" s="21" t="str">
        <x:v>after action</x:v>
      </x:c>
      <x:c r="D2004" s="21" t="str">
        <x:v>F10 plan state</x:v>
      </x:c>
      <x:c r="E2004" s="21" t="n">
        <x:f>IF('After Action'!K16=IF('After Action'!I16&gt;=1,"ADEQUATE","GAP"),1,0)</x:f>
        <x:v>1</x:v>
      </x:c>
      <x:c r="F2004" s="21" t="n">
        <x:v>1</x:v>
      </x:c>
      <x:c r="G2004" s="23" t="str">
        <x:f>IF(E2004=F2004,"PASS","FAIL")</x:f>
        <x:v>PASS</x:v>
      </x:c>
    </x:row>
    <x:row r="2005">
      <x:c r="B2005" s="21" t="str">
        <x:v>A01999</x:v>
      </x:c>
      <x:c r="C2005" s="21" t="str">
        <x:v>after action</x:v>
      </x:c>
      <x:c r="D2005" s="21" t="str">
        <x:v>F10 physical state</x:v>
      </x:c>
      <x:c r="E2005" s="21" t="n">
        <x:f>IF('After Action'!L16=IF('After Action'!J16&gt;=1,"ADMITTED","NOT ADMITTED"),1,0)</x:f>
        <x:v>1</x:v>
      </x:c>
      <x:c r="F2005" s="21" t="n">
        <x:v>1</x:v>
      </x:c>
      <x:c r="G2005" s="23" t="str">
        <x:f>IF(E2005=F2005,"PASS","FAIL")</x:f>
        <x:v>PASS</x:v>
      </x:c>
    </x:row>
    <x:row r="2006">
      <x:c r="B2006" s="21" t="str">
        <x:v>A02000</x:v>
      </x:c>
      <x:c r="C2006" s="21" t="str">
        <x:v>after action</x:v>
      </x:c>
      <x:c r="D2006" s="21" t="str">
        <x:v>F11 plan state</x:v>
      </x:c>
      <x:c r="E2006" s="21" t="n">
        <x:f>IF('After Action'!K17=IF('After Action'!I17&gt;=1,"ADEQUATE","GAP"),1,0)</x:f>
        <x:v>1</x:v>
      </x:c>
      <x:c r="F2006" s="21" t="n">
        <x:v>1</x:v>
      </x:c>
      <x:c r="G2006" s="23" t="str">
        <x:f>IF(E2006=F2006,"PASS","FAIL")</x:f>
        <x:v>PASS</x:v>
      </x:c>
    </x:row>
    <x:row r="2007">
      <x:c r="B2007" s="21" t="str">
        <x:v>A02001</x:v>
      </x:c>
      <x:c r="C2007" s="21" t="str">
        <x:v>after action</x:v>
      </x:c>
      <x:c r="D2007" s="21" t="str">
        <x:v>F11 physical state</x:v>
      </x:c>
      <x:c r="E2007" s="21" t="n">
        <x:f>IF('After Action'!L17=IF('After Action'!J17&gt;=1,"ADMITTED","NOT ADMITTED"),1,0)</x:f>
        <x:v>1</x:v>
      </x:c>
      <x:c r="F2007" s="21" t="n">
        <x:v>1</x:v>
      </x:c>
      <x:c r="G2007" s="23" t="str">
        <x:f>IF(E2007=F2007,"PASS","FAIL")</x:f>
        <x:v>PASS</x:v>
      </x:c>
    </x:row>
    <x:row r="2008">
      <x:c r="B2008" s="21" t="str">
        <x:v>A02002</x:v>
      </x:c>
      <x:c r="C2008" s="21" t="str">
        <x:v>after action</x:v>
      </x:c>
      <x:c r="D2008" s="21" t="str">
        <x:v>F12 plan state</x:v>
      </x:c>
      <x:c r="E2008" s="21" t="n">
        <x:f>IF('After Action'!K18=IF('After Action'!I18&gt;=1,"ADEQUATE","GAP"),1,0)</x:f>
        <x:v>1</x:v>
      </x:c>
      <x:c r="F2008" s="21" t="n">
        <x:v>1</x:v>
      </x:c>
      <x:c r="G2008" s="23" t="str">
        <x:f>IF(E2008=F2008,"PASS","FAIL")</x:f>
        <x:v>PASS</x:v>
      </x:c>
    </x:row>
    <x:row r="2009">
      <x:c r="B2009" s="21" t="str">
        <x:v>A02003</x:v>
      </x:c>
      <x:c r="C2009" s="21" t="str">
        <x:v>after action</x:v>
      </x:c>
      <x:c r="D2009" s="21" t="str">
        <x:v>F12 physical state</x:v>
      </x:c>
      <x:c r="E2009" s="21" t="n">
        <x:f>IF('After Action'!L18=IF('After Action'!J18&gt;=1,"ADMITTED","NOT ADMITTED"),1,0)</x:f>
        <x:v>1</x:v>
      </x:c>
      <x:c r="F2009" s="21" t="n">
        <x:v>1</x:v>
      </x:c>
      <x:c r="G2009" s="23" t="str">
        <x:f>IF(E2009=F2009,"PASS","FAIL")</x:f>
        <x:v>PASS</x:v>
      </x:c>
    </x:row>
    <x:row r="2010">
      <x:c r="B2010" s="21" t="str">
        <x:v>A02004</x:v>
      </x:c>
      <x:c r="C2010" s="21" t="str">
        <x:v>after action</x:v>
      </x:c>
      <x:c r="D2010" s="21" t="str">
        <x:v>F13 plan state</x:v>
      </x:c>
      <x:c r="E2010" s="21" t="n">
        <x:f>IF('After Action'!K19=IF('After Action'!I19&gt;=1,"ADEQUATE","GAP"),1,0)</x:f>
        <x:v>1</x:v>
      </x:c>
      <x:c r="F2010" s="21" t="n">
        <x:v>1</x:v>
      </x:c>
      <x:c r="G2010" s="23" t="str">
        <x:f>IF(E2010=F2010,"PASS","FAIL")</x:f>
        <x:v>PASS</x:v>
      </x:c>
    </x:row>
    <x:row r="2011">
      <x:c r="B2011" s="21" t="str">
        <x:v>A02005</x:v>
      </x:c>
      <x:c r="C2011" s="21" t="str">
        <x:v>after action</x:v>
      </x:c>
      <x:c r="D2011" s="21" t="str">
        <x:v>F13 physical state</x:v>
      </x:c>
      <x:c r="E2011" s="21" t="n">
        <x:f>IF('After Action'!L19=IF('After Action'!J19&gt;=1,"ADMITTED","NOT ADMITTED"),1,0)</x:f>
        <x:v>1</x:v>
      </x:c>
      <x:c r="F2011" s="21" t="n">
        <x:v>1</x:v>
      </x:c>
      <x:c r="G2011" s="23" t="str">
        <x:f>IF(E2011=F2011,"PASS","FAIL")</x:f>
        <x:v>PASS</x:v>
      </x:c>
    </x:row>
    <x:row r="2012">
      <x:c r="B2012" s="21" t="str">
        <x:v>A02006</x:v>
      </x:c>
      <x:c r="C2012" s="21" t="str">
        <x:v>after action</x:v>
      </x:c>
      <x:c r="D2012" s="21" t="str">
        <x:v>F14 plan state</x:v>
      </x:c>
      <x:c r="E2012" s="21" t="n">
        <x:f>IF('After Action'!K20=IF('After Action'!I20&gt;=1,"ADEQUATE","GAP"),1,0)</x:f>
        <x:v>1</x:v>
      </x:c>
      <x:c r="F2012" s="21" t="n">
        <x:v>1</x:v>
      </x:c>
      <x:c r="G2012" s="23" t="str">
        <x:f>IF(E2012=F2012,"PASS","FAIL")</x:f>
        <x:v>PASS</x:v>
      </x:c>
    </x:row>
    <x:row r="2013">
      <x:c r="B2013" s="21" t="str">
        <x:v>A02007</x:v>
      </x:c>
      <x:c r="C2013" s="21" t="str">
        <x:v>after action</x:v>
      </x:c>
      <x:c r="D2013" s="21" t="str">
        <x:v>F14 physical state</x:v>
      </x:c>
      <x:c r="E2013" s="21" t="n">
        <x:f>IF('After Action'!L20=IF('After Action'!J20&gt;=1,"ADMITTED","NOT ADMITTED"),1,0)</x:f>
        <x:v>1</x:v>
      </x:c>
      <x:c r="F2013" s="21" t="n">
        <x:v>1</x:v>
      </x:c>
      <x:c r="G2013" s="23" t="str">
        <x:f>IF(E2013=F2013,"PASS","FAIL")</x:f>
        <x:v>PASS</x:v>
      </x:c>
    </x:row>
    <x:row r="2014">
      <x:c r="B2014" s="21" t="str">
        <x:v>A02008</x:v>
      </x:c>
      <x:c r="C2014" s="21" t="str">
        <x:v>after action</x:v>
      </x:c>
      <x:c r="D2014" s="21" t="str">
        <x:v>F15 plan state</x:v>
      </x:c>
      <x:c r="E2014" s="21" t="n">
        <x:f>IF('After Action'!K21=IF('After Action'!I21&gt;=1,"ADEQUATE","GAP"),1,0)</x:f>
        <x:v>1</x:v>
      </x:c>
      <x:c r="F2014" s="21" t="n">
        <x:v>1</x:v>
      </x:c>
      <x:c r="G2014" s="23" t="str">
        <x:f>IF(E2014=F2014,"PASS","FAIL")</x:f>
        <x:v>PASS</x:v>
      </x:c>
    </x:row>
    <x:row r="2015">
      <x:c r="B2015" s="21" t="str">
        <x:v>A02009</x:v>
      </x:c>
      <x:c r="C2015" s="21" t="str">
        <x:v>after action</x:v>
      </x:c>
      <x:c r="D2015" s="21" t="str">
        <x:v>F15 physical state</x:v>
      </x:c>
      <x:c r="E2015" s="21" t="n">
        <x:f>IF('After Action'!L21=IF('After Action'!J21&gt;=1,"ADMITTED","NOT ADMITTED"),1,0)</x:f>
        <x:v>1</x:v>
      </x:c>
      <x:c r="F2015" s="21" t="n">
        <x:v>1</x:v>
      </x:c>
      <x:c r="G2015" s="23" t="str">
        <x:f>IF(E2015=F2015,"PASS","FAIL")</x:f>
        <x:v>PASS</x:v>
      </x:c>
    </x:row>
    <x:row r="2016">
      <x:c r="B2016" s="21" t="str">
        <x:v>A02010</x:v>
      </x:c>
      <x:c r="C2016" s="21" t="str">
        <x:v>after action</x:v>
      </x:c>
      <x:c r="D2016" s="21" t="str">
        <x:v>F16 plan state</x:v>
      </x:c>
      <x:c r="E2016" s="21" t="n">
        <x:f>IF('After Action'!K22=IF('After Action'!I22&gt;=1,"ADEQUATE","GAP"),1,0)</x:f>
        <x:v>1</x:v>
      </x:c>
      <x:c r="F2016" s="21" t="n">
        <x:v>1</x:v>
      </x:c>
      <x:c r="G2016" s="23" t="str">
        <x:f>IF(E2016=F2016,"PASS","FAIL")</x:f>
        <x:v>PASS</x:v>
      </x:c>
    </x:row>
    <x:row r="2017">
      <x:c r="B2017" s="21" t="str">
        <x:v>A02011</x:v>
      </x:c>
      <x:c r="C2017" s="21" t="str">
        <x:v>after action</x:v>
      </x:c>
      <x:c r="D2017" s="21" t="str">
        <x:v>F16 physical state</x:v>
      </x:c>
      <x:c r="E2017" s="21" t="n">
        <x:f>IF('After Action'!L22=IF('After Action'!J22&gt;=1,"ADMITTED","NOT ADMITTED"),1,0)</x:f>
        <x:v>1</x:v>
      </x:c>
      <x:c r="F2017" s="21" t="n">
        <x:v>1</x:v>
      </x:c>
      <x:c r="G2017" s="23" t="str">
        <x:f>IF(E2017=F2017,"PASS","FAIL")</x:f>
        <x:v>PASS</x:v>
      </x:c>
    </x:row>
    <x:row r="2018">
      <x:c r="B2018" s="21" t="str">
        <x:v>A02012</x:v>
      </x:c>
      <x:c r="C2018" s="21" t="str">
        <x:v>after action</x:v>
      </x:c>
      <x:c r="D2018" s="21" t="str">
        <x:v>F17 plan state</x:v>
      </x:c>
      <x:c r="E2018" s="21" t="n">
        <x:f>IF('After Action'!K23=IF('After Action'!I23&gt;=1,"ADEQUATE","GAP"),1,0)</x:f>
        <x:v>1</x:v>
      </x:c>
      <x:c r="F2018" s="21" t="n">
        <x:v>1</x:v>
      </x:c>
      <x:c r="G2018" s="23" t="str">
        <x:f>IF(E2018=F2018,"PASS","FAIL")</x:f>
        <x:v>PASS</x:v>
      </x:c>
    </x:row>
    <x:row r="2019">
      <x:c r="B2019" s="21" t="str">
        <x:v>A02013</x:v>
      </x:c>
      <x:c r="C2019" s="21" t="str">
        <x:v>after action</x:v>
      </x:c>
      <x:c r="D2019" s="21" t="str">
        <x:v>F17 physical state</x:v>
      </x:c>
      <x:c r="E2019" s="21" t="n">
        <x:f>IF('After Action'!L23=IF('After Action'!J23&gt;=1,"ADMITTED","NOT ADMITTED"),1,0)</x:f>
        <x:v>1</x:v>
      </x:c>
      <x:c r="F2019" s="21" t="n">
        <x:v>1</x:v>
      </x:c>
      <x:c r="G2019" s="23" t="str">
        <x:f>IF(E2019=F2019,"PASS","FAIL")</x:f>
        <x:v>PASS</x:v>
      </x:c>
    </x:row>
    <x:row r="2020">
      <x:c r="B2020" s="21" t="str">
        <x:v>A02014</x:v>
      </x:c>
      <x:c r="C2020" s="21" t="str">
        <x:v>after action</x:v>
      </x:c>
      <x:c r="D2020" s="21" t="str">
        <x:v>F18 plan state</x:v>
      </x:c>
      <x:c r="E2020" s="21" t="n">
        <x:f>IF('After Action'!K24=IF('After Action'!I24&gt;=1,"ADEQUATE","GAP"),1,0)</x:f>
        <x:v>1</x:v>
      </x:c>
      <x:c r="F2020" s="21" t="n">
        <x:v>1</x:v>
      </x:c>
      <x:c r="G2020" s="23" t="str">
        <x:f>IF(E2020=F2020,"PASS","FAIL")</x:f>
        <x:v>PASS</x:v>
      </x:c>
    </x:row>
    <x:row r="2021">
      <x:c r="B2021" s="21" t="str">
        <x:v>A02015</x:v>
      </x:c>
      <x:c r="C2021" s="21" t="str">
        <x:v>after action</x:v>
      </x:c>
      <x:c r="D2021" s="21" t="str">
        <x:v>F18 physical state</x:v>
      </x:c>
      <x:c r="E2021" s="21" t="n">
        <x:f>IF('After Action'!L24=IF('After Action'!J24&gt;=1,"ADMITTED","NOT ADMITTED"),1,0)</x:f>
        <x:v>1</x:v>
      </x:c>
      <x:c r="F2021" s="21" t="n">
        <x:v>1</x:v>
      </x:c>
      <x:c r="G2021" s="23" t="str">
        <x:f>IF(E2021=F2021,"PASS","FAIL")</x:f>
        <x:v>PASS</x:v>
      </x:c>
    </x:row>
    <x:row r="2022">
      <x:c r="B2022" s="21" t="str">
        <x:v>A02016</x:v>
      </x:c>
      <x:c r="C2022" s="21" t="str">
        <x:v>after action</x:v>
      </x:c>
      <x:c r="D2022" s="21" t="str">
        <x:v>F19 plan state</x:v>
      </x:c>
      <x:c r="E2022" s="21" t="n">
        <x:f>IF('After Action'!K25=IF('After Action'!I25&gt;=1,"ADEQUATE","GAP"),1,0)</x:f>
        <x:v>1</x:v>
      </x:c>
      <x:c r="F2022" s="21" t="n">
        <x:v>1</x:v>
      </x:c>
      <x:c r="G2022" s="23" t="str">
        <x:f>IF(E2022=F2022,"PASS","FAIL")</x:f>
        <x:v>PASS</x:v>
      </x:c>
    </x:row>
    <x:row r="2023">
      <x:c r="B2023" s="21" t="str">
        <x:v>A02017</x:v>
      </x:c>
      <x:c r="C2023" s="21" t="str">
        <x:v>after action</x:v>
      </x:c>
      <x:c r="D2023" s="21" t="str">
        <x:v>F19 physical state</x:v>
      </x:c>
      <x:c r="E2023" s="21" t="n">
        <x:f>IF('After Action'!L25=IF('After Action'!J25&gt;=1,"ADMITTED","NOT ADMITTED"),1,0)</x:f>
        <x:v>1</x:v>
      </x:c>
      <x:c r="F2023" s="21" t="n">
        <x:v>1</x:v>
      </x:c>
      <x:c r="G2023" s="23" t="str">
        <x:f>IF(E2023=F2023,"PASS","FAIL")</x:f>
        <x:v>PASS</x:v>
      </x:c>
    </x:row>
    <x:row r="2024">
      <x:c r="B2024" s="21" t="str">
        <x:v>A02018</x:v>
      </x:c>
      <x:c r="C2024" s="21" t="str">
        <x:v>after action</x:v>
      </x:c>
      <x:c r="D2024" s="21" t="str">
        <x:v>F20 plan state</x:v>
      </x:c>
      <x:c r="E2024" s="21" t="n">
        <x:f>IF('After Action'!K26=IF('After Action'!I26&gt;=1,"ADEQUATE","GAP"),1,0)</x:f>
        <x:v>1</x:v>
      </x:c>
      <x:c r="F2024" s="21" t="n">
        <x:v>1</x:v>
      </x:c>
      <x:c r="G2024" s="23" t="str">
        <x:f>IF(E2024=F2024,"PASS","FAIL")</x:f>
        <x:v>PASS</x:v>
      </x:c>
    </x:row>
    <x:row r="2025">
      <x:c r="B2025" s="21" t="str">
        <x:v>A02019</x:v>
      </x:c>
      <x:c r="C2025" s="21" t="str">
        <x:v>after action</x:v>
      </x:c>
      <x:c r="D2025" s="21" t="str">
        <x:v>F20 physical state</x:v>
      </x:c>
      <x:c r="E2025" s="21" t="n">
        <x:f>IF('After Action'!L26=IF('After Action'!J26&gt;=1,"ADMITTED","NOT ADMITTED"),1,0)</x:f>
        <x:v>1</x:v>
      </x:c>
      <x:c r="F2025" s="21" t="n">
        <x:v>1</x:v>
      </x:c>
      <x:c r="G2025" s="23" t="str">
        <x:f>IF(E2025=F2025,"PASS","FAIL")</x:f>
        <x:v>PASS</x:v>
      </x:c>
    </x:row>
    <x:row r="2026">
      <x:c r="B2026" s="21" t="str">
        <x:v>A02020</x:v>
      </x:c>
      <x:c r="C2026" s="21" t="str">
        <x:v>after action</x:v>
      </x:c>
      <x:c r="D2026" s="21" t="str">
        <x:v>F21 plan state</x:v>
      </x:c>
      <x:c r="E2026" s="21" t="n">
        <x:f>IF('After Action'!K27=IF('After Action'!I27&gt;=1,"ADEQUATE","GAP"),1,0)</x:f>
        <x:v>1</x:v>
      </x:c>
      <x:c r="F2026" s="21" t="n">
        <x:v>1</x:v>
      </x:c>
      <x:c r="G2026" s="23" t="str">
        <x:f>IF(E2026=F2026,"PASS","FAIL")</x:f>
        <x:v>PASS</x:v>
      </x:c>
    </x:row>
    <x:row r="2027">
      <x:c r="B2027" s="21" t="str">
        <x:v>A02021</x:v>
      </x:c>
      <x:c r="C2027" s="21" t="str">
        <x:v>after action</x:v>
      </x:c>
      <x:c r="D2027" s="21" t="str">
        <x:v>F21 physical state</x:v>
      </x:c>
      <x:c r="E2027" s="21" t="n">
        <x:f>IF('After Action'!L27=IF('After Action'!J27&gt;=1,"ADMITTED","NOT ADMITTED"),1,0)</x:f>
        <x:v>1</x:v>
      </x:c>
      <x:c r="F2027" s="21" t="n">
        <x:v>1</x:v>
      </x:c>
      <x:c r="G2027" s="23" t="str">
        <x:f>IF(E2027=F2027,"PASS","FAIL")</x:f>
        <x:v>PASS</x:v>
      </x:c>
    </x:row>
    <x:row r="2028">
      <x:c r="B2028" s="21" t="str">
        <x:v>A02022</x:v>
      </x:c>
      <x:c r="C2028" s="21" t="str">
        <x:v>after action</x:v>
      </x:c>
      <x:c r="D2028" s="21" t="str">
        <x:v>F22 plan state</x:v>
      </x:c>
      <x:c r="E2028" s="21" t="n">
        <x:f>IF('After Action'!K28=IF('After Action'!I28&gt;=1,"ADEQUATE","GAP"),1,0)</x:f>
        <x:v>1</x:v>
      </x:c>
      <x:c r="F2028" s="21" t="n">
        <x:v>1</x:v>
      </x:c>
      <x:c r="G2028" s="23" t="str">
        <x:f>IF(E2028=F2028,"PASS","FAIL")</x:f>
        <x:v>PASS</x:v>
      </x:c>
    </x:row>
    <x:row r="2029">
      <x:c r="B2029" s="21" t="str">
        <x:v>A02023</x:v>
      </x:c>
      <x:c r="C2029" s="21" t="str">
        <x:v>after action</x:v>
      </x:c>
      <x:c r="D2029" s="21" t="str">
        <x:v>F22 physical state</x:v>
      </x:c>
      <x:c r="E2029" s="21" t="n">
        <x:f>IF('After Action'!L28=IF('After Action'!J28&gt;=1,"ADMITTED","NOT ADMITTED"),1,0)</x:f>
        <x:v>1</x:v>
      </x:c>
      <x:c r="F2029" s="21" t="n">
        <x:v>1</x:v>
      </x:c>
      <x:c r="G2029" s="23" t="str">
        <x:f>IF(E2029=F2029,"PASS","FAIL")</x:f>
        <x:v>PASS</x:v>
      </x:c>
    </x:row>
    <x:row r="2030">
      <x:c r="B2030" s="21" t="str">
        <x:v>A02024</x:v>
      </x:c>
      <x:c r="C2030" s="21" t="str">
        <x:v>after action</x:v>
      </x:c>
      <x:c r="D2030" s="21" t="str">
        <x:v>F23 plan state</x:v>
      </x:c>
      <x:c r="E2030" s="21" t="n">
        <x:f>IF('After Action'!K29=IF('After Action'!I29&gt;=1,"ADEQUATE","GAP"),1,0)</x:f>
        <x:v>1</x:v>
      </x:c>
      <x:c r="F2030" s="21" t="n">
        <x:v>1</x:v>
      </x:c>
      <x:c r="G2030" s="23" t="str">
        <x:f>IF(E2030=F2030,"PASS","FAIL")</x:f>
        <x:v>PASS</x:v>
      </x:c>
    </x:row>
    <x:row r="2031">
      <x:c r="B2031" s="21" t="str">
        <x:v>A02025</x:v>
      </x:c>
      <x:c r="C2031" s="21" t="str">
        <x:v>after action</x:v>
      </x:c>
      <x:c r="D2031" s="21" t="str">
        <x:v>F23 physical state</x:v>
      </x:c>
      <x:c r="E2031" s="21" t="n">
        <x:f>IF('After Action'!L29=IF('After Action'!J29&gt;=1,"ADMITTED","NOT ADMITTED"),1,0)</x:f>
        <x:v>1</x:v>
      </x:c>
      <x:c r="F2031" s="21" t="n">
        <x:v>1</x:v>
      </x:c>
      <x:c r="G2031" s="23" t="str">
        <x:f>IF(E2031=F2031,"PASS","FAIL")</x:f>
        <x:v>PASS</x:v>
      </x:c>
    </x:row>
    <x:row r="2032">
      <x:c r="B2032" s="21" t="str">
        <x:v>A02026</x:v>
      </x:c>
      <x:c r="C2032" s="21" t="str">
        <x:v>after action</x:v>
      </x:c>
      <x:c r="D2032" s="21" t="str">
        <x:v>F24 plan state</x:v>
      </x:c>
      <x:c r="E2032" s="21" t="n">
        <x:f>IF('After Action'!K30=IF('After Action'!I30&gt;=1,"ADEQUATE","GAP"),1,0)</x:f>
        <x:v>1</x:v>
      </x:c>
      <x:c r="F2032" s="21" t="n">
        <x:v>1</x:v>
      </x:c>
      <x:c r="G2032" s="23" t="str">
        <x:f>IF(E2032=F2032,"PASS","FAIL")</x:f>
        <x:v>PASS</x:v>
      </x:c>
    </x:row>
    <x:row r="2033">
      <x:c r="B2033" s="21" t="str">
        <x:v>A02027</x:v>
      </x:c>
      <x:c r="C2033" s="21" t="str">
        <x:v>after action</x:v>
      </x:c>
      <x:c r="D2033" s="21" t="str">
        <x:v>F24 physical state</x:v>
      </x:c>
      <x:c r="E2033" s="21" t="n">
        <x:f>IF('After Action'!L30=IF('After Action'!J30&gt;=1,"ADMITTED","NOT ADMITTED"),1,0)</x:f>
        <x:v>1</x:v>
      </x:c>
      <x:c r="F2033" s="21" t="n">
        <x:v>1</x:v>
      </x:c>
      <x:c r="G2033" s="23" t="str">
        <x:f>IF(E2033=F2033,"PASS","FAIL")</x:f>
        <x:v>PASS</x:v>
      </x:c>
    </x:row>
    <x:row r="2034">
      <x:c r="B2034" s="21" t="str">
        <x:v>A02028</x:v>
      </x:c>
      <x:c r="C2034" s="21" t="str">
        <x:v>after action</x:v>
      </x:c>
      <x:c r="D2034" s="21" t="str">
        <x:v>F25 plan state</x:v>
      </x:c>
      <x:c r="E2034" s="21" t="n">
        <x:f>IF('After Action'!K31=IF('After Action'!I31&gt;=1,"ADEQUATE","GAP"),1,0)</x:f>
        <x:v>1</x:v>
      </x:c>
      <x:c r="F2034" s="21" t="n">
        <x:v>1</x:v>
      </x:c>
      <x:c r="G2034" s="23" t="str">
        <x:f>IF(E2034=F2034,"PASS","FAIL")</x:f>
        <x:v>PASS</x:v>
      </x:c>
    </x:row>
    <x:row r="2035">
      <x:c r="B2035" s="21" t="str">
        <x:v>A02029</x:v>
      </x:c>
      <x:c r="C2035" s="21" t="str">
        <x:v>after action</x:v>
      </x:c>
      <x:c r="D2035" s="21" t="str">
        <x:v>F25 physical state</x:v>
      </x:c>
      <x:c r="E2035" s="21" t="n">
        <x:f>IF('After Action'!L31=IF('After Action'!J31&gt;=1,"ADMITTED","NOT ADMITTED"),1,0)</x:f>
        <x:v>1</x:v>
      </x:c>
      <x:c r="F2035" s="21" t="n">
        <x:v>1</x:v>
      </x:c>
      <x:c r="G2035" s="23" t="str">
        <x:f>IF(E2035=F2035,"PASS","FAIL")</x:f>
        <x:v>PASS</x:v>
      </x:c>
    </x:row>
    <x:row r="2036">
      <x:c r="B2036" s="21" t="str">
        <x:v>A02030</x:v>
      </x:c>
      <x:c r="C2036" s="21" t="str">
        <x:v>after action</x:v>
      </x:c>
      <x:c r="D2036" s="21" t="str">
        <x:v>F26 plan state</x:v>
      </x:c>
      <x:c r="E2036" s="21" t="n">
        <x:f>IF('After Action'!K32=IF('After Action'!I32&gt;=1,"ADEQUATE","GAP"),1,0)</x:f>
        <x:v>1</x:v>
      </x:c>
      <x:c r="F2036" s="21" t="n">
        <x:v>1</x:v>
      </x:c>
      <x:c r="G2036" s="23" t="str">
        <x:f>IF(E2036=F2036,"PASS","FAIL")</x:f>
        <x:v>PASS</x:v>
      </x:c>
    </x:row>
    <x:row r="2037">
      <x:c r="B2037" s="21" t="str">
        <x:v>A02031</x:v>
      </x:c>
      <x:c r="C2037" s="21" t="str">
        <x:v>after action</x:v>
      </x:c>
      <x:c r="D2037" s="21" t="str">
        <x:v>F26 physical state</x:v>
      </x:c>
      <x:c r="E2037" s="21" t="n">
        <x:f>IF('After Action'!L32=IF('After Action'!J32&gt;=1,"ADMITTED","NOT ADMITTED"),1,0)</x:f>
        <x:v>1</x:v>
      </x:c>
      <x:c r="F2037" s="21" t="n">
        <x:v>1</x:v>
      </x:c>
      <x:c r="G2037" s="23" t="str">
        <x:f>IF(E2037=F2037,"PASS","FAIL")</x:f>
        <x:v>PASS</x:v>
      </x:c>
    </x:row>
    <x:row r="2038">
      <x:c r="B2038" s="21" t="str">
        <x:v>A02032</x:v>
      </x:c>
      <x:c r="C2038" s="21" t="str">
        <x:v>after action</x:v>
      </x:c>
      <x:c r="D2038" s="21" t="str">
        <x:v>F27 plan state</x:v>
      </x:c>
      <x:c r="E2038" s="21" t="n">
        <x:f>IF('After Action'!K33=IF('After Action'!I33&gt;=1,"ADEQUATE","GAP"),1,0)</x:f>
        <x:v>1</x:v>
      </x:c>
      <x:c r="F2038" s="21" t="n">
        <x:v>1</x:v>
      </x:c>
      <x:c r="G2038" s="23" t="str">
        <x:f>IF(E2038=F2038,"PASS","FAIL")</x:f>
        <x:v>PASS</x:v>
      </x:c>
    </x:row>
    <x:row r="2039">
      <x:c r="B2039" s="21" t="str">
        <x:v>A02033</x:v>
      </x:c>
      <x:c r="C2039" s="21" t="str">
        <x:v>after action</x:v>
      </x:c>
      <x:c r="D2039" s="21" t="str">
        <x:v>F27 physical state</x:v>
      </x:c>
      <x:c r="E2039" s="21" t="n">
        <x:f>IF('After Action'!L33=IF('After Action'!J33&gt;=1,"ADMITTED","NOT ADMITTED"),1,0)</x:f>
        <x:v>1</x:v>
      </x:c>
      <x:c r="F2039" s="21" t="n">
        <x:v>1</x:v>
      </x:c>
      <x:c r="G2039" s="23" t="str">
        <x:f>IF(E2039=F2039,"PASS","FAIL")</x:f>
        <x:v>PASS</x:v>
      </x:c>
    </x:row>
    <x:row r="2040">
      <x:c r="B2040" s="21" t="str">
        <x:v>A02034</x:v>
      </x:c>
      <x:c r="C2040" s="21" t="str">
        <x:v>after action</x:v>
      </x:c>
      <x:c r="D2040" s="21" t="str">
        <x:v>F28 plan state</x:v>
      </x:c>
      <x:c r="E2040" s="21" t="n">
        <x:f>IF('After Action'!K34=IF('After Action'!I34&gt;=1,"ADEQUATE","GAP"),1,0)</x:f>
        <x:v>1</x:v>
      </x:c>
      <x:c r="F2040" s="21" t="n">
        <x:v>1</x:v>
      </x:c>
      <x:c r="G2040" s="23" t="str">
        <x:f>IF(E2040=F2040,"PASS","FAIL")</x:f>
        <x:v>PASS</x:v>
      </x:c>
    </x:row>
    <x:row r="2041">
      <x:c r="B2041" s="21" t="str">
        <x:v>A02035</x:v>
      </x:c>
      <x:c r="C2041" s="21" t="str">
        <x:v>after action</x:v>
      </x:c>
      <x:c r="D2041" s="21" t="str">
        <x:v>F28 physical state</x:v>
      </x:c>
      <x:c r="E2041" s="21" t="n">
        <x:f>IF('After Action'!L34=IF('After Action'!J34&gt;=1,"ADMITTED","NOT ADMITTED"),1,0)</x:f>
        <x:v>1</x:v>
      </x:c>
      <x:c r="F2041" s="21" t="n">
        <x:v>1</x:v>
      </x:c>
      <x:c r="G2041" s="23" t="str">
        <x:f>IF(E2041=F2041,"PASS","FAIL")</x:f>
        <x:v>PASS</x:v>
      </x:c>
    </x:row>
    <x:row r="2042">
      <x:c r="B2042" s="21" t="str">
        <x:v>A02036</x:v>
      </x:c>
      <x:c r="C2042" s="21" t="str">
        <x:v>after action</x:v>
      </x:c>
      <x:c r="D2042" s="21" t="str">
        <x:v>F29 plan state</x:v>
      </x:c>
      <x:c r="E2042" s="21" t="n">
        <x:f>IF('After Action'!K35=IF('After Action'!I35&gt;=1,"ADEQUATE","GAP"),1,0)</x:f>
        <x:v>1</x:v>
      </x:c>
      <x:c r="F2042" s="21" t="n">
        <x:v>1</x:v>
      </x:c>
      <x:c r="G2042" s="23" t="str">
        <x:f>IF(E2042=F2042,"PASS","FAIL")</x:f>
        <x:v>PASS</x:v>
      </x:c>
    </x:row>
    <x:row r="2043">
      <x:c r="B2043" s="21" t="str">
        <x:v>A02037</x:v>
      </x:c>
      <x:c r="C2043" s="21" t="str">
        <x:v>after action</x:v>
      </x:c>
      <x:c r="D2043" s="21" t="str">
        <x:v>F29 physical state</x:v>
      </x:c>
      <x:c r="E2043" s="21" t="n">
        <x:f>IF('After Action'!L35=IF('After Action'!J35&gt;=1,"ADMITTED","NOT ADMITTED"),1,0)</x:f>
        <x:v>1</x:v>
      </x:c>
      <x:c r="F2043" s="21" t="n">
        <x:v>1</x:v>
      </x:c>
      <x:c r="G2043" s="23" t="str">
        <x:f>IF(E2043=F2043,"PASS","FAIL")</x:f>
        <x:v>PASS</x:v>
      </x:c>
    </x:row>
    <x:row r="2044">
      <x:c r="B2044" s="21" t="str">
        <x:v>A02038</x:v>
      </x:c>
      <x:c r="C2044" s="21" t="str">
        <x:v>after action</x:v>
      </x:c>
      <x:c r="D2044" s="21" t="str">
        <x:v>F30 plan state</x:v>
      </x:c>
      <x:c r="E2044" s="21" t="n">
        <x:f>IF('After Action'!K36=IF('After Action'!I36&gt;=1,"ADEQUATE","GAP"),1,0)</x:f>
        <x:v>1</x:v>
      </x:c>
      <x:c r="F2044" s="21" t="n">
        <x:v>1</x:v>
      </x:c>
      <x:c r="G2044" s="23" t="str">
        <x:f>IF(E2044=F2044,"PASS","FAIL")</x:f>
        <x:v>PASS</x:v>
      </x:c>
    </x:row>
    <x:row r="2045">
      <x:c r="B2045" s="21" t="str">
        <x:v>A02039</x:v>
      </x:c>
      <x:c r="C2045" s="21" t="str">
        <x:v>after action</x:v>
      </x:c>
      <x:c r="D2045" s="21" t="str">
        <x:v>F30 physical state</x:v>
      </x:c>
      <x:c r="E2045" s="21" t="n">
        <x:f>IF('After Action'!L36=IF('After Action'!J36&gt;=1,"ADMITTED","NOT ADMITTED"),1,0)</x:f>
        <x:v>1</x:v>
      </x:c>
      <x:c r="F2045" s="21" t="n">
        <x:v>1</x:v>
      </x:c>
      <x:c r="G2045" s="23" t="str">
        <x:f>IF(E2045=F2045,"PASS","FAIL")</x:f>
        <x:v>PASS</x:v>
      </x:c>
    </x:row>
    <x:row r="2046">
      <x:c r="B2046" s="21" t="str">
        <x:v>A02040</x:v>
      </x:c>
      <x:c r="C2046" s="21" t="str">
        <x:v>after action</x:v>
      </x:c>
      <x:c r="D2046" s="21" t="str">
        <x:v>F31 plan state</x:v>
      </x:c>
      <x:c r="E2046" s="21" t="n">
        <x:f>IF('After Action'!K37=IF('After Action'!I37&gt;=1,"ADEQUATE","GAP"),1,0)</x:f>
        <x:v>1</x:v>
      </x:c>
      <x:c r="F2046" s="21" t="n">
        <x:v>1</x:v>
      </x:c>
      <x:c r="G2046" s="23" t="str">
        <x:f>IF(E2046=F2046,"PASS","FAIL")</x:f>
        <x:v>PASS</x:v>
      </x:c>
    </x:row>
    <x:row r="2047">
      <x:c r="B2047" s="21" t="str">
        <x:v>A02041</x:v>
      </x:c>
      <x:c r="C2047" s="21" t="str">
        <x:v>after action</x:v>
      </x:c>
      <x:c r="D2047" s="21" t="str">
        <x:v>F31 physical state</x:v>
      </x:c>
      <x:c r="E2047" s="21" t="n">
        <x:f>IF('After Action'!L37=IF('After Action'!J37&gt;=1,"ADMITTED","NOT ADMITTED"),1,0)</x:f>
        <x:v>1</x:v>
      </x:c>
      <x:c r="F2047" s="21" t="n">
        <x:v>1</x:v>
      </x:c>
      <x:c r="G2047" s="23" t="str">
        <x:f>IF(E2047=F2047,"PASS","FAIL")</x:f>
        <x:v>PASS</x:v>
      </x:c>
    </x:row>
    <x:row r="2048">
      <x:c r="B2048" s="21" t="str">
        <x:v>A02042</x:v>
      </x:c>
      <x:c r="C2048" s="21" t="str">
        <x:v>after action</x:v>
      </x:c>
      <x:c r="D2048" s="21" t="str">
        <x:v>F32 plan state</x:v>
      </x:c>
      <x:c r="E2048" s="21" t="n">
        <x:f>IF('After Action'!K38=IF('After Action'!I38&gt;=1,"ADEQUATE","GAP"),1,0)</x:f>
        <x:v>1</x:v>
      </x:c>
      <x:c r="F2048" s="21" t="n">
        <x:v>1</x:v>
      </x:c>
      <x:c r="G2048" s="23" t="str">
        <x:f>IF(E2048=F2048,"PASS","FAIL")</x:f>
        <x:v>PASS</x:v>
      </x:c>
    </x:row>
    <x:row r="2049">
      <x:c r="B2049" s="21" t="str">
        <x:v>A02043</x:v>
      </x:c>
      <x:c r="C2049" s="21" t="str">
        <x:v>after action</x:v>
      </x:c>
      <x:c r="D2049" s="21" t="str">
        <x:v>F32 physical state</x:v>
      </x:c>
      <x:c r="E2049" s="21" t="n">
        <x:f>IF('After Action'!L38=IF('After Action'!J38&gt;=1,"ADMITTED","NOT ADMITTED"),1,0)</x:f>
        <x:v>1</x:v>
      </x:c>
      <x:c r="F2049" s="21" t="n">
        <x:v>1</x:v>
      </x:c>
      <x:c r="G2049" s="23" t="str">
        <x:f>IF(E2049=F2049,"PASS","FAIL")</x:f>
        <x:v>PASS</x:v>
      </x:c>
    </x:row>
    <x:row r="2050">
      <x:c r="B2050" s="21" t="str">
        <x:v>A02044</x:v>
      </x:c>
      <x:c r="C2050" s="21" t="str">
        <x:v>after action</x:v>
      </x:c>
      <x:c r="D2050" s="21" t="str">
        <x:v>F33 plan state</x:v>
      </x:c>
      <x:c r="E2050" s="21" t="n">
        <x:f>IF('After Action'!K39=IF('After Action'!I39&gt;=1,"ADEQUATE","GAP"),1,0)</x:f>
        <x:v>1</x:v>
      </x:c>
      <x:c r="F2050" s="21" t="n">
        <x:v>1</x:v>
      </x:c>
      <x:c r="G2050" s="23" t="str">
        <x:f>IF(E2050=F2050,"PASS","FAIL")</x:f>
        <x:v>PASS</x:v>
      </x:c>
    </x:row>
    <x:row r="2051">
      <x:c r="B2051" s="21" t="str">
        <x:v>A02045</x:v>
      </x:c>
      <x:c r="C2051" s="21" t="str">
        <x:v>after action</x:v>
      </x:c>
      <x:c r="D2051" s="21" t="str">
        <x:v>F33 physical state</x:v>
      </x:c>
      <x:c r="E2051" s="21" t="n">
        <x:f>IF('After Action'!L39=IF('After Action'!J39&gt;=1,"ADMITTED","NOT ADMITTED"),1,0)</x:f>
        <x:v>1</x:v>
      </x:c>
      <x:c r="F2051" s="21" t="n">
        <x:v>1</x:v>
      </x:c>
      <x:c r="G2051" s="23" t="str">
        <x:f>IF(E2051=F2051,"PASS","FAIL")</x:f>
        <x:v>PASS</x:v>
      </x:c>
    </x:row>
    <x:row r="2052">
      <x:c r="B2052" s="21" t="str">
        <x:v>A02046</x:v>
      </x:c>
      <x:c r="C2052" s="21" t="str">
        <x:v>after action</x:v>
      </x:c>
      <x:c r="D2052" s="21" t="str">
        <x:v>F34 plan state</x:v>
      </x:c>
      <x:c r="E2052" s="21" t="n">
        <x:f>IF('After Action'!K40=IF('After Action'!I40&gt;=1,"ADEQUATE","GAP"),1,0)</x:f>
        <x:v>1</x:v>
      </x:c>
      <x:c r="F2052" s="21" t="n">
        <x:v>1</x:v>
      </x:c>
      <x:c r="G2052" s="23" t="str">
        <x:f>IF(E2052=F2052,"PASS","FAIL")</x:f>
        <x:v>PASS</x:v>
      </x:c>
    </x:row>
    <x:row r="2053">
      <x:c r="B2053" s="21" t="str">
        <x:v>A02047</x:v>
      </x:c>
      <x:c r="C2053" s="21" t="str">
        <x:v>after action</x:v>
      </x:c>
      <x:c r="D2053" s="21" t="str">
        <x:v>F34 physical state</x:v>
      </x:c>
      <x:c r="E2053" s="21" t="n">
        <x:f>IF('After Action'!L40=IF('After Action'!J40&gt;=1,"ADMITTED","NOT ADMITTED"),1,0)</x:f>
        <x:v>1</x:v>
      </x:c>
      <x:c r="F2053" s="21" t="n">
        <x:v>1</x:v>
      </x:c>
      <x:c r="G2053" s="23" t="str">
        <x:f>IF(E2053=F2053,"PASS","FAIL")</x:f>
        <x:v>PASS</x:v>
      </x:c>
    </x:row>
    <x:row r="2054">
      <x:c r="B2054" s="21" t="str">
        <x:v>A02048</x:v>
      </x:c>
      <x:c r="C2054" s="21" t="str">
        <x:v>after action</x:v>
      </x:c>
      <x:c r="D2054" s="21" t="str">
        <x:v>F35 plan state</x:v>
      </x:c>
      <x:c r="E2054" s="21" t="n">
        <x:f>IF('After Action'!K41=IF('After Action'!I41&gt;=1,"ADEQUATE","GAP"),1,0)</x:f>
        <x:v>1</x:v>
      </x:c>
      <x:c r="F2054" s="21" t="n">
        <x:v>1</x:v>
      </x:c>
      <x:c r="G2054" s="23" t="str">
        <x:f>IF(E2054=F2054,"PASS","FAIL")</x:f>
        <x:v>PASS</x:v>
      </x:c>
    </x:row>
    <x:row r="2055">
      <x:c r="B2055" s="21" t="str">
        <x:v>A02049</x:v>
      </x:c>
      <x:c r="C2055" s="21" t="str">
        <x:v>after action</x:v>
      </x:c>
      <x:c r="D2055" s="21" t="str">
        <x:v>F35 physical state</x:v>
      </x:c>
      <x:c r="E2055" s="21" t="n">
        <x:f>IF('After Action'!L41=IF('After Action'!J41&gt;=1,"ADMITTED","NOT ADMITTED"),1,0)</x:f>
        <x:v>1</x:v>
      </x:c>
      <x:c r="F2055" s="21" t="n">
        <x:v>1</x:v>
      </x:c>
      <x:c r="G2055" s="23" t="str">
        <x:f>IF(E2055=F2055,"PASS","FAIL")</x:f>
        <x:v>PASS</x:v>
      </x:c>
    </x:row>
    <x:row r="2056">
      <x:c r="B2056" s="21" t="str">
        <x:v>A02050</x:v>
      </x:c>
      <x:c r="C2056" s="21" t="str">
        <x:v>after action</x:v>
      </x:c>
      <x:c r="D2056" s="21" t="str">
        <x:v>F36 plan state</x:v>
      </x:c>
      <x:c r="E2056" s="21" t="n">
        <x:f>IF('After Action'!K42=IF('After Action'!I42&gt;=1,"ADEQUATE","GAP"),1,0)</x:f>
        <x:v>1</x:v>
      </x:c>
      <x:c r="F2056" s="21" t="n">
        <x:v>1</x:v>
      </x:c>
      <x:c r="G2056" s="23" t="str">
        <x:f>IF(E2056=F2056,"PASS","FAIL")</x:f>
        <x:v>PASS</x:v>
      </x:c>
    </x:row>
    <x:row r="2057">
      <x:c r="B2057" s="21" t="str">
        <x:v>A02051</x:v>
      </x:c>
      <x:c r="C2057" s="21" t="str">
        <x:v>after action</x:v>
      </x:c>
      <x:c r="D2057" s="21" t="str">
        <x:v>F36 physical state</x:v>
      </x:c>
      <x:c r="E2057" s="21" t="n">
        <x:f>IF('After Action'!L42=IF('After Action'!J42&gt;=1,"ADMITTED","NOT ADMITTED"),1,0)</x:f>
        <x:v>1</x:v>
      </x:c>
      <x:c r="F2057" s="21" t="n">
        <x:v>1</x:v>
      </x:c>
      <x:c r="G2057" s="23" t="str">
        <x:f>IF(E2057=F2057,"PASS","FAIL")</x:f>
        <x:v>PASS</x:v>
      </x:c>
    </x:row>
    <x:row r="2058">
      <x:c r="B2058" s="21" t="str">
        <x:v>A02052</x:v>
      </x:c>
      <x:c r="C2058" s="21" t="str">
        <x:v>after action</x:v>
      </x:c>
      <x:c r="D2058" s="21" t="str">
        <x:v>F37 plan state</x:v>
      </x:c>
      <x:c r="E2058" s="21" t="n">
        <x:f>IF('After Action'!K43=IF('After Action'!I43&gt;=1,"ADEQUATE","GAP"),1,0)</x:f>
        <x:v>1</x:v>
      </x:c>
      <x:c r="F2058" s="21" t="n">
        <x:v>1</x:v>
      </x:c>
      <x:c r="G2058" s="23" t="str">
        <x:f>IF(E2058=F2058,"PASS","FAIL")</x:f>
        <x:v>PASS</x:v>
      </x:c>
    </x:row>
    <x:row r="2059">
      <x:c r="B2059" s="21" t="str">
        <x:v>A02053</x:v>
      </x:c>
      <x:c r="C2059" s="21" t="str">
        <x:v>after action</x:v>
      </x:c>
      <x:c r="D2059" s="21" t="str">
        <x:v>F37 physical state</x:v>
      </x:c>
      <x:c r="E2059" s="21" t="n">
        <x:f>IF('After Action'!L43=IF('After Action'!J43&gt;=1,"ADMITTED","NOT ADMITTED"),1,0)</x:f>
        <x:v>1</x:v>
      </x:c>
      <x:c r="F2059" s="21" t="n">
        <x:v>1</x:v>
      </x:c>
      <x:c r="G2059" s="23" t="str">
        <x:f>IF(E2059=F2059,"PASS","FAIL")</x:f>
        <x:v>PASS</x:v>
      </x:c>
    </x:row>
    <x:row r="2060">
      <x:c r="B2060" s="21" t="str">
        <x:v>A02054</x:v>
      </x:c>
      <x:c r="C2060" s="21" t="str">
        <x:v>after action</x:v>
      </x:c>
      <x:c r="D2060" s="21" t="str">
        <x:v>F38 plan state</x:v>
      </x:c>
      <x:c r="E2060" s="21" t="n">
        <x:f>IF('After Action'!K44=IF('After Action'!I44&gt;=1,"ADEQUATE","GAP"),1,0)</x:f>
        <x:v>1</x:v>
      </x:c>
      <x:c r="F2060" s="21" t="n">
        <x:v>1</x:v>
      </x:c>
      <x:c r="G2060" s="23" t="str">
        <x:f>IF(E2060=F2060,"PASS","FAIL")</x:f>
        <x:v>PASS</x:v>
      </x:c>
    </x:row>
    <x:row r="2061">
      <x:c r="B2061" s="21" t="str">
        <x:v>A02055</x:v>
      </x:c>
      <x:c r="C2061" s="21" t="str">
        <x:v>after action</x:v>
      </x:c>
      <x:c r="D2061" s="21" t="str">
        <x:v>F38 physical state</x:v>
      </x:c>
      <x:c r="E2061" s="21" t="n">
        <x:f>IF('After Action'!L44=IF('After Action'!J44&gt;=1,"ADMITTED","NOT ADMITTED"),1,0)</x:f>
        <x:v>1</x:v>
      </x:c>
      <x:c r="F2061" s="21" t="n">
        <x:v>1</x:v>
      </x:c>
      <x:c r="G2061" s="23" t="str">
        <x:f>IF(E2061=F2061,"PASS","FAIL")</x:f>
        <x:v>PASS</x:v>
      </x:c>
    </x:row>
    <x:row r="2062">
      <x:c r="B2062" s="21" t="str">
        <x:v>A02056</x:v>
      </x:c>
      <x:c r="C2062" s="21" t="str">
        <x:v>after action</x:v>
      </x:c>
      <x:c r="D2062" s="21" t="str">
        <x:v>F39 plan state</x:v>
      </x:c>
      <x:c r="E2062" s="21" t="n">
        <x:f>IF('After Action'!K45=IF('After Action'!I45&gt;=1,"ADEQUATE","GAP"),1,0)</x:f>
        <x:v>1</x:v>
      </x:c>
      <x:c r="F2062" s="21" t="n">
        <x:v>1</x:v>
      </x:c>
      <x:c r="G2062" s="23" t="str">
        <x:f>IF(E2062=F2062,"PASS","FAIL")</x:f>
        <x:v>PASS</x:v>
      </x:c>
    </x:row>
    <x:row r="2063">
      <x:c r="B2063" s="21" t="str">
        <x:v>A02057</x:v>
      </x:c>
      <x:c r="C2063" s="21" t="str">
        <x:v>after action</x:v>
      </x:c>
      <x:c r="D2063" s="21" t="str">
        <x:v>F39 physical state</x:v>
      </x:c>
      <x:c r="E2063" s="21" t="n">
        <x:f>IF('After Action'!L45=IF('After Action'!J45&gt;=1,"ADMITTED","NOT ADMITTED"),1,0)</x:f>
        <x:v>1</x:v>
      </x:c>
      <x:c r="F2063" s="21" t="n">
        <x:v>1</x:v>
      </x:c>
      <x:c r="G2063" s="23" t="str">
        <x:f>IF(E2063=F2063,"PASS","FAIL")</x:f>
        <x:v>PASS</x:v>
      </x:c>
    </x:row>
    <x:row r="2064">
      <x:c r="B2064" s="21" t="str">
        <x:v>A02058</x:v>
      </x:c>
      <x:c r="C2064" s="21" t="str">
        <x:v>after action</x:v>
      </x:c>
      <x:c r="D2064" s="21" t="str">
        <x:v>F40 plan state</x:v>
      </x:c>
      <x:c r="E2064" s="21" t="n">
        <x:f>IF('After Action'!K46=IF('After Action'!I46&gt;=1,"ADEQUATE","GAP"),1,0)</x:f>
        <x:v>1</x:v>
      </x:c>
      <x:c r="F2064" s="21" t="n">
        <x:v>1</x:v>
      </x:c>
      <x:c r="G2064" s="23" t="str">
        <x:f>IF(E2064=F2064,"PASS","FAIL")</x:f>
        <x:v>PASS</x:v>
      </x:c>
    </x:row>
    <x:row r="2065">
      <x:c r="B2065" s="21" t="str">
        <x:v>A02059</x:v>
      </x:c>
      <x:c r="C2065" s="21" t="str">
        <x:v>after action</x:v>
      </x:c>
      <x:c r="D2065" s="21" t="str">
        <x:v>F40 physical state</x:v>
      </x:c>
      <x:c r="E2065" s="21" t="n">
        <x:f>IF('After Action'!L46=IF('After Action'!J46&gt;=1,"ADMITTED","NOT ADMITTED"),1,0)</x:f>
        <x:v>1</x:v>
      </x:c>
      <x:c r="F2065" s="21" t="n">
        <x:v>1</x:v>
      </x:c>
      <x:c r="G2065" s="23" t="str">
        <x:f>IF(E2065=F2065,"PASS","FAIL")</x:f>
        <x:v>PASS</x:v>
      </x:c>
    </x:row>
    <x:row r="2066">
      <x:c r="B2066" s="21" t="str">
        <x:v>A02060</x:v>
      </x:c>
      <x:c r="C2066" s="21" t="str">
        <x:v>after action</x:v>
      </x:c>
      <x:c r="D2066" s="21" t="str">
        <x:v>F41 plan state</x:v>
      </x:c>
      <x:c r="E2066" s="21" t="n">
        <x:f>IF('After Action'!K47=IF('After Action'!I47&gt;=1,"ADEQUATE","GAP"),1,0)</x:f>
        <x:v>1</x:v>
      </x:c>
      <x:c r="F2066" s="21" t="n">
        <x:v>1</x:v>
      </x:c>
      <x:c r="G2066" s="23" t="str">
        <x:f>IF(E2066=F2066,"PASS","FAIL")</x:f>
        <x:v>PASS</x:v>
      </x:c>
    </x:row>
    <x:row r="2067">
      <x:c r="B2067" s="21" t="str">
        <x:v>A02061</x:v>
      </x:c>
      <x:c r="C2067" s="21" t="str">
        <x:v>after action</x:v>
      </x:c>
      <x:c r="D2067" s="21" t="str">
        <x:v>F41 physical state</x:v>
      </x:c>
      <x:c r="E2067" s="21" t="n">
        <x:f>IF('After Action'!L47=IF('After Action'!J47&gt;=1,"ADMITTED","NOT ADMITTED"),1,0)</x:f>
        <x:v>1</x:v>
      </x:c>
      <x:c r="F2067" s="21" t="n">
        <x:v>1</x:v>
      </x:c>
      <x:c r="G2067" s="23" t="str">
        <x:f>IF(E2067=F2067,"PASS","FAIL")</x:f>
        <x:v>PASS</x:v>
      </x:c>
    </x:row>
    <x:row r="2068">
      <x:c r="B2068" s="21" t="str">
        <x:v>A02062</x:v>
      </x:c>
      <x:c r="C2068" s="21" t="str">
        <x:v>after action</x:v>
      </x:c>
      <x:c r="D2068" s="21" t="str">
        <x:v>F42 plan state</x:v>
      </x:c>
      <x:c r="E2068" s="21" t="n">
        <x:f>IF('After Action'!K48=IF('After Action'!I48&gt;=1,"ADEQUATE","GAP"),1,0)</x:f>
        <x:v>1</x:v>
      </x:c>
      <x:c r="F2068" s="21" t="n">
        <x:v>1</x:v>
      </x:c>
      <x:c r="G2068" s="23" t="str">
        <x:f>IF(E2068=F2068,"PASS","FAIL")</x:f>
        <x:v>PASS</x:v>
      </x:c>
    </x:row>
    <x:row r="2069">
      <x:c r="B2069" s="21" t="str">
        <x:v>A02063</x:v>
      </x:c>
      <x:c r="C2069" s="21" t="str">
        <x:v>after action</x:v>
      </x:c>
      <x:c r="D2069" s="21" t="str">
        <x:v>F42 physical state</x:v>
      </x:c>
      <x:c r="E2069" s="21" t="n">
        <x:f>IF('After Action'!L48=IF('After Action'!J48&gt;=1,"ADMITTED","NOT ADMITTED"),1,0)</x:f>
        <x:v>1</x:v>
      </x:c>
      <x:c r="F2069" s="21" t="n">
        <x:v>1</x:v>
      </x:c>
      <x:c r="G2069" s="23" t="str">
        <x:f>IF(E2069=F2069,"PASS","FAIL")</x:f>
        <x:v>PASS</x:v>
      </x:c>
    </x:row>
    <x:row r="2070">
      <x:c r="B2070" s="21" t="str">
        <x:v>A02064</x:v>
      </x:c>
      <x:c r="C2070" s="21" t="str">
        <x:v>after action</x:v>
      </x:c>
      <x:c r="D2070" s="21" t="str">
        <x:v>F43 plan state</x:v>
      </x:c>
      <x:c r="E2070" s="21" t="n">
        <x:f>IF('After Action'!K49=IF('After Action'!I49&gt;=1,"ADEQUATE","GAP"),1,0)</x:f>
        <x:v>1</x:v>
      </x:c>
      <x:c r="F2070" s="21" t="n">
        <x:v>1</x:v>
      </x:c>
      <x:c r="G2070" s="23" t="str">
        <x:f>IF(E2070=F2070,"PASS","FAIL")</x:f>
        <x:v>PASS</x:v>
      </x:c>
    </x:row>
    <x:row r="2071">
      <x:c r="B2071" s="21" t="str">
        <x:v>A02065</x:v>
      </x:c>
      <x:c r="C2071" s="21" t="str">
        <x:v>after action</x:v>
      </x:c>
      <x:c r="D2071" s="21" t="str">
        <x:v>F43 physical state</x:v>
      </x:c>
      <x:c r="E2071" s="21" t="n">
        <x:f>IF('After Action'!L49=IF('After Action'!J49&gt;=1,"ADMITTED","NOT ADMITTED"),1,0)</x:f>
        <x:v>1</x:v>
      </x:c>
      <x:c r="F2071" s="21" t="n">
        <x:v>1</x:v>
      </x:c>
      <x:c r="G2071" s="23" t="str">
        <x:f>IF(E2071=F2071,"PASS","FAIL")</x:f>
        <x:v>PASS</x:v>
      </x:c>
    </x:row>
    <x:row r="2072">
      <x:c r="B2072" s="21" t="str">
        <x:v>A02066</x:v>
      </x:c>
      <x:c r="C2072" s="21" t="str">
        <x:v>after action</x:v>
      </x:c>
      <x:c r="D2072" s="21" t="str">
        <x:v>F44 plan state</x:v>
      </x:c>
      <x:c r="E2072" s="21" t="n">
        <x:f>IF('After Action'!K50=IF('After Action'!I50&gt;=1,"ADEQUATE","GAP"),1,0)</x:f>
        <x:v>1</x:v>
      </x:c>
      <x:c r="F2072" s="21" t="n">
        <x:v>1</x:v>
      </x:c>
      <x:c r="G2072" s="23" t="str">
        <x:f>IF(E2072=F2072,"PASS","FAIL")</x:f>
        <x:v>PASS</x:v>
      </x:c>
    </x:row>
    <x:row r="2073">
      <x:c r="B2073" s="21" t="str">
        <x:v>A02067</x:v>
      </x:c>
      <x:c r="C2073" s="21" t="str">
        <x:v>after action</x:v>
      </x:c>
      <x:c r="D2073" s="21" t="str">
        <x:v>F44 physical state</x:v>
      </x:c>
      <x:c r="E2073" s="21" t="n">
        <x:f>IF('After Action'!L50=IF('After Action'!J50&gt;=1,"ADMITTED","NOT ADMITTED"),1,0)</x:f>
        <x:v>1</x:v>
      </x:c>
      <x:c r="F2073" s="21" t="n">
        <x:v>1</x:v>
      </x:c>
      <x:c r="G2073" s="23" t="str">
        <x:f>IF(E2073=F2073,"PASS","FAIL")</x:f>
        <x:v>PASS</x:v>
      </x:c>
    </x:row>
    <x:row r="2074">
      <x:c r="B2074" s="21" t="str">
        <x:v>A02068</x:v>
      </x:c>
      <x:c r="C2074" s="21" t="str">
        <x:v>after action</x:v>
      </x:c>
      <x:c r="D2074" s="21" t="str">
        <x:v>F45 plan state</x:v>
      </x:c>
      <x:c r="E2074" s="21" t="n">
        <x:f>IF('After Action'!K51=IF('After Action'!I51&gt;=1,"ADEQUATE","GAP"),1,0)</x:f>
        <x:v>1</x:v>
      </x:c>
      <x:c r="F2074" s="21" t="n">
        <x:v>1</x:v>
      </x:c>
      <x:c r="G2074" s="23" t="str">
        <x:f>IF(E2074=F2074,"PASS","FAIL")</x:f>
        <x:v>PASS</x:v>
      </x:c>
    </x:row>
    <x:row r="2075">
      <x:c r="B2075" s="21" t="str">
        <x:v>A02069</x:v>
      </x:c>
      <x:c r="C2075" s="21" t="str">
        <x:v>after action</x:v>
      </x:c>
      <x:c r="D2075" s="21" t="str">
        <x:v>F45 physical state</x:v>
      </x:c>
      <x:c r="E2075" s="21" t="n">
        <x:f>IF('After Action'!L51=IF('After Action'!J51&gt;=1,"ADMITTED","NOT ADMITTED"),1,0)</x:f>
        <x:v>1</x:v>
      </x:c>
      <x:c r="F2075" s="21" t="n">
        <x:v>1</x:v>
      </x:c>
      <x:c r="G2075" s="23" t="str">
        <x:f>IF(E2075=F2075,"PASS","FAIL")</x:f>
        <x:v>PASS</x:v>
      </x:c>
    </x:row>
    <x:row r="2076">
      <x:c r="B2076" s="21" t="str">
        <x:v>A02070</x:v>
      </x:c>
      <x:c r="C2076" s="21" t="str">
        <x:v>after action</x:v>
      </x:c>
      <x:c r="D2076" s="21" t="str">
        <x:v>F46 plan state</x:v>
      </x:c>
      <x:c r="E2076" s="21" t="n">
        <x:f>IF('After Action'!K52=IF('After Action'!I52&gt;=1,"ADEQUATE","GAP"),1,0)</x:f>
        <x:v>1</x:v>
      </x:c>
      <x:c r="F2076" s="21" t="n">
        <x:v>1</x:v>
      </x:c>
      <x:c r="G2076" s="23" t="str">
        <x:f>IF(E2076=F2076,"PASS","FAIL")</x:f>
        <x:v>PASS</x:v>
      </x:c>
    </x:row>
    <x:row r="2077">
      <x:c r="B2077" s="21" t="str">
        <x:v>A02071</x:v>
      </x:c>
      <x:c r="C2077" s="21" t="str">
        <x:v>after action</x:v>
      </x:c>
      <x:c r="D2077" s="21" t="str">
        <x:v>F46 physical state</x:v>
      </x:c>
      <x:c r="E2077" s="21" t="n">
        <x:f>IF('After Action'!L52=IF('After Action'!J52&gt;=1,"ADMITTED","NOT ADMITTED"),1,0)</x:f>
        <x:v>1</x:v>
      </x:c>
      <x:c r="F2077" s="21" t="n">
        <x:v>1</x:v>
      </x:c>
      <x:c r="G2077" s="23" t="str">
        <x:f>IF(E2077=F2077,"PASS","FAIL")</x:f>
        <x:v>PASS</x:v>
      </x:c>
    </x:row>
    <x:row r="2078">
      <x:c r="B2078" s="21" t="str">
        <x:v>A02072</x:v>
      </x:c>
      <x:c r="C2078" s="21" t="str">
        <x:v>after action</x:v>
      </x:c>
      <x:c r="D2078" s="21" t="str">
        <x:v>F47 plan state</x:v>
      </x:c>
      <x:c r="E2078" s="21" t="n">
        <x:f>IF('After Action'!K53=IF('After Action'!I53&gt;=1,"ADEQUATE","GAP"),1,0)</x:f>
        <x:v>1</x:v>
      </x:c>
      <x:c r="F2078" s="21" t="n">
        <x:v>1</x:v>
      </x:c>
      <x:c r="G2078" s="23" t="str">
        <x:f>IF(E2078=F2078,"PASS","FAIL")</x:f>
        <x:v>PASS</x:v>
      </x:c>
    </x:row>
    <x:row r="2079">
      <x:c r="B2079" s="21" t="str">
        <x:v>A02073</x:v>
      </x:c>
      <x:c r="C2079" s="21" t="str">
        <x:v>after action</x:v>
      </x:c>
      <x:c r="D2079" s="21" t="str">
        <x:v>F47 physical state</x:v>
      </x:c>
      <x:c r="E2079" s="21" t="n">
        <x:f>IF('After Action'!L53=IF('After Action'!J53&gt;=1,"ADMITTED","NOT ADMITTED"),1,0)</x:f>
        <x:v>1</x:v>
      </x:c>
      <x:c r="F2079" s="21" t="n">
        <x:v>1</x:v>
      </x:c>
      <x:c r="G2079" s="23" t="str">
        <x:f>IF(E2079=F2079,"PASS","FAIL")</x:f>
        <x:v>PASS</x:v>
      </x:c>
    </x:row>
    <x:row r="2080">
      <x:c r="B2080" s="21" t="str">
        <x:v>A02074</x:v>
      </x:c>
      <x:c r="C2080" s="21" t="str">
        <x:v>after action</x:v>
      </x:c>
      <x:c r="D2080" s="21" t="str">
        <x:v>F48 plan state</x:v>
      </x:c>
      <x:c r="E2080" s="21" t="n">
        <x:f>IF('After Action'!K54=IF('After Action'!I54&gt;=1,"ADEQUATE","GAP"),1,0)</x:f>
        <x:v>1</x:v>
      </x:c>
      <x:c r="F2080" s="21" t="n">
        <x:v>1</x:v>
      </x:c>
      <x:c r="G2080" s="23" t="str">
        <x:f>IF(E2080=F2080,"PASS","FAIL")</x:f>
        <x:v>PASS</x:v>
      </x:c>
    </x:row>
    <x:row r="2081">
      <x:c r="B2081" s="21" t="str">
        <x:v>A02075</x:v>
      </x:c>
      <x:c r="C2081" s="21" t="str">
        <x:v>after action</x:v>
      </x:c>
      <x:c r="D2081" s="21" t="str">
        <x:v>F48 physical state</x:v>
      </x:c>
      <x:c r="E2081" s="21" t="n">
        <x:f>IF('After Action'!L54=IF('After Action'!J54&gt;=1,"ADMITTED","NOT ADMITTED"),1,0)</x:f>
        <x:v>1</x:v>
      </x:c>
      <x:c r="F2081" s="21" t="n">
        <x:v>1</x:v>
      </x:c>
      <x:c r="G2081" s="23" t="str">
        <x:f>IF(E2081=F2081,"PASS","FAIL")</x:f>
        <x:v>PASS</x:v>
      </x:c>
    </x:row>
    <x:row r="2082">
      <x:c r="B2082" s="21" t="str">
        <x:v>A02076</x:v>
      </x:c>
      <x:c r="C2082" s="21" t="str">
        <x:v>decision</x:v>
      </x:c>
      <x:c r="D2082" s="21" t="str">
        <x:v>gate 1 zero credit</x:v>
      </x:c>
      <x:c r="E2082" s="21" t="n">
        <x:f>IF('Decision Gates'!G7=0,1,0)</x:f>
        <x:v>1</x:v>
      </x:c>
      <x:c r="F2082" s="21" t="n">
        <x:v>1</x:v>
      </x:c>
      <x:c r="G2082" s="23" t="str">
        <x:f>IF(E2082=F2082,"PASS","FAIL")</x:f>
        <x:v>PASS</x:v>
      </x:c>
    </x:row>
    <x:row r="2083">
      <x:c r="B2083" s="21" t="str">
        <x:v>A02077</x:v>
      </x:c>
      <x:c r="C2083" s="21" t="str">
        <x:v>decision</x:v>
      </x:c>
      <x:c r="D2083" s="21" t="str">
        <x:v>gate 1 held</x:v>
      </x:c>
      <x:c r="E2083" s="21" t="n">
        <x:f>IF(AND('Decision Gates'!E7="OPEN",'Decision Gates'!F7="HOLD"),1,0)</x:f>
        <x:v>1</x:v>
      </x:c>
      <x:c r="F2083" s="21" t="n">
        <x:v>1</x:v>
      </x:c>
      <x:c r="G2083" s="23" t="str">
        <x:f>IF(E2083=F2083,"PASS","FAIL")</x:f>
        <x:v>PASS</x:v>
      </x:c>
    </x:row>
    <x:row r="2084">
      <x:c r="B2084" s="21" t="str">
        <x:v>A02078</x:v>
      </x:c>
      <x:c r="C2084" s="21" t="str">
        <x:v>decision</x:v>
      </x:c>
      <x:c r="D2084" s="21" t="str">
        <x:v>gate 2 zero credit</x:v>
      </x:c>
      <x:c r="E2084" s="21" t="n">
        <x:f>IF('Decision Gates'!G8=0,1,0)</x:f>
        <x:v>1</x:v>
      </x:c>
      <x:c r="F2084" s="21" t="n">
        <x:v>1</x:v>
      </x:c>
      <x:c r="G2084" s="23" t="str">
        <x:f>IF(E2084=F2084,"PASS","FAIL")</x:f>
        <x:v>PASS</x:v>
      </x:c>
    </x:row>
    <x:row r="2085">
      <x:c r="B2085" s="21" t="str">
        <x:v>A02079</x:v>
      </x:c>
      <x:c r="C2085" s="21" t="str">
        <x:v>decision</x:v>
      </x:c>
      <x:c r="D2085" s="21" t="str">
        <x:v>gate 2 held</x:v>
      </x:c>
      <x:c r="E2085" s="21" t="n">
        <x:f>IF(AND('Decision Gates'!E8="OPEN",'Decision Gates'!F8="HOLD"),1,0)</x:f>
        <x:v>1</x:v>
      </x:c>
      <x:c r="F2085" s="21" t="n">
        <x:v>1</x:v>
      </x:c>
      <x:c r="G2085" s="23" t="str">
        <x:f>IF(E2085=F2085,"PASS","FAIL")</x:f>
        <x:v>PASS</x:v>
      </x:c>
    </x:row>
    <x:row r="2086">
      <x:c r="B2086" s="21" t="str">
        <x:v>A02080</x:v>
      </x:c>
      <x:c r="C2086" s="21" t="str">
        <x:v>decision</x:v>
      </x:c>
      <x:c r="D2086" s="21" t="str">
        <x:v>gate 3 zero credit</x:v>
      </x:c>
      <x:c r="E2086" s="21" t="n">
        <x:f>IF('Decision Gates'!G9=0,1,0)</x:f>
        <x:v>1</x:v>
      </x:c>
      <x:c r="F2086" s="21" t="n">
        <x:v>1</x:v>
      </x:c>
      <x:c r="G2086" s="23" t="str">
        <x:f>IF(E2086=F2086,"PASS","FAIL")</x:f>
        <x:v>PASS</x:v>
      </x:c>
    </x:row>
    <x:row r="2087">
      <x:c r="B2087" s="21" t="str">
        <x:v>A02081</x:v>
      </x:c>
      <x:c r="C2087" s="21" t="str">
        <x:v>decision</x:v>
      </x:c>
      <x:c r="D2087" s="21" t="str">
        <x:v>gate 3 held</x:v>
      </x:c>
      <x:c r="E2087" s="21" t="n">
        <x:f>IF(AND('Decision Gates'!E9="OPEN",'Decision Gates'!F9="HOLD"),1,0)</x:f>
        <x:v>1</x:v>
      </x:c>
      <x:c r="F2087" s="21" t="n">
        <x:v>1</x:v>
      </x:c>
      <x:c r="G2087" s="23" t="str">
        <x:f>IF(E2087=F2087,"PASS","FAIL")</x:f>
        <x:v>PASS</x:v>
      </x:c>
    </x:row>
    <x:row r="2088">
      <x:c r="B2088" s="21" t="str">
        <x:v>A02082</x:v>
      </x:c>
      <x:c r="C2088" s="21" t="str">
        <x:v>decision</x:v>
      </x:c>
      <x:c r="D2088" s="21" t="str">
        <x:v>gate 4 zero credit</x:v>
      </x:c>
      <x:c r="E2088" s="21" t="n">
        <x:f>IF('Decision Gates'!G10=0,1,0)</x:f>
        <x:v>1</x:v>
      </x:c>
      <x:c r="F2088" s="21" t="n">
        <x:v>1</x:v>
      </x:c>
      <x:c r="G2088" s="23" t="str">
        <x:f>IF(E2088=F2088,"PASS","FAIL")</x:f>
        <x:v>PASS</x:v>
      </x:c>
    </x:row>
    <x:row r="2089">
      <x:c r="B2089" s="21" t="str">
        <x:v>A02083</x:v>
      </x:c>
      <x:c r="C2089" s="21" t="str">
        <x:v>decision</x:v>
      </x:c>
      <x:c r="D2089" s="21" t="str">
        <x:v>gate 4 held</x:v>
      </x:c>
      <x:c r="E2089" s="21" t="n">
        <x:f>IF(AND('Decision Gates'!E10="OPEN",'Decision Gates'!F10="HOLD"),1,0)</x:f>
        <x:v>1</x:v>
      </x:c>
      <x:c r="F2089" s="21" t="n">
        <x:v>1</x:v>
      </x:c>
      <x:c r="G2089" s="23" t="str">
        <x:f>IF(E2089=F2089,"PASS","FAIL")</x:f>
        <x:v>PASS</x:v>
      </x:c>
    </x:row>
    <x:row r="2090">
      <x:c r="B2090" s="21" t="str">
        <x:v>A02084</x:v>
      </x:c>
      <x:c r="C2090" s="21" t="str">
        <x:v>decision</x:v>
      </x:c>
      <x:c r="D2090" s="21" t="str">
        <x:v>gate 5 zero credit</x:v>
      </x:c>
      <x:c r="E2090" s="21" t="n">
        <x:f>IF('Decision Gates'!G11=0,1,0)</x:f>
        <x:v>1</x:v>
      </x:c>
      <x:c r="F2090" s="21" t="n">
        <x:v>1</x:v>
      </x:c>
      <x:c r="G2090" s="23" t="str">
        <x:f>IF(E2090=F2090,"PASS","FAIL")</x:f>
        <x:v>PASS</x:v>
      </x:c>
    </x:row>
    <x:row r="2091">
      <x:c r="B2091" s="21" t="str">
        <x:v>A02085</x:v>
      </x:c>
      <x:c r="C2091" s="21" t="str">
        <x:v>decision</x:v>
      </x:c>
      <x:c r="D2091" s="21" t="str">
        <x:v>gate 5 held</x:v>
      </x:c>
      <x:c r="E2091" s="21" t="n">
        <x:f>IF(AND('Decision Gates'!E11="OPEN",'Decision Gates'!F11="HOLD"),1,0)</x:f>
        <x:v>1</x:v>
      </x:c>
      <x:c r="F2091" s="21" t="n">
        <x:v>1</x:v>
      </x:c>
      <x:c r="G2091" s="23" t="str">
        <x:f>IF(E2091=F2091,"PASS","FAIL")</x:f>
        <x:v>PASS</x:v>
      </x:c>
    </x:row>
    <x:row r="2092">
      <x:c r="B2092" s="21" t="str">
        <x:v>A02086</x:v>
      </x:c>
      <x:c r="C2092" s="21" t="str">
        <x:v>decision</x:v>
      </x:c>
      <x:c r="D2092" s="21" t="str">
        <x:v>gate 6 zero credit</x:v>
      </x:c>
      <x:c r="E2092" s="21" t="n">
        <x:f>IF('Decision Gates'!G12=0,1,0)</x:f>
        <x:v>1</x:v>
      </x:c>
      <x:c r="F2092" s="21" t="n">
        <x:v>1</x:v>
      </x:c>
      <x:c r="G2092" s="23" t="str">
        <x:f>IF(E2092=F2092,"PASS","FAIL")</x:f>
        <x:v>PASS</x:v>
      </x:c>
    </x:row>
    <x:row r="2093">
      <x:c r="B2093" s="21" t="str">
        <x:v>A02087</x:v>
      </x:c>
      <x:c r="C2093" s="21" t="str">
        <x:v>decision</x:v>
      </x:c>
      <x:c r="D2093" s="21" t="str">
        <x:v>gate 6 held</x:v>
      </x:c>
      <x:c r="E2093" s="21" t="n">
        <x:f>IF(AND('Decision Gates'!E12="OPEN",'Decision Gates'!F12="HOLD"),1,0)</x:f>
        <x:v>1</x:v>
      </x:c>
      <x:c r="F2093" s="21" t="n">
        <x:v>1</x:v>
      </x:c>
      <x:c r="G2093" s="23" t="str">
        <x:f>IF(E2093=F2093,"PASS","FAIL")</x:f>
        <x:v>PASS</x:v>
      </x:c>
    </x:row>
    <x:row r="2094">
      <x:c r="B2094" s="21" t="str">
        <x:v>A02088</x:v>
      </x:c>
      <x:c r="C2094" s="21" t="str">
        <x:v>decision</x:v>
      </x:c>
      <x:c r="D2094" s="21" t="str">
        <x:v>gate 7 zero credit</x:v>
      </x:c>
      <x:c r="E2094" s="21" t="n">
        <x:f>IF('Decision Gates'!G13=0,1,0)</x:f>
        <x:v>1</x:v>
      </x:c>
      <x:c r="F2094" s="21" t="n">
        <x:v>1</x:v>
      </x:c>
      <x:c r="G2094" s="23" t="str">
        <x:f>IF(E2094=F2094,"PASS","FAIL")</x:f>
        <x:v>PASS</x:v>
      </x:c>
    </x:row>
    <x:row r="2095">
      <x:c r="B2095" s="21" t="str">
        <x:v>A02089</x:v>
      </x:c>
      <x:c r="C2095" s="21" t="str">
        <x:v>decision</x:v>
      </x:c>
      <x:c r="D2095" s="21" t="str">
        <x:v>gate 7 held</x:v>
      </x:c>
      <x:c r="E2095" s="21" t="n">
        <x:f>IF(AND('Decision Gates'!E13="OPEN",'Decision Gates'!F13="HOLD"),1,0)</x:f>
        <x:v>1</x:v>
      </x:c>
      <x:c r="F2095" s="21" t="n">
        <x:v>1</x:v>
      </x:c>
      <x:c r="G2095" s="23" t="str">
        <x:f>IF(E2095=F2095,"PASS","FAIL")</x:f>
        <x:v>PASS</x:v>
      </x:c>
    </x:row>
    <x:row r="2096">
      <x:c r="B2096" s="21" t="str">
        <x:v>A02090</x:v>
      </x:c>
      <x:c r="C2096" s="21" t="str">
        <x:v>decision</x:v>
      </x:c>
      <x:c r="D2096" s="21" t="str">
        <x:v>gate 8 zero credit</x:v>
      </x:c>
      <x:c r="E2096" s="21" t="n">
        <x:f>IF('Decision Gates'!G14=0,1,0)</x:f>
        <x:v>1</x:v>
      </x:c>
      <x:c r="F2096" s="21" t="n">
        <x:v>1</x:v>
      </x:c>
      <x:c r="G2096" s="23" t="str">
        <x:f>IF(E2096=F2096,"PASS","FAIL")</x:f>
        <x:v>PASS</x:v>
      </x:c>
    </x:row>
    <x:row r="2097">
      <x:c r="B2097" s="21" t="str">
        <x:v>A02091</x:v>
      </x:c>
      <x:c r="C2097" s="21" t="str">
        <x:v>decision</x:v>
      </x:c>
      <x:c r="D2097" s="21" t="str">
        <x:v>gate 8 held</x:v>
      </x:c>
      <x:c r="E2097" s="21" t="n">
        <x:f>IF(AND('Decision Gates'!E14="OPEN",'Decision Gates'!F14="HOLD"),1,0)</x:f>
        <x:v>1</x:v>
      </x:c>
      <x:c r="F2097" s="21" t="n">
        <x:v>1</x:v>
      </x:c>
      <x:c r="G2097" s="23" t="str">
        <x:f>IF(E2097=F2097,"PASS","FAIL")</x:f>
        <x:v>PASS</x:v>
      </x:c>
    </x:row>
    <x:row r="2098">
      <x:c r="B2098" s="21" t="str">
        <x:v>A02092</x:v>
      </x:c>
      <x:c r="C2098" s="21" t="str">
        <x:v>decision</x:v>
      </x:c>
      <x:c r="D2098" s="21" t="str">
        <x:v>gate 9 zero credit</x:v>
      </x:c>
      <x:c r="E2098" s="21" t="n">
        <x:f>IF('Decision Gates'!G15=0,1,0)</x:f>
        <x:v>1</x:v>
      </x:c>
      <x:c r="F2098" s="21" t="n">
        <x:v>1</x:v>
      </x:c>
      <x:c r="G2098" s="23" t="str">
        <x:f>IF(E2098=F2098,"PASS","FAIL")</x:f>
        <x:v>PASS</x:v>
      </x:c>
    </x:row>
    <x:row r="2099">
      <x:c r="B2099" s="21" t="str">
        <x:v>A02093</x:v>
      </x:c>
      <x:c r="C2099" s="21" t="str">
        <x:v>decision</x:v>
      </x:c>
      <x:c r="D2099" s="21" t="str">
        <x:v>gate 9 held</x:v>
      </x:c>
      <x:c r="E2099" s="21" t="n">
        <x:f>IF(AND('Decision Gates'!E15="OPEN",'Decision Gates'!F15="HOLD"),1,0)</x:f>
        <x:v>1</x:v>
      </x:c>
      <x:c r="F2099" s="21" t="n">
        <x:v>1</x:v>
      </x:c>
      <x:c r="G2099" s="23" t="str">
        <x:f>IF(E2099=F2099,"PASS","FAIL")</x:f>
        <x:v>PASS</x:v>
      </x:c>
    </x:row>
    <x:row r="2100">
      <x:c r="B2100" s="21" t="str">
        <x:v>A02094</x:v>
      </x:c>
      <x:c r="C2100" s="21" t="str">
        <x:v>decision</x:v>
      </x:c>
      <x:c r="D2100" s="21" t="str">
        <x:v>gate 10 zero credit</x:v>
      </x:c>
      <x:c r="E2100" s="21" t="n">
        <x:f>IF('Decision Gates'!G16=0,1,0)</x:f>
        <x:v>1</x:v>
      </x:c>
      <x:c r="F2100" s="21" t="n">
        <x:v>1</x:v>
      </x:c>
      <x:c r="G2100" s="23" t="str">
        <x:f>IF(E2100=F2100,"PASS","FAIL")</x:f>
        <x:v>PASS</x:v>
      </x:c>
    </x:row>
    <x:row r="2101">
      <x:c r="B2101" s="21" t="str">
        <x:v>A02095</x:v>
      </x:c>
      <x:c r="C2101" s="21" t="str">
        <x:v>decision</x:v>
      </x:c>
      <x:c r="D2101" s="21" t="str">
        <x:v>gate 10 held</x:v>
      </x:c>
      <x:c r="E2101" s="21" t="n">
        <x:f>IF(AND('Decision Gates'!E16="OPEN",'Decision Gates'!F16="HOLD"),1,0)</x:f>
        <x:v>1</x:v>
      </x:c>
      <x:c r="F2101" s="21" t="n">
        <x:v>1</x:v>
      </x:c>
      <x:c r="G2101" s="23" t="str">
        <x:f>IF(E2101=F2101,"PASS","FAIL")</x:f>
        <x:v>PASS</x:v>
      </x:c>
    </x:row>
    <x:row r="2102">
      <x:c r="B2102" s="21" t="str">
        <x:v>A02096</x:v>
      </x:c>
      <x:c r="C2102" s="21" t="str">
        <x:v>decision</x:v>
      </x:c>
      <x:c r="D2102" s="21" t="str">
        <x:v>gate 11 zero credit</x:v>
      </x:c>
      <x:c r="E2102" s="21" t="n">
        <x:f>IF('Decision Gates'!G17=0,1,0)</x:f>
        <x:v>1</x:v>
      </x:c>
      <x:c r="F2102" s="21" t="n">
        <x:v>1</x:v>
      </x:c>
      <x:c r="G2102" s="23" t="str">
        <x:f>IF(E2102=F2102,"PASS","FAIL")</x:f>
        <x:v>PASS</x:v>
      </x:c>
    </x:row>
    <x:row r="2103">
      <x:c r="B2103" s="21" t="str">
        <x:v>A02097</x:v>
      </x:c>
      <x:c r="C2103" s="21" t="str">
        <x:v>decision</x:v>
      </x:c>
      <x:c r="D2103" s="21" t="str">
        <x:v>gate 11 held</x:v>
      </x:c>
      <x:c r="E2103" s="21" t="n">
        <x:f>IF(AND('Decision Gates'!E17="OPEN",'Decision Gates'!F17="HOLD"),1,0)</x:f>
        <x:v>1</x:v>
      </x:c>
      <x:c r="F2103" s="21" t="n">
        <x:v>1</x:v>
      </x:c>
      <x:c r="G2103" s="23" t="str">
        <x:f>IF(E2103=F2103,"PASS","FAIL")</x:f>
        <x:v>PASS</x:v>
      </x:c>
    </x:row>
    <x:row r="2104">
      <x:c r="B2104" s="21" t="str">
        <x:v>A02098</x:v>
      </x:c>
      <x:c r="C2104" s="21" t="str">
        <x:v>decision</x:v>
      </x:c>
      <x:c r="D2104" s="21" t="str">
        <x:v>gate 12 zero credit</x:v>
      </x:c>
      <x:c r="E2104" s="21" t="n">
        <x:f>IF('Decision Gates'!G18=0,1,0)</x:f>
        <x:v>1</x:v>
      </x:c>
      <x:c r="F2104" s="21" t="n">
        <x:v>1</x:v>
      </x:c>
      <x:c r="G2104" s="23" t="str">
        <x:f>IF(E2104=F2104,"PASS","FAIL")</x:f>
        <x:v>PASS</x:v>
      </x:c>
    </x:row>
    <x:row r="2105">
      <x:c r="B2105" s="21" t="str">
        <x:v>A02099</x:v>
      </x:c>
      <x:c r="C2105" s="21" t="str">
        <x:v>decision</x:v>
      </x:c>
      <x:c r="D2105" s="21" t="str">
        <x:v>gate 12 held</x:v>
      </x:c>
      <x:c r="E2105" s="21" t="n">
        <x:f>IF(AND('Decision Gates'!E18="OPEN",'Decision Gates'!F18="HOLD"),1,0)</x:f>
        <x:v>1</x:v>
      </x:c>
      <x:c r="F2105" s="21" t="n">
        <x:v>1</x:v>
      </x:c>
      <x:c r="G2105" s="23" t="str">
        <x:f>IF(E2105=F2105,"PASS","FAIL")</x:f>
        <x:v>PASS</x:v>
      </x:c>
    </x:row>
    <x:row r="2106">
      <x:c r="B2106" s="21" t="str">
        <x:v>A02100</x:v>
      </x:c>
      <x:c r="C2106" s="21" t="str">
        <x:v>decision</x:v>
      </x:c>
      <x:c r="D2106" s="21" t="str">
        <x:v>gate 13 zero credit</x:v>
      </x:c>
      <x:c r="E2106" s="21" t="n">
        <x:f>IF('Decision Gates'!G19=0,1,0)</x:f>
        <x:v>1</x:v>
      </x:c>
      <x:c r="F2106" s="21" t="n">
        <x:v>1</x:v>
      </x:c>
      <x:c r="G2106" s="23" t="str">
        <x:f>IF(E2106=F2106,"PASS","FAIL")</x:f>
        <x:v>PASS</x:v>
      </x:c>
    </x:row>
    <x:row r="2107">
      <x:c r="B2107" s="21" t="str">
        <x:v>A02101</x:v>
      </x:c>
      <x:c r="C2107" s="21" t="str">
        <x:v>decision</x:v>
      </x:c>
      <x:c r="D2107" s="21" t="str">
        <x:v>gate 13 held</x:v>
      </x:c>
      <x:c r="E2107" s="21" t="n">
        <x:f>IF(AND('Decision Gates'!E19="OPEN",'Decision Gates'!F19="HOLD"),1,0)</x:f>
        <x:v>1</x:v>
      </x:c>
      <x:c r="F2107" s="21" t="n">
        <x:v>1</x:v>
      </x:c>
      <x:c r="G2107" s="23" t="str">
        <x:f>IF(E2107=F2107,"PASS","FAIL")</x:f>
        <x:v>PASS</x:v>
      </x:c>
    </x:row>
    <x:row r="2108">
      <x:c r="B2108" s="21" t="str">
        <x:v>A02102</x:v>
      </x:c>
      <x:c r="C2108" s="21" t="str">
        <x:v>decision</x:v>
      </x:c>
      <x:c r="D2108" s="21" t="str">
        <x:v>gate 14 zero credit</x:v>
      </x:c>
      <x:c r="E2108" s="21" t="n">
        <x:f>IF('Decision Gates'!G20=0,1,0)</x:f>
        <x:v>1</x:v>
      </x:c>
      <x:c r="F2108" s="21" t="n">
        <x:v>1</x:v>
      </x:c>
      <x:c r="G2108" s="23" t="str">
        <x:f>IF(E2108=F2108,"PASS","FAIL")</x:f>
        <x:v>PASS</x:v>
      </x:c>
    </x:row>
    <x:row r="2109">
      <x:c r="B2109" s="21" t="str">
        <x:v>A02103</x:v>
      </x:c>
      <x:c r="C2109" s="21" t="str">
        <x:v>decision</x:v>
      </x:c>
      <x:c r="D2109" s="21" t="str">
        <x:v>gate 14 held</x:v>
      </x:c>
      <x:c r="E2109" s="21" t="n">
        <x:f>IF(AND('Decision Gates'!E20="OPEN",'Decision Gates'!F20="HOLD"),1,0)</x:f>
        <x:v>1</x:v>
      </x:c>
      <x:c r="F2109" s="21" t="n">
        <x:v>1</x:v>
      </x:c>
      <x:c r="G2109" s="23" t="str">
        <x:f>IF(E2109=F2109,"PASS","FAIL")</x:f>
        <x:v>PASS</x:v>
      </x:c>
    </x:row>
    <x:row r="2110">
      <x:c r="B2110" s="21" t="str">
        <x:v>A02104</x:v>
      </x:c>
      <x:c r="C2110" s="21" t="str">
        <x:v>decision</x:v>
      </x:c>
      <x:c r="D2110" s="21" t="str">
        <x:v>gate 15 zero credit</x:v>
      </x:c>
      <x:c r="E2110" s="21" t="n">
        <x:f>IF('Decision Gates'!G21=0,1,0)</x:f>
        <x:v>1</x:v>
      </x:c>
      <x:c r="F2110" s="21" t="n">
        <x:v>1</x:v>
      </x:c>
      <x:c r="G2110" s="23" t="str">
        <x:f>IF(E2110=F2110,"PASS","FAIL")</x:f>
        <x:v>PASS</x:v>
      </x:c>
    </x:row>
    <x:row r="2111">
      <x:c r="B2111" s="21" t="str">
        <x:v>A02105</x:v>
      </x:c>
      <x:c r="C2111" s="21" t="str">
        <x:v>decision</x:v>
      </x:c>
      <x:c r="D2111" s="21" t="str">
        <x:v>gate 15 held</x:v>
      </x:c>
      <x:c r="E2111" s="21" t="n">
        <x:f>IF(AND('Decision Gates'!E21="OPEN",'Decision Gates'!F21="HOLD"),1,0)</x:f>
        <x:v>1</x:v>
      </x:c>
      <x:c r="F2111" s="21" t="n">
        <x:v>1</x:v>
      </x:c>
      <x:c r="G2111" s="23" t="str">
        <x:f>IF(E2111=F2111,"PASS","FAIL")</x:f>
        <x:v>PASS</x:v>
      </x:c>
    </x:row>
    <x:row r="2112">
      <x:c r="B2112" s="21" t="str">
        <x:v>A02106</x:v>
      </x:c>
      <x:c r="C2112" s="21" t="str">
        <x:v>decision</x:v>
      </x:c>
      <x:c r="D2112" s="21" t="str">
        <x:v>gate 16 zero credit</x:v>
      </x:c>
      <x:c r="E2112" s="21" t="n">
        <x:f>IF('Decision Gates'!G22=0,1,0)</x:f>
        <x:v>1</x:v>
      </x:c>
      <x:c r="F2112" s="21" t="n">
        <x:v>1</x:v>
      </x:c>
      <x:c r="G2112" s="23" t="str">
        <x:f>IF(E2112=F2112,"PASS","FAIL")</x:f>
        <x:v>PASS</x:v>
      </x:c>
    </x:row>
    <x:row r="2113">
      <x:c r="B2113" s="21" t="str">
        <x:v>A02107</x:v>
      </x:c>
      <x:c r="C2113" s="21" t="str">
        <x:v>decision</x:v>
      </x:c>
      <x:c r="D2113" s="21" t="str">
        <x:v>gate 16 held</x:v>
      </x:c>
      <x:c r="E2113" s="21" t="n">
        <x:f>IF(AND('Decision Gates'!E22="OPEN",'Decision Gates'!F22="HOLD"),1,0)</x:f>
        <x:v>1</x:v>
      </x:c>
      <x:c r="F2113" s="21" t="n">
        <x:v>1</x:v>
      </x:c>
      <x:c r="G2113" s="23" t="str">
        <x:f>IF(E2113=F2113,"PASS","FAIL")</x:f>
        <x:v>PASS</x:v>
      </x:c>
    </x:row>
    <x:row r="2114">
      <x:c r="B2114" s="21" t="str">
        <x:v>A02108</x:v>
      </x:c>
      <x:c r="C2114" s="21" t="str">
        <x:v>decision</x:v>
      </x:c>
      <x:c r="D2114" s="21" t="str">
        <x:v>gate 17 zero credit</x:v>
      </x:c>
      <x:c r="E2114" s="21" t="n">
        <x:f>IF('Decision Gates'!G23=0,1,0)</x:f>
        <x:v>1</x:v>
      </x:c>
      <x:c r="F2114" s="21" t="n">
        <x:v>1</x:v>
      </x:c>
      <x:c r="G2114" s="23" t="str">
        <x:f>IF(E2114=F2114,"PASS","FAIL")</x:f>
        <x:v>PASS</x:v>
      </x:c>
    </x:row>
    <x:row r="2115">
      <x:c r="B2115" s="21" t="str">
        <x:v>A02109</x:v>
      </x:c>
      <x:c r="C2115" s="21" t="str">
        <x:v>decision</x:v>
      </x:c>
      <x:c r="D2115" s="21" t="str">
        <x:v>gate 17 held</x:v>
      </x:c>
      <x:c r="E2115" s="21" t="n">
        <x:f>IF(AND('Decision Gates'!E23="OPEN",'Decision Gates'!F23="HOLD"),1,0)</x:f>
        <x:v>1</x:v>
      </x:c>
      <x:c r="F2115" s="21" t="n">
        <x:v>1</x:v>
      </x:c>
      <x:c r="G2115" s="23" t="str">
        <x:f>IF(E2115=F2115,"PASS","FAIL")</x:f>
        <x:v>PASS</x:v>
      </x:c>
    </x:row>
    <x:row r="2116">
      <x:c r="B2116" s="21" t="str">
        <x:v>A02110</x:v>
      </x:c>
      <x:c r="C2116" s="21" t="str">
        <x:v>decision</x:v>
      </x:c>
      <x:c r="D2116" s="21" t="str">
        <x:v>gate 18 zero credit</x:v>
      </x:c>
      <x:c r="E2116" s="21" t="n">
        <x:f>IF('Decision Gates'!G24=0,1,0)</x:f>
        <x:v>1</x:v>
      </x:c>
      <x:c r="F2116" s="21" t="n">
        <x:v>1</x:v>
      </x:c>
      <x:c r="G2116" s="23" t="str">
        <x:f>IF(E2116=F2116,"PASS","FAIL")</x:f>
        <x:v>PASS</x:v>
      </x:c>
    </x:row>
    <x:row r="2117">
      <x:c r="B2117" s="21" t="str">
        <x:v>A02111</x:v>
      </x:c>
      <x:c r="C2117" s="21" t="str">
        <x:v>decision</x:v>
      </x:c>
      <x:c r="D2117" s="21" t="str">
        <x:v>gate 18 held</x:v>
      </x:c>
      <x:c r="E2117" s="21" t="n">
        <x:f>IF(AND('Decision Gates'!E24="OPEN",'Decision Gates'!F24="HOLD"),1,0)</x:f>
        <x:v>1</x:v>
      </x:c>
      <x:c r="F2117" s="21" t="n">
        <x:v>1</x:v>
      </x:c>
      <x:c r="G2117" s="23" t="str">
        <x:f>IF(E2117=F2117,"PASS","FAIL")</x:f>
        <x:v>PASS</x:v>
      </x:c>
    </x:row>
    <x:row r="2118">
      <x:c r="B2118" s="21" t="str">
        <x:v>A02112</x:v>
      </x:c>
      <x:c r="C2118" s="21" t="str">
        <x:v>decision</x:v>
      </x:c>
      <x:c r="D2118" s="21" t="str">
        <x:v>gate 19 zero credit</x:v>
      </x:c>
      <x:c r="E2118" s="21" t="n">
        <x:f>IF('Decision Gates'!G25=0,1,0)</x:f>
        <x:v>1</x:v>
      </x:c>
      <x:c r="F2118" s="21" t="n">
        <x:v>1</x:v>
      </x:c>
      <x:c r="G2118" s="23" t="str">
        <x:f>IF(E2118=F2118,"PASS","FAIL")</x:f>
        <x:v>PASS</x:v>
      </x:c>
    </x:row>
    <x:row r="2119">
      <x:c r="B2119" s="21" t="str">
        <x:v>A02113</x:v>
      </x:c>
      <x:c r="C2119" s="21" t="str">
        <x:v>decision</x:v>
      </x:c>
      <x:c r="D2119" s="21" t="str">
        <x:v>gate 19 held</x:v>
      </x:c>
      <x:c r="E2119" s="21" t="n">
        <x:f>IF(AND('Decision Gates'!E25="OPEN",'Decision Gates'!F25="HOLD"),1,0)</x:f>
        <x:v>1</x:v>
      </x:c>
      <x:c r="F2119" s="21" t="n">
        <x:v>1</x:v>
      </x:c>
      <x:c r="G2119" s="23" t="str">
        <x:f>IF(E2119=F2119,"PASS","FAIL")</x:f>
        <x:v>PASS</x:v>
      </x:c>
    </x:row>
    <x:row r="2120">
      <x:c r="B2120" s="21" t="str">
        <x:v>A02114</x:v>
      </x:c>
      <x:c r="C2120" s="21" t="str">
        <x:v>decision</x:v>
      </x:c>
      <x:c r="D2120" s="21" t="str">
        <x:v>gate 20 zero credit</x:v>
      </x:c>
      <x:c r="E2120" s="21" t="n">
        <x:f>IF('Decision Gates'!G26=0,1,0)</x:f>
        <x:v>1</x:v>
      </x:c>
      <x:c r="F2120" s="21" t="n">
        <x:v>1</x:v>
      </x:c>
      <x:c r="G2120" s="23" t="str">
        <x:f>IF(E2120=F2120,"PASS","FAIL")</x:f>
        <x:v>PASS</x:v>
      </x:c>
    </x:row>
    <x:row r="2121">
      <x:c r="B2121" s="21" t="str">
        <x:v>A02115</x:v>
      </x:c>
      <x:c r="C2121" s="21" t="str">
        <x:v>decision</x:v>
      </x:c>
      <x:c r="D2121" s="21" t="str">
        <x:v>gate 20 held</x:v>
      </x:c>
      <x:c r="E2121" s="21" t="n">
        <x:f>IF(AND('Decision Gates'!E26="OPEN",'Decision Gates'!F26="HOLD"),1,0)</x:f>
        <x:v>1</x:v>
      </x:c>
      <x:c r="F2121" s="21" t="n">
        <x:v>1</x:v>
      </x:c>
      <x:c r="G2121" s="23" t="str">
        <x:f>IF(E2121=F2121,"PASS","FAIL")</x:f>
        <x:v>PASS</x:v>
      </x:c>
    </x:row>
    <x:row r="2122">
      <x:c r="B2122" s="21" t="str">
        <x:v>A02116</x:v>
      </x:c>
      <x:c r="C2122" s="21" t="str">
        <x:v>decision</x:v>
      </x:c>
      <x:c r="D2122" s="21" t="str">
        <x:v>gate 21 zero credit</x:v>
      </x:c>
      <x:c r="E2122" s="21" t="n">
        <x:f>IF('Decision Gates'!G27=0,1,0)</x:f>
        <x:v>1</x:v>
      </x:c>
      <x:c r="F2122" s="21" t="n">
        <x:v>1</x:v>
      </x:c>
      <x:c r="G2122" s="23" t="str">
        <x:f>IF(E2122=F2122,"PASS","FAIL")</x:f>
        <x:v>PASS</x:v>
      </x:c>
    </x:row>
    <x:row r="2123">
      <x:c r="B2123" s="21" t="str">
        <x:v>A02117</x:v>
      </x:c>
      <x:c r="C2123" s="21" t="str">
        <x:v>decision</x:v>
      </x:c>
      <x:c r="D2123" s="21" t="str">
        <x:v>gate 21 held</x:v>
      </x:c>
      <x:c r="E2123" s="21" t="n">
        <x:f>IF(AND('Decision Gates'!E27="OPEN",'Decision Gates'!F27="HOLD"),1,0)</x:f>
        <x:v>1</x:v>
      </x:c>
      <x:c r="F2123" s="21" t="n">
        <x:v>1</x:v>
      </x:c>
      <x:c r="G2123" s="23" t="str">
        <x:f>IF(E2123=F2123,"PASS","FAIL")</x:f>
        <x:v>PASS</x:v>
      </x:c>
    </x:row>
    <x:row r="2124">
      <x:c r="B2124" s="21" t="str">
        <x:v>A02118</x:v>
      </x:c>
      <x:c r="C2124" s="21" t="str">
        <x:v>decision</x:v>
      </x:c>
      <x:c r="D2124" s="21" t="str">
        <x:v>gate 22 zero credit</x:v>
      </x:c>
      <x:c r="E2124" s="21" t="n">
        <x:f>IF('Decision Gates'!G28=0,1,0)</x:f>
        <x:v>1</x:v>
      </x:c>
      <x:c r="F2124" s="21" t="n">
        <x:v>1</x:v>
      </x:c>
      <x:c r="G2124" s="23" t="str">
        <x:f>IF(E2124=F2124,"PASS","FAIL")</x:f>
        <x:v>PASS</x:v>
      </x:c>
    </x:row>
    <x:row r="2125">
      <x:c r="B2125" s="21" t="str">
        <x:v>A02119</x:v>
      </x:c>
      <x:c r="C2125" s="21" t="str">
        <x:v>decision</x:v>
      </x:c>
      <x:c r="D2125" s="21" t="str">
        <x:v>gate 22 held</x:v>
      </x:c>
      <x:c r="E2125" s="21" t="n">
        <x:f>IF(AND('Decision Gates'!E28="OPEN",'Decision Gates'!F28="HOLD"),1,0)</x:f>
        <x:v>1</x:v>
      </x:c>
      <x:c r="F2125" s="21" t="n">
        <x:v>1</x:v>
      </x:c>
      <x:c r="G2125" s="23" t="str">
        <x:f>IF(E2125=F2125,"PASS","FAIL")</x:f>
        <x:v>PASS</x:v>
      </x:c>
    </x:row>
    <x:row r="2126">
      <x:c r="B2126" s="21" t="str">
        <x:v>A02120</x:v>
      </x:c>
      <x:c r="C2126" s="21" t="str">
        <x:v>decision</x:v>
      </x:c>
      <x:c r="D2126" s="21" t="str">
        <x:v>gate 23 zero credit</x:v>
      </x:c>
      <x:c r="E2126" s="21" t="n">
        <x:f>IF('Decision Gates'!G29=0,1,0)</x:f>
        <x:v>1</x:v>
      </x:c>
      <x:c r="F2126" s="21" t="n">
        <x:v>1</x:v>
      </x:c>
      <x:c r="G2126" s="23" t="str">
        <x:f>IF(E2126=F2126,"PASS","FAIL")</x:f>
        <x:v>PASS</x:v>
      </x:c>
    </x:row>
    <x:row r="2127">
      <x:c r="B2127" s="21" t="str">
        <x:v>A02121</x:v>
      </x:c>
      <x:c r="C2127" s="21" t="str">
        <x:v>decision</x:v>
      </x:c>
      <x:c r="D2127" s="21" t="str">
        <x:v>gate 23 held</x:v>
      </x:c>
      <x:c r="E2127" s="21" t="n">
        <x:f>IF(AND('Decision Gates'!E29="OPEN",'Decision Gates'!F29="HOLD"),1,0)</x:f>
        <x:v>1</x:v>
      </x:c>
      <x:c r="F2127" s="21" t="n">
        <x:v>1</x:v>
      </x:c>
      <x:c r="G2127" s="23" t="str">
        <x:f>IF(E2127=F2127,"PASS","FAIL")</x:f>
        <x:v>PASS</x:v>
      </x:c>
    </x:row>
    <x:row r="2128">
      <x:c r="B2128" s="21" t="str">
        <x:v>A02122</x:v>
      </x:c>
      <x:c r="C2128" s="21" t="str">
        <x:v>decision</x:v>
      </x:c>
      <x:c r="D2128" s="21" t="str">
        <x:v>gate 24 zero credit</x:v>
      </x:c>
      <x:c r="E2128" s="21" t="n">
        <x:f>IF('Decision Gates'!G30=0,1,0)</x:f>
        <x:v>1</x:v>
      </x:c>
      <x:c r="F2128" s="21" t="n">
        <x:v>1</x:v>
      </x:c>
      <x:c r="G2128" s="23" t="str">
        <x:f>IF(E2128=F2128,"PASS","FAIL")</x:f>
        <x:v>PASS</x:v>
      </x:c>
    </x:row>
    <x:row r="2129">
      <x:c r="B2129" s="24" t="str">
        <x:v>A02123</x:v>
      </x:c>
      <x:c r="C2129" s="24" t="str">
        <x:v>decision</x:v>
      </x:c>
      <x:c r="D2129" s="24" t="str">
        <x:v>gate 24 held</x:v>
      </x:c>
      <x:c r="E2129" s="24" t="n">
        <x:f>IF(AND('Decision Gates'!E30="OPEN",'Decision Gates'!F30="HOLD"),1,0)</x:f>
        <x:v>1</x:v>
      </x:c>
      <x:c r="F2129" s="24" t="n">
        <x:v>1</x:v>
      </x:c>
      <x:c r="G2129" s="26" t="str">
        <x:f>IF(E2129=F2129,"PASS","FAIL")</x:f>
        <x:v>PASS</x:v>
      </x:c>
    </x:row>
    <x:row r="2130">
      <x:c r="B2130" s="2"/>
      <x:c r="C2130" s="2"/>
      <x:c r="D2130" s="2"/>
      <x:c r="E2130" s="2"/>
      <x:c r="F2130" s="2"/>
      <x:c r="G2130" s="2"/>
    </x:row>
    <x:row r="2131">
      <x:c r="B2131" s="2"/>
      <x:c r="C2131" s="2"/>
      <x:c r="D2131" s="2"/>
      <x:c r="E2131" s="2"/>
      <x:c r="F2131" s="2"/>
      <x:c r="G2131" s="2"/>
    </x:row>
    <x:row r="2132">
      <x:c r="B2132" s="2"/>
      <x:c r="C2132" s="2"/>
      <x:c r="D2132" s="2"/>
      <x:c r="E2132" s="2"/>
      <x:c r="F2132" s="2"/>
      <x:c r="G2132" s="2"/>
    </x:row>
    <x:row r="2133">
      <x:c r="B2133" s="2"/>
      <x:c r="C2133" s="2"/>
      <x:c r="D2133" s="2"/>
      <x:c r="E2133" s="2"/>
      <x:c r="F2133" s="2"/>
      <x:c r="G2133" s="2"/>
    </x:row>
    <x:row r="2134">
      <x:c r="B2134" s="2"/>
      <x:c r="C2134" s="2"/>
      <x:c r="D2134" s="2"/>
      <x:c r="E2134" s="2"/>
      <x:c r="F2134" s="2"/>
      <x:c r="G2134" s="2"/>
    </x:row>
    <x:row r="2135">
      <x:c r="B2135" s="2"/>
      <x:c r="C2135" s="2"/>
      <x:c r="D2135" s="2"/>
      <x:c r="E2135" s="2"/>
      <x:c r="F2135" s="2"/>
      <x:c r="G2135" s="2"/>
    </x:row>
    <x:row r="2136">
      <x:c r="B2136" s="2"/>
      <x:c r="C2136" s="2"/>
      <x:c r="D2136" s="2"/>
      <x:c r="E2136" s="2"/>
      <x:c r="F2136" s="2"/>
      <x:c r="G2136" s="2"/>
    </x:row>
    <x:row r="2137">
      <x:c r="B2137" s="2"/>
      <x:c r="C2137" s="2"/>
      <x:c r="D2137" s="2"/>
      <x:c r="E2137" s="2"/>
      <x:c r="F2137" s="2"/>
      <x:c r="G2137" s="2"/>
    </x:row>
    <x:row r="2138">
      <x:c r="B2138" s="2"/>
      <x:c r="C2138" s="2"/>
      <x:c r="D2138" s="2"/>
      <x:c r="E2138" s="2"/>
      <x:c r="F2138" s="2"/>
      <x:c r="G2138" s="2"/>
    </x:row>
    <x:row r="2139">
      <x:c r="B2139" s="2"/>
      <x:c r="C2139" s="2"/>
      <x:c r="D2139" s="2"/>
      <x:c r="E2139" s="2"/>
      <x:c r="F2139" s="2"/>
      <x:c r="G2139" s="2"/>
    </x:row>
    <x:row r="2140">
      <x:c r="B2140" s="2"/>
      <x:c r="C2140" s="2"/>
      <x:c r="D2140" s="2"/>
      <x:c r="E2140" s="2"/>
      <x:c r="F2140" s="2"/>
      <x:c r="G2140" s="2"/>
    </x:row>
    <x:row r="2141">
      <x:c r="B2141" s="2"/>
      <x:c r="C2141" s="2"/>
      <x:c r="D2141" s="2"/>
      <x:c r="E2141" s="2"/>
      <x:c r="F2141" s="2"/>
      <x:c r="G2141" s="2"/>
    </x:row>
    <x:row r="2142">
      <x:c r="B2142" s="2"/>
      <x:c r="C2142" s="2"/>
      <x:c r="D2142" s="2"/>
      <x:c r="E2142" s="2"/>
      <x:c r="F2142" s="2"/>
      <x:c r="G2142" s="2"/>
    </x:row>
    <x:row r="2143">
      <x:c r="B2143" s="2"/>
      <x:c r="C2143" s="2"/>
      <x:c r="D2143" s="2"/>
      <x:c r="E2143" s="2"/>
      <x:c r="F2143" s="2"/>
      <x:c r="G2143" s="2"/>
    </x:row>
    <x:row r="2144">
      <x:c r="B2144" s="2"/>
      <x:c r="C2144" s="2"/>
      <x:c r="D2144" s="2"/>
      <x:c r="E2144" s="2"/>
      <x:c r="F2144" s="2"/>
      <x:c r="G2144" s="2"/>
    </x:row>
    <x:row r="2145">
      <x:c r="B2145" s="2"/>
      <x:c r="C2145" s="2"/>
      <x:c r="D2145" s="2"/>
      <x:c r="E2145" s="2"/>
      <x:c r="F2145" s="2"/>
      <x:c r="G2145" s="2"/>
    </x:row>
    <x:row r="2146">
      <x:c r="B2146" s="2"/>
      <x:c r="C2146" s="2"/>
      <x:c r="D2146" s="2"/>
      <x:c r="E2146" s="2"/>
      <x:c r="F2146" s="2"/>
      <x:c r="G2146" s="2"/>
    </x:row>
    <x:row r="2147">
      <x:c r="B2147" s="2"/>
      <x:c r="C2147" s="2"/>
      <x:c r="D2147" s="2"/>
      <x:c r="E2147" s="2"/>
      <x:c r="F2147" s="2"/>
      <x:c r="G2147" s="2"/>
    </x:row>
    <x:row r="2148">
      <x:c r="B2148" s="2"/>
      <x:c r="C2148" s="2"/>
      <x:c r="D2148" s="2"/>
      <x:c r="E2148" s="2"/>
      <x:c r="F2148" s="2"/>
      <x:c r="G2148" s="2"/>
    </x:row>
    <x:row r="2149">
      <x:c r="B2149" s="2"/>
      <x:c r="C2149" s="2"/>
      <x:c r="D2149" s="2"/>
      <x:c r="E2149" s="2"/>
      <x:c r="F2149" s="2"/>
      <x:c r="G2149" s="2"/>
    </x:row>
    <x:row r="2150">
      <x:c r="B2150" s="2"/>
      <x:c r="C2150" s="2"/>
      <x:c r="D2150" s="2"/>
      <x:c r="E2150" s="2"/>
      <x:c r="F2150" s="2"/>
      <x:c r="G2150" s="2"/>
    </x:row>
    <x:row r="2151">
      <x:c r="B2151" s="2"/>
      <x:c r="C2151" s="2"/>
      <x:c r="D2151" s="2"/>
      <x:c r="E2151" s="2"/>
      <x:c r="F2151" s="2"/>
      <x:c r="G2151" s="2"/>
    </x:row>
    <x:row r="2152">
      <x:c r="B2152" s="2"/>
      <x:c r="C2152" s="2"/>
      <x:c r="D2152" s="2"/>
      <x:c r="E2152" s="2"/>
      <x:c r="F2152" s="2"/>
      <x:c r="G2152" s="2"/>
    </x:row>
    <x:row r="2153">
      <x:c r="B2153" s="2"/>
      <x:c r="C2153" s="2"/>
      <x:c r="D2153" s="2"/>
      <x:c r="E2153" s="2"/>
      <x:c r="F2153" s="2"/>
      <x:c r="G2153" s="2"/>
    </x:row>
    <x:row r="2154">
      <x:c r="B2154" s="2"/>
      <x:c r="C2154" s="2"/>
      <x:c r="D2154" s="2"/>
      <x:c r="E2154" s="2"/>
      <x:c r="F2154" s="2"/>
      <x:c r="G2154" s="2"/>
    </x:row>
    <x:row r="2155">
      <x:c r="B2155" s="2"/>
      <x:c r="C2155" s="2"/>
      <x:c r="D2155" s="2"/>
      <x:c r="E2155" s="2"/>
      <x:c r="F2155" s="2"/>
      <x:c r="G2155" s="2"/>
    </x:row>
    <x:row r="2156">
      <x:c r="B2156" s="2"/>
      <x:c r="C2156" s="2"/>
      <x:c r="D2156" s="2"/>
      <x:c r="E2156" s="2"/>
      <x:c r="F2156" s="2"/>
      <x:c r="G2156" s="2"/>
    </x:row>
    <x:row r="2157">
      <x:c r="B2157" s="2"/>
      <x:c r="C2157" s="2"/>
      <x:c r="D2157" s="2"/>
      <x:c r="E2157" s="2"/>
      <x:c r="F2157" s="2"/>
      <x:c r="G2157" s="2"/>
    </x:row>
    <x:row r="2158">
      <x:c r="B2158" s="2"/>
      <x:c r="C2158" s="2"/>
      <x:c r="D2158" s="2"/>
      <x:c r="E2158" s="2"/>
      <x:c r="F2158" s="2"/>
      <x:c r="G2158" s="2"/>
    </x:row>
    <x:row r="2159">
      <x:c r="B2159" s="2"/>
      <x:c r="C2159" s="2"/>
      <x:c r="D2159" s="2"/>
      <x:c r="E2159" s="2"/>
      <x:c r="F2159" s="2"/>
      <x:c r="G2159" s="2"/>
    </x:row>
    <x:row r="2160">
      <x:c r="B2160" s="2"/>
      <x:c r="C2160" s="2"/>
      <x:c r="D2160" s="2"/>
      <x:c r="E2160" s="2"/>
      <x:c r="F2160" s="2"/>
      <x:c r="G2160" s="2"/>
    </x:row>
    <x:row r="2161">
      <x:c r="B2161" s="2"/>
      <x:c r="C2161" s="2"/>
      <x:c r="D2161" s="2"/>
      <x:c r="E2161" s="2"/>
      <x:c r="F2161" s="2"/>
      <x:c r="G2161" s="2"/>
    </x:row>
    <x:row r="2162">
      <x:c r="B2162" s="2"/>
      <x:c r="C2162" s="2"/>
      <x:c r="D2162" s="2"/>
      <x:c r="E2162" s="2"/>
      <x:c r="F2162" s="2"/>
      <x:c r="G2162" s="2"/>
    </x:row>
    <x:row r="2163">
      <x:c r="B2163" s="2"/>
      <x:c r="C2163" s="2"/>
      <x:c r="D2163" s="2"/>
      <x:c r="E2163" s="2"/>
      <x:c r="F2163" s="2"/>
      <x:c r="G2163" s="2"/>
    </x:row>
    <x:row r="2164">
      <x:c r="B2164" s="2"/>
      <x:c r="C2164" s="2"/>
      <x:c r="D2164" s="2"/>
      <x:c r="E2164" s="2"/>
      <x:c r="F2164" s="2"/>
      <x:c r="G2164" s="2"/>
    </x:row>
    <x:row r="2165">
      <x:c r="B2165" s="2"/>
      <x:c r="C2165" s="2"/>
      <x:c r="D2165" s="2"/>
      <x:c r="E2165" s="2"/>
      <x:c r="F2165" s="2"/>
      <x:c r="G2165" s="2"/>
    </x:row>
    <x:row r="2166">
      <x:c r="B2166" s="2"/>
      <x:c r="C2166" s="2"/>
      <x:c r="D2166" s="2"/>
      <x:c r="E2166" s="2"/>
      <x:c r="F2166" s="2"/>
      <x:c r="G2166" s="2"/>
    </x:row>
    <x:row r="2167">
      <x:c r="B2167" s="2"/>
      <x:c r="C2167" s="2"/>
      <x:c r="D2167" s="2"/>
      <x:c r="E2167" s="2"/>
      <x:c r="F2167" s="2"/>
      <x:c r="G2167" s="2"/>
    </x:row>
    <x:row r="2168">
      <x:c r="B2168" s="2"/>
      <x:c r="C2168" s="2"/>
      <x:c r="D2168" s="2"/>
      <x:c r="E2168" s="2"/>
      <x:c r="F2168" s="2"/>
      <x:c r="G2168" s="2"/>
    </x:row>
    <x:row r="2169">
      <x:c r="B2169" s="2"/>
      <x:c r="C2169" s="2"/>
      <x:c r="D2169" s="2"/>
      <x:c r="E2169" s="2"/>
      <x:c r="F2169" s="2"/>
      <x:c r="G2169" s="2"/>
    </x:row>
    <x:row r="2170">
      <x:c r="B2170" s="2"/>
      <x:c r="C2170" s="2"/>
      <x:c r="D2170" s="2"/>
      <x:c r="E2170" s="2"/>
      <x:c r="F2170" s="2"/>
      <x:c r="G2170" s="2"/>
    </x:row>
    <x:row r="2171">
      <x:c r="B2171" s="2"/>
      <x:c r="C2171" s="2"/>
      <x:c r="D2171" s="2"/>
      <x:c r="E2171" s="2"/>
      <x:c r="F2171" s="2"/>
      <x:c r="G2171" s="2"/>
    </x:row>
    <x:row r="2172">
      <x:c r="B2172" s="2"/>
      <x:c r="C2172" s="2"/>
      <x:c r="D2172" s="2"/>
      <x:c r="E2172" s="2"/>
      <x:c r="F2172" s="2"/>
      <x:c r="G2172" s="2"/>
    </x:row>
    <x:row r="2173">
      <x:c r="B2173" s="2"/>
      <x:c r="C2173" s="2"/>
      <x:c r="D2173" s="2"/>
      <x:c r="E2173" s="2"/>
      <x:c r="F2173" s="2"/>
      <x:c r="G2173" s="2"/>
    </x:row>
    <x:row r="2174">
      <x:c r="B2174" s="2"/>
      <x:c r="C2174" s="2"/>
      <x:c r="D2174" s="2"/>
      <x:c r="E2174" s="2"/>
      <x:c r="F2174" s="2"/>
      <x:c r="G2174" s="2"/>
    </x:row>
    <x:row r="2175">
      <x:c r="B2175" s="2"/>
      <x:c r="C2175" s="2"/>
      <x:c r="D2175" s="2"/>
      <x:c r="E2175" s="2"/>
      <x:c r="F2175" s="2"/>
      <x:c r="G2175" s="2"/>
    </x:row>
    <x:row r="2176">
      <x:c r="B2176" s="2"/>
      <x:c r="C2176" s="2"/>
      <x:c r="D2176" s="2"/>
      <x:c r="E2176" s="2"/>
      <x:c r="F2176" s="2"/>
      <x:c r="G2176" s="2"/>
    </x:row>
    <x:row r="2177">
      <x:c r="B2177" s="2"/>
      <x:c r="C2177" s="2"/>
      <x:c r="D2177" s="2"/>
      <x:c r="E2177" s="2"/>
      <x:c r="F2177" s="2"/>
      <x:c r="G2177" s="2"/>
    </x:row>
    <x:row r="2178">
      <x:c r="B2178" s="2"/>
      <x:c r="C2178" s="2"/>
      <x:c r="D2178" s="2"/>
      <x:c r="E2178" s="2"/>
      <x:c r="F2178" s="2"/>
      <x:c r="G2178" s="2"/>
    </x:row>
    <x:row r="2179">
      <x:c r="B2179" s="2"/>
      <x:c r="C2179" s="2"/>
      <x:c r="D2179" s="2"/>
      <x:c r="E2179" s="2"/>
      <x:c r="F2179" s="2"/>
      <x:c r="G2179" s="2"/>
    </x:row>
    <x:row r="2180">
      <x:c r="B2180" s="2"/>
      <x:c r="C2180" s="2"/>
      <x:c r="D2180" s="2"/>
      <x:c r="E2180" s="2"/>
      <x:c r="F2180" s="2"/>
      <x:c r="G2180" s="2"/>
    </x:row>
    <x:row r="2181">
      <x:c r="B2181" s="2"/>
      <x:c r="C2181" s="2"/>
      <x:c r="D2181" s="2"/>
      <x:c r="E2181" s="2"/>
      <x:c r="F2181" s="2"/>
      <x:c r="G2181" s="2"/>
    </x:row>
    <x:row r="2182">
      <x:c r="B2182" s="2"/>
      <x:c r="C2182" s="2"/>
      <x:c r="D2182" s="2"/>
      <x:c r="E2182" s="2"/>
      <x:c r="F2182" s="2"/>
      <x:c r="G2182" s="2"/>
    </x:row>
    <x:row r="2183">
      <x:c r="B2183" s="2"/>
      <x:c r="C2183" s="2"/>
      <x:c r="D2183" s="2"/>
      <x:c r="E2183" s="2"/>
      <x:c r="F2183" s="2"/>
      <x:c r="G2183" s="2"/>
    </x:row>
    <x:row r="2184">
      <x:c r="B2184" s="2"/>
      <x:c r="C2184" s="2"/>
      <x:c r="D2184" s="2"/>
      <x:c r="E2184" s="2"/>
      <x:c r="F2184" s="2"/>
      <x:c r="G2184" s="2"/>
    </x:row>
    <x:row r="2185">
      <x:c r="B2185" s="2"/>
      <x:c r="C2185" s="2"/>
      <x:c r="D2185" s="2"/>
      <x:c r="E2185" s="2"/>
      <x:c r="F2185" s="2"/>
      <x:c r="G2185" s="2"/>
    </x:row>
    <x:row r="2186">
      <x:c r="B2186" s="2"/>
      <x:c r="C2186" s="2"/>
      <x:c r="D2186" s="2"/>
      <x:c r="E2186" s="2"/>
      <x:c r="F2186" s="2"/>
      <x:c r="G2186" s="2"/>
    </x:row>
    <x:row r="2187">
      <x:c r="B2187" s="2"/>
      <x:c r="C2187" s="2"/>
      <x:c r="D2187" s="2"/>
      <x:c r="E2187" s="2"/>
      <x:c r="F2187" s="2"/>
      <x:c r="G2187" s="2"/>
    </x:row>
    <x:row r="2188">
      <x:c r="B2188" s="2"/>
      <x:c r="C2188" s="2"/>
      <x:c r="D2188" s="2"/>
      <x:c r="E2188" s="2"/>
      <x:c r="F2188" s="2"/>
      <x:c r="G2188" s="2"/>
    </x:row>
    <x:row r="2189">
      <x:c r="B2189" s="2"/>
      <x:c r="C2189" s="2"/>
      <x:c r="D2189" s="2"/>
      <x:c r="E2189" s="2"/>
      <x:c r="F2189" s="2"/>
      <x:c r="G2189" s="2"/>
    </x:row>
    <x:row r="2190">
      <x:c r="B2190" s="2"/>
      <x:c r="C2190" s="2"/>
      <x:c r="D2190" s="2"/>
      <x:c r="E2190" s="2"/>
      <x:c r="F2190" s="2"/>
      <x:c r="G2190" s="2"/>
    </x:row>
    <x:row r="2191">
      <x:c r="B2191" s="2"/>
      <x:c r="C2191" s="2"/>
      <x:c r="D2191" s="2"/>
      <x:c r="E2191" s="2"/>
      <x:c r="F2191" s="2"/>
      <x:c r="G2191" s="2"/>
    </x:row>
    <x:row r="2192">
      <x:c r="B2192" s="2"/>
      <x:c r="C2192" s="2"/>
      <x:c r="D2192" s="2"/>
      <x:c r="E2192" s="2"/>
      <x:c r="F2192" s="2"/>
      <x:c r="G2192" s="2"/>
    </x:row>
    <x:row r="2193">
      <x:c r="B2193" s="2"/>
      <x:c r="C2193" s="2"/>
      <x:c r="D2193" s="2"/>
      <x:c r="E2193" s="2"/>
      <x:c r="F2193" s="2"/>
      <x:c r="G2193" s="2"/>
    </x:row>
    <x:row r="2194">
      <x:c r="B2194" s="2"/>
      <x:c r="C2194" s="2"/>
      <x:c r="D2194" s="2"/>
      <x:c r="E2194" s="2"/>
      <x:c r="F2194" s="2"/>
      <x:c r="G2194" s="2"/>
    </x:row>
    <x:row r="2195">
      <x:c r="B2195" s="2"/>
      <x:c r="C2195" s="2"/>
      <x:c r="D2195" s="2"/>
      <x:c r="E2195" s="2"/>
      <x:c r="F2195" s="2"/>
      <x:c r="G2195" s="2"/>
    </x:row>
    <x:row r="2196">
      <x:c r="B2196" s="2"/>
      <x:c r="C2196" s="2"/>
      <x:c r="D2196" s="2"/>
      <x:c r="E2196" s="2"/>
      <x:c r="F2196" s="2"/>
      <x:c r="G2196" s="2"/>
    </x:row>
    <x:row r="2197">
      <x:c r="B2197" s="2"/>
      <x:c r="C2197" s="2"/>
      <x:c r="D2197" s="2"/>
      <x:c r="E2197" s="2"/>
      <x:c r="F2197" s="2"/>
      <x:c r="G2197" s="2"/>
    </x:row>
    <x:row r="2198">
      <x:c r="B2198" s="2"/>
      <x:c r="C2198" s="2"/>
      <x:c r="D2198" s="2"/>
      <x:c r="E2198" s="2"/>
      <x:c r="F2198" s="2"/>
      <x:c r="G2198" s="2"/>
    </x:row>
    <x:row r="2199">
      <x:c r="B2199" s="2"/>
      <x:c r="C2199" s="2"/>
      <x:c r="D2199" s="2"/>
      <x:c r="E2199" s="2"/>
      <x:c r="F2199" s="2"/>
      <x:c r="G2199" s="2"/>
    </x:row>
    <x:row r="2200">
      <x:c r="B2200" s="2"/>
      <x:c r="C2200" s="2"/>
      <x:c r="D2200" s="2"/>
      <x:c r="E2200" s="2"/>
      <x:c r="F2200" s="2"/>
      <x:c r="G2200" s="2"/>
    </x:row>
    <x:row r="2201">
      <x:c r="B2201" s="2"/>
      <x:c r="C2201" s="2"/>
      <x:c r="D2201" s="2"/>
      <x:c r="E2201" s="2"/>
      <x:c r="F2201" s="2"/>
      <x:c r="G2201" s="2"/>
    </x:row>
    <x:row r="2202">
      <x:c r="B2202" s="2"/>
      <x:c r="C2202" s="2"/>
      <x:c r="D2202" s="2"/>
      <x:c r="E2202" s="2"/>
      <x:c r="F2202" s="2"/>
      <x:c r="G2202" s="2"/>
    </x:row>
    <x:row r="2203">
      <x:c r="B2203" s="2"/>
      <x:c r="C2203" s="2"/>
      <x:c r="D2203" s="2"/>
      <x:c r="E2203" s="2"/>
      <x:c r="F2203" s="2"/>
      <x:c r="G2203" s="2"/>
    </x:row>
    <x:row r="2204">
      <x:c r="B2204" s="2"/>
      <x:c r="C2204" s="2"/>
      <x:c r="D2204" s="2"/>
      <x:c r="E2204" s="2"/>
      <x:c r="F2204" s="2"/>
      <x:c r="G2204" s="2"/>
    </x:row>
    <x:row r="2205">
      <x:c r="B2205" s="2"/>
      <x:c r="C2205" s="2"/>
      <x:c r="D2205" s="2"/>
      <x:c r="E2205" s="2"/>
      <x:c r="F2205" s="2"/>
      <x:c r="G2205" s="2"/>
    </x:row>
    <x:row r="2206">
      <x:c r="B2206" s="2"/>
      <x:c r="C2206" s="2"/>
      <x:c r="D2206" s="2"/>
      <x:c r="E2206" s="2"/>
      <x:c r="F2206" s="2"/>
      <x:c r="G2206" s="2"/>
    </x:row>
    <x:row r="2207">
      <x:c r="B2207" s="2"/>
      <x:c r="C2207" s="2"/>
      <x:c r="D2207" s="2"/>
      <x:c r="E2207" s="2"/>
      <x:c r="F2207" s="2"/>
      <x:c r="G2207" s="2"/>
    </x:row>
    <x:row r="2208">
      <x:c r="B2208" s="2"/>
      <x:c r="C2208" s="2"/>
      <x:c r="D2208" s="2"/>
      <x:c r="E2208" s="2"/>
      <x:c r="F2208" s="2"/>
      <x:c r="G2208" s="2"/>
    </x:row>
    <x:row r="2209">
      <x:c r="B2209" s="2"/>
      <x:c r="C2209" s="2"/>
      <x:c r="D2209" s="2"/>
      <x:c r="E2209" s="2"/>
      <x:c r="F2209" s="2"/>
      <x:c r="G2209" s="2"/>
    </x:row>
    <x:row r="2210">
      <x:c r="B2210" s="2"/>
      <x:c r="C2210" s="2"/>
      <x:c r="D2210" s="2"/>
      <x:c r="E2210" s="2"/>
      <x:c r="F2210" s="2"/>
      <x:c r="G2210" s="2"/>
    </x:row>
    <x:row r="2211">
      <x:c r="B2211" s="2"/>
      <x:c r="C2211" s="2"/>
      <x:c r="D2211" s="2"/>
      <x:c r="E2211" s="2"/>
      <x:c r="F2211" s="2"/>
      <x:c r="G2211" s="2"/>
    </x:row>
    <x:row r="2212">
      <x:c r="B2212" s="2"/>
      <x:c r="C2212" s="2"/>
      <x:c r="D2212" s="2"/>
      <x:c r="E2212" s="2"/>
      <x:c r="F2212" s="2"/>
      <x:c r="G2212" s="2"/>
    </x:row>
    <x:row r="2213">
      <x:c r="B2213" s="2"/>
      <x:c r="C2213" s="2"/>
      <x:c r="D2213" s="2"/>
      <x:c r="E2213" s="2"/>
      <x:c r="F2213" s="2"/>
      <x:c r="G2213" s="2"/>
    </x:row>
    <x:row r="2214">
      <x:c r="B2214" s="2"/>
      <x:c r="C2214" s="2"/>
      <x:c r="D2214" s="2"/>
      <x:c r="E2214" s="2"/>
      <x:c r="F2214" s="2"/>
      <x:c r="G2214" s="2"/>
    </x:row>
    <x:row r="2215">
      <x:c r="B2215" s="2"/>
      <x:c r="C2215" s="2"/>
      <x:c r="D2215" s="2"/>
      <x:c r="E2215" s="2"/>
      <x:c r="F2215" s="2"/>
      <x:c r="G2215" s="2"/>
    </x:row>
    <x:row r="2216">
      <x:c r="B2216" s="2"/>
      <x:c r="C2216" s="2"/>
      <x:c r="D2216" s="2"/>
      <x:c r="E2216" s="2"/>
      <x:c r="F2216" s="2"/>
      <x:c r="G2216" s="2"/>
    </x:row>
    <x:row r="2217">
      <x:c r="B2217" s="2"/>
      <x:c r="C2217" s="2"/>
      <x:c r="D2217" s="2"/>
      <x:c r="E2217" s="2"/>
      <x:c r="F2217" s="2"/>
      <x:c r="G2217" s="2"/>
    </x:row>
    <x:row r="2218">
      <x:c r="B2218" s="2"/>
      <x:c r="C2218" s="2"/>
      <x:c r="D2218" s="2"/>
      <x:c r="E2218" s="2"/>
      <x:c r="F2218" s="2"/>
      <x:c r="G2218" s="2"/>
    </x:row>
    <x:row r="2219">
      <x:c r="B2219" s="2"/>
      <x:c r="C2219" s="2"/>
      <x:c r="D2219" s="2"/>
      <x:c r="E2219" s="2"/>
      <x:c r="F2219" s="2"/>
      <x:c r="G2219" s="2"/>
    </x:row>
    <x:row r="2220">
      <x:c r="B2220" s="2"/>
      <x:c r="C2220" s="2"/>
      <x:c r="D2220" s="2"/>
      <x:c r="E2220" s="2"/>
      <x:c r="F2220" s="2"/>
      <x:c r="G2220" s="2"/>
    </x:row>
    <x:row r="2221">
      <x:c r="B2221" s="2"/>
      <x:c r="C2221" s="2"/>
      <x:c r="D2221" s="2"/>
      <x:c r="E2221" s="2"/>
      <x:c r="F2221" s="2"/>
      <x:c r="G2221" s="2"/>
    </x:row>
    <x:row r="2222">
      <x:c r="B2222" s="2"/>
      <x:c r="C2222" s="2"/>
      <x:c r="D2222" s="2"/>
      <x:c r="E2222" s="2"/>
      <x:c r="F2222" s="2"/>
      <x:c r="G2222" s="2"/>
    </x:row>
    <x:row r="2223">
      <x:c r="B2223" s="2"/>
      <x:c r="C2223" s="2"/>
      <x:c r="D2223" s="2"/>
      <x:c r="E2223" s="2"/>
      <x:c r="F2223" s="2"/>
      <x:c r="G2223" s="2"/>
    </x:row>
    <x:row r="2224">
      <x:c r="B2224" s="2"/>
      <x:c r="C2224" s="2"/>
      <x:c r="D2224" s="2"/>
      <x:c r="E2224" s="2"/>
      <x:c r="F2224" s="2"/>
      <x:c r="G2224" s="2"/>
    </x:row>
    <x:row r="2225">
      <x:c r="B2225" s="2"/>
      <x:c r="C2225" s="2"/>
      <x:c r="D2225" s="2"/>
      <x:c r="E2225" s="2"/>
      <x:c r="F2225" s="2"/>
      <x:c r="G2225" s="2"/>
    </x:row>
    <x:row r="2226">
      <x:c r="B2226" s="2"/>
      <x:c r="C2226" s="2"/>
      <x:c r="D2226" s="2"/>
      <x:c r="E2226" s="2"/>
      <x:c r="F2226" s="2"/>
      <x:c r="G2226" s="2"/>
    </x:row>
    <x:row r="2227">
      <x:c r="B2227" s="2"/>
      <x:c r="C2227" s="2"/>
      <x:c r="D2227" s="2"/>
      <x:c r="E2227" s="2"/>
      <x:c r="F2227" s="2"/>
      <x:c r="G2227" s="2"/>
    </x:row>
    <x:row r="2228">
      <x:c r="B2228" s="2"/>
      <x:c r="C2228" s="2"/>
      <x:c r="D2228" s="2"/>
      <x:c r="E2228" s="2"/>
      <x:c r="F2228" s="2"/>
      <x:c r="G2228" s="2"/>
    </x:row>
    <x:row r="2229">
      <x:c r="B2229" s="2"/>
      <x:c r="C2229" s="2"/>
      <x:c r="D2229" s="2"/>
      <x:c r="E2229" s="2"/>
      <x:c r="F2229" s="2"/>
      <x:c r="G2229" s="2"/>
    </x:row>
    <x:row r="2230">
      <x:c r="B2230" s="2"/>
      <x:c r="C2230" s="2"/>
      <x:c r="D2230" s="2"/>
      <x:c r="E2230" s="2"/>
      <x:c r="F2230" s="2"/>
      <x:c r="G2230" s="2"/>
    </x:row>
    <x:row r="2231">
      <x:c r="B2231" s="2"/>
      <x:c r="C2231" s="2"/>
      <x:c r="D2231" s="2"/>
      <x:c r="E2231" s="2"/>
      <x:c r="F2231" s="2"/>
      <x:c r="G2231" s="2"/>
    </x:row>
    <x:row r="2232">
      <x:c r="B2232" s="2"/>
      <x:c r="C2232" s="2"/>
      <x:c r="D2232" s="2"/>
      <x:c r="E2232" s="2"/>
      <x:c r="F2232" s="2"/>
      <x:c r="G2232" s="2"/>
    </x:row>
    <x:row r="2233">
      <x:c r="B2233" s="2"/>
      <x:c r="C2233" s="2"/>
      <x:c r="D2233" s="2"/>
      <x:c r="E2233" s="2"/>
      <x:c r="F2233" s="2"/>
      <x:c r="G2233" s="2"/>
    </x:row>
    <x:row r="2234">
      <x:c r="B2234" s="2"/>
      <x:c r="C2234" s="2"/>
      <x:c r="D2234" s="2"/>
      <x:c r="E2234" s="2"/>
      <x:c r="F2234" s="2"/>
      <x:c r="G2234" s="2"/>
    </x:row>
    <x:row r="2235">
      <x:c r="B2235" s="2"/>
      <x:c r="C2235" s="2"/>
      <x:c r="D2235" s="2"/>
      <x:c r="E2235" s="2"/>
      <x:c r="F2235" s="2"/>
      <x:c r="G2235" s="2"/>
    </x:row>
    <x:row r="2236">
      <x:c r="B2236" s="2"/>
      <x:c r="C2236" s="2"/>
      <x:c r="D2236" s="2"/>
      <x:c r="E2236" s="2"/>
      <x:c r="F2236" s="2"/>
      <x:c r="G2236" s="2"/>
    </x:row>
    <x:row r="2237">
      <x:c r="B2237" s="2"/>
      <x:c r="C2237" s="2"/>
      <x:c r="D2237" s="2"/>
      <x:c r="E2237" s="2"/>
      <x:c r="F2237" s="2"/>
      <x:c r="G2237" s="2"/>
    </x:row>
    <x:row r="2238">
      <x:c r="B2238" s="2"/>
      <x:c r="C2238" s="2"/>
      <x:c r="D2238" s="2"/>
      <x:c r="E2238" s="2"/>
      <x:c r="F2238" s="2"/>
      <x:c r="G2238" s="2"/>
    </x:row>
    <x:row r="2239">
      <x:c r="B2239" s="2"/>
      <x:c r="C2239" s="2"/>
      <x:c r="D2239" s="2"/>
      <x:c r="E2239" s="2"/>
      <x:c r="F2239" s="2"/>
      <x:c r="G2239" s="2"/>
    </x:row>
    <x:row r="2240">
      <x:c r="B2240" s="2"/>
      <x:c r="C2240" s="2"/>
      <x:c r="D2240" s="2"/>
      <x:c r="E2240" s="2"/>
      <x:c r="F2240" s="2"/>
      <x:c r="G2240" s="2"/>
    </x:row>
    <x:row r="2241">
      <x:c r="B2241" s="2"/>
      <x:c r="C2241" s="2"/>
      <x:c r="D2241" s="2"/>
      <x:c r="E2241" s="2"/>
      <x:c r="F2241" s="2"/>
      <x:c r="G2241" s="2"/>
    </x:row>
    <x:row r="2242">
      <x:c r="B2242" s="2"/>
      <x:c r="C2242" s="2"/>
      <x:c r="D2242" s="2"/>
      <x:c r="E2242" s="2"/>
      <x:c r="F2242" s="2"/>
      <x:c r="G2242" s="2"/>
    </x:row>
    <x:row r="2243">
      <x:c r="B2243" s="2"/>
      <x:c r="C2243" s="2"/>
      <x:c r="D2243" s="2"/>
      <x:c r="E2243" s="2"/>
      <x:c r="F2243" s="2"/>
      <x:c r="G2243" s="2"/>
    </x:row>
    <x:row r="2244">
      <x:c r="B2244" s="2"/>
      <x:c r="C2244" s="2"/>
      <x:c r="D2244" s="2"/>
      <x:c r="E2244" s="2"/>
      <x:c r="F2244" s="2"/>
      <x:c r="G2244" s="2"/>
    </x:row>
    <x:row r="2245">
      <x:c r="B2245" s="2"/>
      <x:c r="C2245" s="2"/>
      <x:c r="D2245" s="2"/>
      <x:c r="E2245" s="2"/>
      <x:c r="F2245" s="2"/>
      <x:c r="G2245" s="2"/>
    </x:row>
    <x:row r="2246">
      <x:c r="B2246" s="2"/>
      <x:c r="C2246" s="2"/>
      <x:c r="D2246" s="2"/>
      <x:c r="E2246" s="2"/>
      <x:c r="F2246" s="2"/>
      <x:c r="G2246" s="2"/>
    </x:row>
    <x:row r="2247">
      <x:c r="B2247" s="2"/>
      <x:c r="C2247" s="2"/>
      <x:c r="D2247" s="2"/>
      <x:c r="E2247" s="2"/>
      <x:c r="F2247" s="2"/>
      <x:c r="G2247" s="2"/>
    </x:row>
    <x:row r="2248">
      <x:c r="B2248" s="2"/>
      <x:c r="C2248" s="2"/>
      <x:c r="D2248" s="2"/>
      <x:c r="E2248" s="2"/>
      <x:c r="F2248" s="2"/>
      <x:c r="G2248" s="2"/>
    </x:row>
    <x:row r="2249">
      <x:c r="B2249" s="2"/>
      <x:c r="C2249" s="2"/>
      <x:c r="D2249" s="2"/>
      <x:c r="E2249" s="2"/>
      <x:c r="F2249" s="2"/>
      <x:c r="G2249" s="2"/>
    </x:row>
    <x:row r="2250">
      <x:c r="B2250" s="2"/>
      <x:c r="C2250" s="2"/>
      <x:c r="D2250" s="2"/>
      <x:c r="E2250" s="2"/>
      <x:c r="F2250" s="2"/>
      <x:c r="G2250" s="2"/>
    </x:row>
    <x:row r="2251">
      <x:c r="B2251" s="2"/>
      <x:c r="C2251" s="2"/>
      <x:c r="D2251" s="2"/>
      <x:c r="E2251" s="2"/>
      <x:c r="F2251" s="2"/>
      <x:c r="G2251" s="2"/>
    </x:row>
    <x:row r="2252">
      <x:c r="B2252" s="2"/>
      <x:c r="C2252" s="2"/>
      <x:c r="D2252" s="2"/>
      <x:c r="E2252" s="2"/>
      <x:c r="F2252" s="2"/>
      <x:c r="G2252" s="2"/>
    </x:row>
    <x:row r="2253">
      <x:c r="B2253" s="2"/>
      <x:c r="C2253" s="2"/>
      <x:c r="D2253" s="2"/>
      <x:c r="E2253" s="2"/>
      <x:c r="F2253" s="2"/>
      <x:c r="G2253" s="2"/>
    </x:row>
    <x:row r="2254">
      <x:c r="B2254" s="2"/>
      <x:c r="C2254" s="2"/>
      <x:c r="D2254" s="2"/>
      <x:c r="E2254" s="2"/>
      <x:c r="F2254" s="2"/>
      <x:c r="G2254" s="2"/>
    </x:row>
    <x:row r="2255">
      <x:c r="B2255" s="2"/>
      <x:c r="C2255" s="2"/>
      <x:c r="D2255" s="2"/>
      <x:c r="E2255" s="2"/>
      <x:c r="F2255" s="2"/>
      <x:c r="G2255" s="2"/>
    </x:row>
    <x:row r="2256">
      <x:c r="B2256" s="2"/>
      <x:c r="C2256" s="2"/>
      <x:c r="D2256" s="2"/>
      <x:c r="E2256" s="2"/>
      <x:c r="F2256" s="2"/>
      <x:c r="G2256" s="2"/>
    </x:row>
    <x:row r="2257">
      <x:c r="B2257" s="2"/>
      <x:c r="C2257" s="2"/>
      <x:c r="D2257" s="2"/>
      <x:c r="E2257" s="2"/>
      <x:c r="F2257" s="2"/>
      <x:c r="G2257" s="2"/>
    </x:row>
    <x:row r="2258">
      <x:c r="B2258" s="2"/>
      <x:c r="C2258" s="2"/>
      <x:c r="D2258" s="2"/>
      <x:c r="E2258" s="2"/>
      <x:c r="F2258" s="2"/>
      <x:c r="G2258" s="2"/>
    </x:row>
    <x:row r="2259">
      <x:c r="B2259" s="2"/>
      <x:c r="C2259" s="2"/>
      <x:c r="D2259" s="2"/>
      <x:c r="E2259" s="2"/>
      <x:c r="F2259" s="2"/>
      <x:c r="G2259" s="2"/>
    </x:row>
    <x:row r="2260">
      <x:c r="B2260" s="2"/>
      <x:c r="C2260" s="2"/>
      <x:c r="D2260" s="2"/>
      <x:c r="E2260" s="2"/>
      <x:c r="F2260" s="2"/>
      <x:c r="G2260" s="2"/>
    </x:row>
    <x:row r="2261">
      <x:c r="B2261" s="2"/>
      <x:c r="C2261" s="2"/>
      <x:c r="D2261" s="2"/>
      <x:c r="E2261" s="2"/>
      <x:c r="F2261" s="2"/>
      <x:c r="G2261" s="2"/>
    </x:row>
    <x:row r="2262">
      <x:c r="B2262" s="2"/>
      <x:c r="C2262" s="2"/>
      <x:c r="D2262" s="2"/>
      <x:c r="E2262" s="2"/>
      <x:c r="F2262" s="2"/>
      <x:c r="G2262" s="2"/>
    </x:row>
    <x:row r="2263">
      <x:c r="B2263" s="2"/>
      <x:c r="C2263" s="2"/>
      <x:c r="D2263" s="2"/>
      <x:c r="E2263" s="2"/>
      <x:c r="F2263" s="2"/>
      <x:c r="G2263" s="2"/>
    </x:row>
    <x:row r="2264">
      <x:c r="B2264" s="2"/>
      <x:c r="C2264" s="2"/>
      <x:c r="D2264" s="2"/>
      <x:c r="E2264" s="2"/>
      <x:c r="F2264" s="2"/>
      <x:c r="G2264" s="2"/>
    </x:row>
    <x:row r="2265">
      <x:c r="B2265" s="2"/>
      <x:c r="C2265" s="2"/>
      <x:c r="D2265" s="2"/>
      <x:c r="E2265" s="2"/>
      <x:c r="F2265" s="2"/>
      <x:c r="G2265" s="2"/>
    </x:row>
    <x:row r="2266">
      <x:c r="B2266" s="2"/>
      <x:c r="C2266" s="2"/>
      <x:c r="D2266" s="2"/>
      <x:c r="E2266" s="2"/>
      <x:c r="F2266" s="2"/>
      <x:c r="G2266" s="2"/>
    </x:row>
    <x:row r="2267">
      <x:c r="B2267" s="2"/>
      <x:c r="C2267" s="2"/>
      <x:c r="D2267" s="2"/>
      <x:c r="E2267" s="2"/>
      <x:c r="F2267" s="2"/>
      <x:c r="G2267" s="2"/>
    </x:row>
    <x:row r="2268">
      <x:c r="B2268" s="2"/>
      <x:c r="C2268" s="2"/>
      <x:c r="D2268" s="2"/>
      <x:c r="E2268" s="2"/>
      <x:c r="F2268" s="2"/>
      <x:c r="G2268" s="2"/>
    </x:row>
    <x:row r="2269">
      <x:c r="B2269" s="2"/>
      <x:c r="C2269" s="2"/>
      <x:c r="D2269" s="2"/>
      <x:c r="E2269" s="2"/>
      <x:c r="F2269" s="2"/>
      <x:c r="G2269" s="2"/>
    </x:row>
    <x:row r="2270">
      <x:c r="B2270" s="2"/>
      <x:c r="C2270" s="2"/>
      <x:c r="D2270" s="2"/>
      <x:c r="E2270" s="2"/>
      <x:c r="F2270" s="2"/>
      <x:c r="G2270" s="2"/>
    </x:row>
    <x:row r="2271">
      <x:c r="B2271" s="2"/>
      <x:c r="C2271" s="2"/>
      <x:c r="D2271" s="2"/>
      <x:c r="E2271" s="2"/>
      <x:c r="F2271" s="2"/>
      <x:c r="G2271" s="2"/>
    </x:row>
    <x:row r="2272">
      <x:c r="B2272" s="2"/>
      <x:c r="C2272" s="2"/>
      <x:c r="D2272" s="2"/>
      <x:c r="E2272" s="2"/>
      <x:c r="F2272" s="2"/>
      <x:c r="G2272" s="2"/>
    </x:row>
    <x:row r="2273">
      <x:c r="B2273" s="2"/>
      <x:c r="C2273" s="2"/>
      <x:c r="D2273" s="2"/>
      <x:c r="E2273" s="2"/>
      <x:c r="F2273" s="2"/>
      <x:c r="G2273" s="2"/>
    </x:row>
    <x:row r="2274">
      <x:c r="B2274" s="2"/>
      <x:c r="C2274" s="2"/>
      <x:c r="D2274" s="2"/>
      <x:c r="E2274" s="2"/>
      <x:c r="F2274" s="2"/>
      <x:c r="G2274" s="2"/>
    </x:row>
    <x:row r="2275">
      <x:c r="B2275" s="2"/>
      <x:c r="C2275" s="2"/>
      <x:c r="D2275" s="2"/>
      <x:c r="E2275" s="2"/>
      <x:c r="F2275" s="2"/>
      <x:c r="G2275" s="2"/>
    </x:row>
    <x:row r="2276">
      <x:c r="B2276" s="2"/>
      <x:c r="C2276" s="2"/>
      <x:c r="D2276" s="2"/>
      <x:c r="E2276" s="2"/>
      <x:c r="F2276" s="2"/>
      <x:c r="G2276" s="2"/>
    </x:row>
    <x:row r="2277">
      <x:c r="B2277" s="2"/>
      <x:c r="C2277" s="2"/>
      <x:c r="D2277" s="2"/>
      <x:c r="E2277" s="2"/>
      <x:c r="F2277" s="2"/>
      <x:c r="G2277" s="2"/>
    </x:row>
    <x:row r="2278">
      <x:c r="B2278" s="2"/>
      <x:c r="C2278" s="2"/>
      <x:c r="D2278" s="2"/>
      <x:c r="E2278" s="2"/>
      <x:c r="F2278" s="2"/>
      <x:c r="G2278" s="2"/>
    </x:row>
    <x:row r="2279">
      <x:c r="B2279" s="2"/>
      <x:c r="C2279" s="2"/>
      <x:c r="D2279" s="2"/>
      <x:c r="E2279" s="2"/>
      <x:c r="F2279" s="2"/>
      <x:c r="G2279" s="2"/>
    </x:row>
    <x:row r="2280">
      <x:c r="B2280" s="2"/>
      <x:c r="C2280" s="2"/>
      <x:c r="D2280" s="2"/>
      <x:c r="E2280" s="2"/>
      <x:c r="F2280" s="2"/>
      <x:c r="G2280" s="2"/>
    </x:row>
    <x:row r="2281">
      <x:c r="B2281" s="2"/>
      <x:c r="C2281" s="2"/>
      <x:c r="D2281" s="2"/>
      <x:c r="E2281" s="2"/>
      <x:c r="F2281" s="2"/>
      <x:c r="G2281" s="2"/>
    </x:row>
    <x:row r="2282">
      <x:c r="B2282" s="2"/>
      <x:c r="C2282" s="2"/>
      <x:c r="D2282" s="2"/>
      <x:c r="E2282" s="2"/>
      <x:c r="F2282" s="2"/>
      <x:c r="G2282" s="2"/>
    </x:row>
    <x:row r="2283">
      <x:c r="B2283" s="2"/>
      <x:c r="C2283" s="2"/>
      <x:c r="D2283" s="2"/>
      <x:c r="E2283" s="2"/>
      <x:c r="F2283" s="2"/>
      <x:c r="G2283" s="2"/>
    </x:row>
    <x:row r="2284">
      <x:c r="B2284" s="2"/>
      <x:c r="C2284" s="2"/>
      <x:c r="D2284" s="2"/>
      <x:c r="E2284" s="2"/>
      <x:c r="F2284" s="2"/>
      <x:c r="G2284" s="2"/>
    </x:row>
    <x:row r="2285">
      <x:c r="B2285" s="2"/>
      <x:c r="C2285" s="2"/>
      <x:c r="D2285" s="2"/>
      <x:c r="E2285" s="2"/>
      <x:c r="F2285" s="2"/>
      <x:c r="G2285" s="2"/>
    </x:row>
    <x:row r="2286">
      <x:c r="B2286" s="2"/>
      <x:c r="C2286" s="2"/>
      <x:c r="D2286" s="2"/>
      <x:c r="E2286" s="2"/>
      <x:c r="F2286" s="2"/>
      <x:c r="G2286" s="2"/>
    </x:row>
    <x:row r="2287">
      <x:c r="B2287" s="2"/>
      <x:c r="C2287" s="2"/>
      <x:c r="D2287" s="2"/>
      <x:c r="E2287" s="2"/>
      <x:c r="F2287" s="2"/>
      <x:c r="G2287" s="2"/>
    </x:row>
    <x:row r="2288">
      <x:c r="B2288" s="2"/>
      <x:c r="C2288" s="2"/>
      <x:c r="D2288" s="2"/>
      <x:c r="E2288" s="2"/>
      <x:c r="F2288" s="2"/>
      <x:c r="G2288" s="2"/>
    </x:row>
    <x:row r="2289">
      <x:c r="B2289" s="2"/>
      <x:c r="C2289" s="2"/>
      <x:c r="D2289" s="2"/>
      <x:c r="E2289" s="2"/>
      <x:c r="F2289" s="2"/>
      <x:c r="G2289" s="2"/>
    </x:row>
    <x:row r="2290">
      <x:c r="B2290" s="2"/>
      <x:c r="C2290" s="2"/>
      <x:c r="D2290" s="2"/>
      <x:c r="E2290" s="2"/>
      <x:c r="F2290" s="2"/>
      <x:c r="G2290" s="2"/>
    </x:row>
    <x:row r="2291">
      <x:c r="B2291" s="2"/>
      <x:c r="C2291" s="2"/>
      <x:c r="D2291" s="2"/>
      <x:c r="E2291" s="2"/>
      <x:c r="F2291" s="2"/>
      <x:c r="G2291" s="2"/>
    </x:row>
    <x:row r="2292">
      <x:c r="B2292" s="2"/>
      <x:c r="C2292" s="2"/>
      <x:c r="D2292" s="2"/>
      <x:c r="E2292" s="2"/>
      <x:c r="F2292" s="2"/>
      <x:c r="G2292" s="2"/>
    </x:row>
    <x:row r="2293">
      <x:c r="B2293" s="2"/>
      <x:c r="C2293" s="2"/>
      <x:c r="D2293" s="2"/>
      <x:c r="E2293" s="2"/>
      <x:c r="F2293" s="2"/>
      <x:c r="G2293" s="2"/>
    </x:row>
    <x:row r="2294">
      <x:c r="B2294" s="2"/>
      <x:c r="C2294" s="2"/>
      <x:c r="D2294" s="2"/>
      <x:c r="E2294" s="2"/>
      <x:c r="F2294" s="2"/>
      <x:c r="G2294" s="2"/>
    </x:row>
    <x:row r="2295">
      <x:c r="B2295" s="2"/>
      <x:c r="C2295" s="2"/>
      <x:c r="D2295" s="2"/>
      <x:c r="E2295" s="2"/>
      <x:c r="F2295" s="2"/>
      <x:c r="G2295" s="2"/>
    </x:row>
    <x:row r="2296">
      <x:c r="B2296" s="2"/>
      <x:c r="C2296" s="2"/>
      <x:c r="D2296" s="2"/>
      <x:c r="E2296" s="2"/>
      <x:c r="F2296" s="2"/>
      <x:c r="G2296" s="2"/>
    </x:row>
    <x:row r="2297">
      <x:c r="B2297" s="2"/>
      <x:c r="C2297" s="2"/>
      <x:c r="D2297" s="2"/>
      <x:c r="E2297" s="2"/>
      <x:c r="F2297" s="2"/>
      <x:c r="G2297" s="2"/>
    </x:row>
    <x:row r="2298">
      <x:c r="B2298" s="2"/>
      <x:c r="C2298" s="2"/>
      <x:c r="D2298" s="2"/>
      <x:c r="E2298" s="2"/>
      <x:c r="F2298" s="2"/>
      <x:c r="G2298" s="2"/>
    </x:row>
    <x:row r="2299">
      <x:c r="B2299" s="2"/>
      <x:c r="C2299" s="2"/>
      <x:c r="D2299" s="2"/>
      <x:c r="E2299" s="2"/>
      <x:c r="F2299" s="2"/>
      <x:c r="G2299" s="2"/>
    </x:row>
    <x:row r="2300">
      <x:c r="B2300" s="2"/>
      <x:c r="C2300" s="2"/>
      <x:c r="D2300" s="2"/>
      <x:c r="E2300" s="2"/>
      <x:c r="F2300" s="2"/>
      <x:c r="G2300" s="2"/>
    </x:row>
    <x:row r="2301">
      <x:c r="B2301" s="2"/>
      <x:c r="C2301" s="2"/>
      <x:c r="D2301" s="2"/>
      <x:c r="E2301" s="2"/>
      <x:c r="F2301" s="2"/>
      <x:c r="G2301" s="2"/>
    </x:row>
    <x:row r="2302">
      <x:c r="B2302" s="2"/>
      <x:c r="C2302" s="2"/>
      <x:c r="D2302" s="2"/>
      <x:c r="E2302" s="2"/>
      <x:c r="F2302" s="2"/>
      <x:c r="G2302" s="2"/>
    </x:row>
    <x:row r="2303">
      <x:c r="B2303" s="2"/>
      <x:c r="C2303" s="2"/>
      <x:c r="D2303" s="2"/>
      <x:c r="E2303" s="2"/>
      <x:c r="F2303" s="2"/>
      <x:c r="G2303" s="2"/>
    </x:row>
    <x:row r="2304">
      <x:c r="B2304" s="2"/>
      <x:c r="C2304" s="2"/>
      <x:c r="D2304" s="2"/>
      <x:c r="E2304" s="2"/>
      <x:c r="F2304" s="2"/>
      <x:c r="G2304" s="2"/>
    </x:row>
    <x:row r="2305">
      <x:c r="B2305" s="2"/>
      <x:c r="C2305" s="2"/>
      <x:c r="D2305" s="2"/>
      <x:c r="E2305" s="2"/>
      <x:c r="F2305" s="2"/>
      <x:c r="G2305" s="2"/>
    </x:row>
    <x:row r="2306">
      <x:c r="B2306" s="2"/>
      <x:c r="C2306" s="2"/>
      <x:c r="D2306" s="2"/>
      <x:c r="E2306" s="2"/>
      <x:c r="F2306" s="2"/>
      <x:c r="G2306" s="2"/>
    </x:row>
    <x:row r="2307">
      <x:c r="B2307" s="2"/>
      <x:c r="C2307" s="2"/>
      <x:c r="D2307" s="2"/>
      <x:c r="E2307" s="2"/>
      <x:c r="F2307" s="2"/>
      <x:c r="G2307" s="2"/>
    </x:row>
    <x:row r="2308">
      <x:c r="B2308" s="2"/>
      <x:c r="C2308" s="2"/>
      <x:c r="D2308" s="2"/>
      <x:c r="E2308" s="2"/>
      <x:c r="F2308" s="2"/>
      <x:c r="G2308" s="2"/>
    </x:row>
    <x:row r="2309">
      <x:c r="B2309" s="2"/>
      <x:c r="C2309" s="2"/>
      <x:c r="D2309" s="2"/>
      <x:c r="E2309" s="2"/>
      <x:c r="F2309" s="2"/>
      <x:c r="G2309" s="2"/>
    </x:row>
    <x:row r="2310">
      <x:c r="B2310" s="2"/>
      <x:c r="C2310" s="2"/>
      <x:c r="D2310" s="2"/>
      <x:c r="E2310" s="2"/>
      <x:c r="F2310" s="2"/>
      <x:c r="G2310" s="2"/>
    </x:row>
    <x:row r="2311">
      <x:c r="B2311" s="2"/>
      <x:c r="C2311" s="2"/>
      <x:c r="D2311" s="2"/>
      <x:c r="E2311" s="2"/>
      <x:c r="F2311" s="2"/>
      <x:c r="G2311" s="2"/>
    </x:row>
    <x:row r="2312">
      <x:c r="B2312" s="2"/>
      <x:c r="C2312" s="2"/>
      <x:c r="D2312" s="2"/>
      <x:c r="E2312" s="2"/>
      <x:c r="F2312" s="2"/>
      <x:c r="G2312" s="2"/>
    </x:row>
    <x:row r="2313">
      <x:c r="B2313" s="2"/>
      <x:c r="C2313" s="2"/>
      <x:c r="D2313" s="2"/>
      <x:c r="E2313" s="2"/>
      <x:c r="F2313" s="2"/>
      <x:c r="G2313" s="2"/>
    </x:row>
    <x:row r="2314">
      <x:c r="B2314" s="2"/>
      <x:c r="C2314" s="2"/>
      <x:c r="D2314" s="2"/>
      <x:c r="E2314" s="2"/>
      <x:c r="F2314" s="2"/>
      <x:c r="G2314" s="2"/>
    </x:row>
    <x:row r="2315">
      <x:c r="B2315" s="2"/>
      <x:c r="C2315" s="2"/>
      <x:c r="D2315" s="2"/>
      <x:c r="E2315" s="2"/>
      <x:c r="F2315" s="2"/>
      <x:c r="G2315" s="2"/>
    </x:row>
    <x:row r="2316">
      <x:c r="B2316" s="2"/>
      <x:c r="C2316" s="2"/>
      <x:c r="D2316" s="2"/>
      <x:c r="E2316" s="2"/>
      <x:c r="F2316" s="2"/>
      <x:c r="G2316" s="2"/>
    </x:row>
    <x:row r="2317">
      <x:c r="B2317" s="2"/>
      <x:c r="C2317" s="2"/>
      <x:c r="D2317" s="2"/>
      <x:c r="E2317" s="2"/>
      <x:c r="F2317" s="2"/>
      <x:c r="G2317" s="2"/>
    </x:row>
    <x:row r="2318">
      <x:c r="B2318" s="2"/>
      <x:c r="C2318" s="2"/>
      <x:c r="D2318" s="2"/>
      <x:c r="E2318" s="2"/>
      <x:c r="F2318" s="2"/>
      <x:c r="G2318" s="2"/>
    </x:row>
    <x:row r="2319">
      <x:c r="B2319" s="2"/>
      <x:c r="C2319" s="2"/>
      <x:c r="D2319" s="2"/>
      <x:c r="E2319" s="2"/>
      <x:c r="F2319" s="2"/>
      <x:c r="G2319" s="2"/>
    </x:row>
    <x:row r="2320">
      <x:c r="B2320" s="2"/>
      <x:c r="C2320" s="2"/>
      <x:c r="D2320" s="2"/>
      <x:c r="E2320" s="2"/>
      <x:c r="F2320" s="2"/>
      <x:c r="G2320" s="2"/>
    </x:row>
    <x:row r="2321">
      <x:c r="B2321" s="2"/>
      <x:c r="C2321" s="2"/>
      <x:c r="D2321" s="2"/>
      <x:c r="E2321" s="2"/>
      <x:c r="F2321" s="2"/>
      <x:c r="G2321" s="2"/>
    </x:row>
    <x:row r="2322">
      <x:c r="B2322" s="2"/>
      <x:c r="C2322" s="2"/>
      <x:c r="D2322" s="2"/>
      <x:c r="E2322" s="2"/>
      <x:c r="F2322" s="2"/>
      <x:c r="G2322" s="2"/>
    </x:row>
    <x:row r="2323">
      <x:c r="B2323" s="2"/>
      <x:c r="C2323" s="2"/>
      <x:c r="D2323" s="2"/>
      <x:c r="E2323" s="2"/>
      <x:c r="F2323" s="2"/>
      <x:c r="G2323" s="2"/>
    </x:row>
    <x:row r="2324">
      <x:c r="B2324" s="2"/>
      <x:c r="C2324" s="2"/>
      <x:c r="D2324" s="2"/>
      <x:c r="E2324" s="2"/>
      <x:c r="F2324" s="2"/>
      <x:c r="G2324" s="2"/>
    </x:row>
    <x:row r="2325">
      <x:c r="B2325" s="2"/>
      <x:c r="C2325" s="2"/>
      <x:c r="D2325" s="2"/>
      <x:c r="E2325" s="2"/>
      <x:c r="F2325" s="2"/>
      <x:c r="G2325" s="2"/>
    </x:row>
    <x:row r="2326">
      <x:c r="B2326" s="2"/>
      <x:c r="C2326" s="2"/>
      <x:c r="D2326" s="2"/>
      <x:c r="E2326" s="2"/>
      <x:c r="F2326" s="2"/>
      <x:c r="G2326" s="2"/>
    </x:row>
    <x:row r="2327">
      <x:c r="B2327" s="2"/>
      <x:c r="C2327" s="2"/>
      <x:c r="D2327" s="2"/>
      <x:c r="E2327" s="2"/>
      <x:c r="F2327" s="2"/>
      <x:c r="G2327" s="2"/>
    </x:row>
    <x:row r="2328">
      <x:c r="B2328" s="2"/>
      <x:c r="C2328" s="2"/>
      <x:c r="D2328" s="2"/>
      <x:c r="E2328" s="2"/>
      <x:c r="F2328" s="2"/>
      <x:c r="G2328" s="2"/>
    </x:row>
    <x:row r="2329">
      <x:c r="B2329" s="2"/>
      <x:c r="C2329" s="2"/>
      <x:c r="D2329" s="2"/>
      <x:c r="E2329" s="2"/>
      <x:c r="F2329" s="2"/>
      <x:c r="G2329" s="2"/>
    </x:row>
    <x:row r="2330">
      <x:c r="B2330" s="2"/>
      <x:c r="C2330" s="2"/>
      <x:c r="D2330" s="2"/>
      <x:c r="E2330" s="2"/>
      <x:c r="F2330" s="2"/>
      <x:c r="G2330" s="2"/>
    </x:row>
    <x:row r="2331">
      <x:c r="B2331" s="2"/>
      <x:c r="C2331" s="2"/>
      <x:c r="D2331" s="2"/>
      <x:c r="E2331" s="2"/>
      <x:c r="F2331" s="2"/>
      <x:c r="G2331" s="2"/>
    </x:row>
    <x:row r="2332">
      <x:c r="B2332" s="2"/>
      <x:c r="C2332" s="2"/>
      <x:c r="D2332" s="2"/>
      <x:c r="E2332" s="2"/>
      <x:c r="F2332" s="2"/>
      <x:c r="G2332" s="2"/>
    </x:row>
    <x:row r="2333">
      <x:c r="B2333" s="2"/>
      <x:c r="C2333" s="2"/>
      <x:c r="D2333" s="2"/>
      <x:c r="E2333" s="2"/>
      <x:c r="F2333" s="2"/>
      <x:c r="G2333" s="2"/>
    </x:row>
    <x:row r="2334">
      <x:c r="B2334" s="2"/>
      <x:c r="C2334" s="2"/>
      <x:c r="D2334" s="2"/>
      <x:c r="E2334" s="2"/>
      <x:c r="F2334" s="2"/>
      <x:c r="G2334" s="2"/>
    </x:row>
    <x:row r="2335">
      <x:c r="B2335" s="2"/>
      <x:c r="C2335" s="2"/>
      <x:c r="D2335" s="2"/>
      <x:c r="E2335" s="2"/>
      <x:c r="F2335" s="2"/>
      <x:c r="G2335" s="2"/>
    </x:row>
    <x:row r="2336">
      <x:c r="B2336" s="2"/>
      <x:c r="C2336" s="2"/>
      <x:c r="D2336" s="2"/>
      <x:c r="E2336" s="2"/>
      <x:c r="F2336" s="2"/>
      <x:c r="G2336" s="2"/>
    </x:row>
    <x:row r="2337">
      <x:c r="B2337" s="2"/>
      <x:c r="C2337" s="2"/>
      <x:c r="D2337" s="2"/>
      <x:c r="E2337" s="2"/>
      <x:c r="F2337" s="2"/>
      <x:c r="G2337" s="2"/>
    </x:row>
    <x:row r="2338">
      <x:c r="B2338" s="2"/>
      <x:c r="C2338" s="2"/>
      <x:c r="D2338" s="2"/>
      <x:c r="E2338" s="2"/>
      <x:c r="F2338" s="2"/>
      <x:c r="G2338" s="2"/>
    </x:row>
    <x:row r="2339">
      <x:c r="B2339" s="2"/>
      <x:c r="C2339" s="2"/>
      <x:c r="D2339" s="2"/>
      <x:c r="E2339" s="2"/>
      <x:c r="F2339" s="2"/>
      <x:c r="G2339" s="2"/>
    </x:row>
    <x:row r="2340">
      <x:c r="B2340" s="2"/>
      <x:c r="C2340" s="2"/>
      <x:c r="D2340" s="2"/>
      <x:c r="E2340" s="2"/>
      <x:c r="F2340" s="2"/>
      <x:c r="G2340" s="2"/>
    </x:row>
    <x:row r="2341">
      <x:c r="B2341" s="2"/>
      <x:c r="C2341" s="2"/>
      <x:c r="D2341" s="2"/>
      <x:c r="E2341" s="2"/>
      <x:c r="F2341" s="2"/>
      <x:c r="G2341" s="2"/>
    </x:row>
    <x:row r="2342">
      <x:c r="B2342" s="2"/>
      <x:c r="C2342" s="2"/>
      <x:c r="D2342" s="2"/>
      <x:c r="E2342" s="2"/>
      <x:c r="F2342" s="2"/>
      <x:c r="G2342" s="2"/>
    </x:row>
    <x:row r="2343">
      <x:c r="B2343" s="2"/>
      <x:c r="C2343" s="2"/>
      <x:c r="D2343" s="2"/>
      <x:c r="E2343" s="2"/>
      <x:c r="F2343" s="2"/>
      <x:c r="G2343" s="2"/>
    </x:row>
    <x:row r="2344">
      <x:c r="B2344" s="2"/>
      <x:c r="C2344" s="2"/>
      <x:c r="D2344" s="2"/>
      <x:c r="E2344" s="2"/>
      <x:c r="F2344" s="2"/>
      <x:c r="G2344" s="2"/>
    </x:row>
    <x:row r="2345">
      <x:c r="B2345" s="2"/>
      <x:c r="C2345" s="2"/>
      <x:c r="D2345" s="2"/>
      <x:c r="E2345" s="2"/>
      <x:c r="F2345" s="2"/>
      <x:c r="G2345" s="2"/>
    </x:row>
    <x:row r="2346">
      <x:c r="B2346" s="2"/>
      <x:c r="C2346" s="2"/>
      <x:c r="D2346" s="2"/>
      <x:c r="E2346" s="2"/>
      <x:c r="F2346" s="2"/>
      <x:c r="G2346" s="2"/>
    </x:row>
    <x:row r="2347">
      <x:c r="B2347" s="2"/>
      <x:c r="C2347" s="2"/>
      <x:c r="D2347" s="2"/>
      <x:c r="E2347" s="2"/>
      <x:c r="F2347" s="2"/>
      <x:c r="G2347" s="2"/>
    </x:row>
    <x:row r="2348">
      <x:c r="B2348" s="2"/>
      <x:c r="C2348" s="2"/>
      <x:c r="D2348" s="2"/>
      <x:c r="E2348" s="2"/>
      <x:c r="F2348" s="2"/>
      <x:c r="G2348" s="2"/>
    </x:row>
    <x:row r="2349">
      <x:c r="B2349" s="2"/>
      <x:c r="C2349" s="2"/>
      <x:c r="D2349" s="2"/>
      <x:c r="E2349" s="2"/>
      <x:c r="F2349" s="2"/>
      <x:c r="G2349" s="2"/>
    </x:row>
    <x:row r="2350">
      <x:c r="B2350" s="2"/>
      <x:c r="C2350" s="2"/>
      <x:c r="D2350" s="2"/>
      <x:c r="E2350" s="2"/>
      <x:c r="F2350" s="2"/>
      <x:c r="G2350" s="2"/>
    </x:row>
    <x:row r="2351">
      <x:c r="B2351" s="2"/>
      <x:c r="C2351" s="2"/>
      <x:c r="D2351" s="2"/>
      <x:c r="E2351" s="2"/>
      <x:c r="F2351" s="2"/>
      <x:c r="G2351" s="2"/>
    </x:row>
    <x:row r="2352">
      <x:c r="B2352" s="2"/>
      <x:c r="C2352" s="2"/>
      <x:c r="D2352" s="2"/>
      <x:c r="E2352" s="2"/>
      <x:c r="F2352" s="2"/>
      <x:c r="G2352" s="2"/>
    </x:row>
    <x:row r="2353">
      <x:c r="B2353" s="2"/>
      <x:c r="C2353" s="2"/>
      <x:c r="D2353" s="2"/>
      <x:c r="E2353" s="2"/>
      <x:c r="F2353" s="2"/>
      <x:c r="G2353" s="2"/>
    </x:row>
    <x:row r="2354">
      <x:c r="B2354" s="2"/>
      <x:c r="C2354" s="2"/>
      <x:c r="D2354" s="2"/>
      <x:c r="E2354" s="2"/>
      <x:c r="F2354" s="2"/>
      <x:c r="G2354" s="2"/>
    </x:row>
    <x:row r="2355">
      <x:c r="B2355" s="2"/>
      <x:c r="C2355" s="2"/>
      <x:c r="D2355" s="2"/>
      <x:c r="E2355" s="2"/>
      <x:c r="F2355" s="2"/>
      <x:c r="G2355" s="2"/>
    </x:row>
    <x:row r="2356">
      <x:c r="B2356" s="2"/>
      <x:c r="C2356" s="2"/>
      <x:c r="D2356" s="2"/>
      <x:c r="E2356" s="2"/>
      <x:c r="F2356" s="2"/>
      <x:c r="G2356" s="2"/>
    </x:row>
    <x:row r="2357">
      <x:c r="B2357" s="2"/>
      <x:c r="C2357" s="2"/>
      <x:c r="D2357" s="2"/>
      <x:c r="E2357" s="2"/>
      <x:c r="F2357" s="2"/>
      <x:c r="G2357" s="2"/>
    </x:row>
    <x:row r="2358">
      <x:c r="B2358" s="2"/>
      <x:c r="C2358" s="2"/>
      <x:c r="D2358" s="2"/>
      <x:c r="E2358" s="2"/>
      <x:c r="F2358" s="2"/>
      <x:c r="G2358" s="2"/>
    </x:row>
    <x:row r="2359">
      <x:c r="B2359" s="2"/>
      <x:c r="C2359" s="2"/>
      <x:c r="D2359" s="2"/>
      <x:c r="E2359" s="2"/>
      <x:c r="F2359" s="2"/>
      <x:c r="G2359" s="2"/>
    </x:row>
    <x:row r="2360">
      <x:c r="B2360" s="2"/>
      <x:c r="C2360" s="2"/>
      <x:c r="D2360" s="2"/>
      <x:c r="E2360" s="2"/>
      <x:c r="F2360" s="2"/>
      <x:c r="G2360" s="2"/>
    </x:row>
    <x:row r="2361">
      <x:c r="B2361" s="2"/>
      <x:c r="C2361" s="2"/>
      <x:c r="D2361" s="2"/>
      <x:c r="E2361" s="2"/>
      <x:c r="F2361" s="2"/>
      <x:c r="G2361" s="2"/>
    </x:row>
    <x:row r="2362">
      <x:c r="B2362" s="2"/>
      <x:c r="C2362" s="2"/>
      <x:c r="D2362" s="2"/>
      <x:c r="E2362" s="2"/>
      <x:c r="F2362" s="2"/>
      <x:c r="G2362" s="2"/>
    </x:row>
    <x:row r="2363">
      <x:c r="B2363" s="2"/>
      <x:c r="C2363" s="2"/>
      <x:c r="D2363" s="2"/>
      <x:c r="E2363" s="2"/>
      <x:c r="F2363" s="2"/>
      <x:c r="G2363" s="2"/>
    </x:row>
    <x:row r="2364">
      <x:c r="B2364" s="2"/>
      <x:c r="C2364" s="2"/>
      <x:c r="D2364" s="2"/>
      <x:c r="E2364" s="2"/>
      <x:c r="F2364" s="2"/>
      <x:c r="G2364" s="2"/>
    </x:row>
    <x:row r="2365">
      <x:c r="B2365" s="2"/>
      <x:c r="C2365" s="2"/>
      <x:c r="D2365" s="2"/>
      <x:c r="E2365" s="2"/>
      <x:c r="F2365" s="2"/>
      <x:c r="G2365" s="2"/>
    </x:row>
    <x:row r="2366">
      <x:c r="B2366" s="2"/>
      <x:c r="C2366" s="2"/>
      <x:c r="D2366" s="2"/>
      <x:c r="E2366" s="2"/>
      <x:c r="F2366" s="2"/>
      <x:c r="G2366" s="2"/>
    </x:row>
    <x:row r="2367">
      <x:c r="B2367" s="2"/>
      <x:c r="C2367" s="2"/>
      <x:c r="D2367" s="2"/>
      <x:c r="E2367" s="2"/>
      <x:c r="F2367" s="2"/>
      <x:c r="G2367" s="2"/>
    </x:row>
    <x:row r="2368">
      <x:c r="B2368" s="2"/>
      <x:c r="C2368" s="2"/>
      <x:c r="D2368" s="2"/>
      <x:c r="E2368" s="2"/>
      <x:c r="F2368" s="2"/>
      <x:c r="G2368" s="2"/>
    </x:row>
    <x:row r="2369">
      <x:c r="B2369" s="2"/>
      <x:c r="C2369" s="2"/>
      <x:c r="D2369" s="2"/>
      <x:c r="E2369" s="2"/>
      <x:c r="F2369" s="2"/>
      <x:c r="G2369" s="2"/>
    </x:row>
    <x:row r="2370">
      <x:c r="B2370" s="2"/>
      <x:c r="C2370" s="2"/>
      <x:c r="D2370" s="2"/>
      <x:c r="E2370" s="2"/>
      <x:c r="F2370" s="2"/>
      <x:c r="G2370" s="2"/>
    </x:row>
    <x:row r="2371">
      <x:c r="B2371" s="2"/>
      <x:c r="C2371" s="2"/>
      <x:c r="D2371" s="2"/>
      <x:c r="E2371" s="2"/>
      <x:c r="F2371" s="2"/>
      <x:c r="G2371" s="2"/>
    </x:row>
    <x:row r="2372">
      <x:c r="B2372" s="2"/>
      <x:c r="C2372" s="2"/>
      <x:c r="D2372" s="2"/>
      <x:c r="E2372" s="2"/>
      <x:c r="F2372" s="2"/>
      <x:c r="G2372" s="2"/>
    </x:row>
    <x:row r="2373">
      <x:c r="B2373" s="2"/>
      <x:c r="C2373" s="2"/>
      <x:c r="D2373" s="2"/>
      <x:c r="E2373" s="2"/>
      <x:c r="F2373" s="2"/>
      <x:c r="G2373" s="2"/>
    </x:row>
    <x:row r="2374">
      <x:c r="B2374" s="2"/>
      <x:c r="C2374" s="2"/>
      <x:c r="D2374" s="2"/>
      <x:c r="E2374" s="2"/>
      <x:c r="F2374" s="2"/>
      <x:c r="G2374" s="2"/>
    </x:row>
    <x:row r="2375">
      <x:c r="B2375" s="2"/>
      <x:c r="C2375" s="2"/>
      <x:c r="D2375" s="2"/>
      <x:c r="E2375" s="2"/>
      <x:c r="F2375" s="2"/>
      <x:c r="G2375" s="2"/>
    </x:row>
    <x:row r="2376">
      <x:c r="B2376" s="2"/>
      <x:c r="C2376" s="2"/>
      <x:c r="D2376" s="2"/>
      <x:c r="E2376" s="2"/>
      <x:c r="F2376" s="2"/>
      <x:c r="G2376" s="2"/>
    </x:row>
    <x:row r="2377">
      <x:c r="B2377" s="2"/>
      <x:c r="C2377" s="2"/>
      <x:c r="D2377" s="2"/>
      <x:c r="E2377" s="2"/>
      <x:c r="F2377" s="2"/>
      <x:c r="G2377" s="2"/>
    </x:row>
    <x:row r="2378">
      <x:c r="B2378" s="2"/>
      <x:c r="C2378" s="2"/>
      <x:c r="D2378" s="2"/>
      <x:c r="E2378" s="2"/>
      <x:c r="F2378" s="2"/>
      <x:c r="G2378" s="2"/>
    </x:row>
    <x:row r="2379">
      <x:c r="B2379" s="2"/>
      <x:c r="C2379" s="2"/>
      <x:c r="D2379" s="2"/>
      <x:c r="E2379" s="2"/>
      <x:c r="F2379" s="2"/>
      <x:c r="G2379" s="2"/>
    </x:row>
    <x:row r="2380">
      <x:c r="B2380" s="2"/>
      <x:c r="C2380" s="2"/>
      <x:c r="D2380" s="2"/>
      <x:c r="E2380" s="2"/>
      <x:c r="F2380" s="2"/>
      <x:c r="G2380" s="2"/>
    </x:row>
    <x:row r="2381">
      <x:c r="B2381" s="2"/>
      <x:c r="C2381" s="2"/>
      <x:c r="D2381" s="2"/>
      <x:c r="E2381" s="2"/>
      <x:c r="F2381" s="2"/>
      <x:c r="G2381" s="2"/>
    </x:row>
    <x:row r="2382">
      <x:c r="B2382" s="2"/>
      <x:c r="C2382" s="2"/>
      <x:c r="D2382" s="2"/>
      <x:c r="E2382" s="2"/>
      <x:c r="F2382" s="2"/>
      <x:c r="G2382" s="2"/>
    </x:row>
    <x:row r="2383">
      <x:c r="B2383" s="2"/>
      <x:c r="C2383" s="2"/>
      <x:c r="D2383" s="2"/>
      <x:c r="E2383" s="2"/>
      <x:c r="F2383" s="2"/>
      <x:c r="G2383" s="2"/>
    </x:row>
    <x:row r="2384">
      <x:c r="B2384" s="2"/>
      <x:c r="C2384" s="2"/>
      <x:c r="D2384" s="2"/>
      <x:c r="E2384" s="2"/>
      <x:c r="F2384" s="2"/>
      <x:c r="G2384" s="2"/>
    </x:row>
    <x:row r="2385">
      <x:c r="B2385" s="2"/>
      <x:c r="C2385" s="2"/>
      <x:c r="D2385" s="2"/>
      <x:c r="E2385" s="2"/>
      <x:c r="F2385" s="2"/>
      <x:c r="G2385" s="2"/>
    </x:row>
    <x:row r="2386">
      <x:c r="B2386" s="2"/>
      <x:c r="C2386" s="2"/>
      <x:c r="D2386" s="2"/>
      <x:c r="E2386" s="2"/>
      <x:c r="F2386" s="2"/>
      <x:c r="G2386" s="2"/>
    </x:row>
    <x:row r="2387">
      <x:c r="B2387" s="2"/>
      <x:c r="C2387" s="2"/>
      <x:c r="D2387" s="2"/>
      <x:c r="E2387" s="2"/>
      <x:c r="F2387" s="2"/>
      <x:c r="G2387" s="2"/>
    </x:row>
    <x:row r="2388">
      <x:c r="B2388" s="2"/>
      <x:c r="C2388" s="2"/>
      <x:c r="D2388" s="2"/>
      <x:c r="E2388" s="2"/>
      <x:c r="F2388" s="2"/>
      <x:c r="G2388" s="2"/>
    </x:row>
    <x:row r="2389">
      <x:c r="B2389" s="2"/>
      <x:c r="C2389" s="2"/>
      <x:c r="D2389" s="2"/>
      <x:c r="E2389" s="2"/>
      <x:c r="F2389" s="2"/>
      <x:c r="G2389" s="2"/>
    </x:row>
    <x:row r="2390">
      <x:c r="B2390" s="2"/>
      <x:c r="C2390" s="2"/>
      <x:c r="D2390" s="2"/>
      <x:c r="E2390" s="2"/>
      <x:c r="F2390" s="2"/>
      <x:c r="G2390" s="2"/>
    </x:row>
    <x:row r="2391">
      <x:c r="B2391" s="2"/>
      <x:c r="C2391" s="2"/>
      <x:c r="D2391" s="2"/>
      <x:c r="E2391" s="2"/>
      <x:c r="F2391" s="2"/>
      <x:c r="G2391" s="2"/>
    </x:row>
    <x:row r="2392">
      <x:c r="B2392" s="2"/>
      <x:c r="C2392" s="2"/>
      <x:c r="D2392" s="2"/>
      <x:c r="E2392" s="2"/>
      <x:c r="F2392" s="2"/>
      <x:c r="G2392" s="2"/>
    </x:row>
    <x:row r="2393">
      <x:c r="B2393" s="2"/>
      <x:c r="C2393" s="2"/>
      <x:c r="D2393" s="2"/>
      <x:c r="E2393" s="2"/>
      <x:c r="F2393" s="2"/>
      <x:c r="G2393" s="2"/>
    </x:row>
    <x:row r="2394">
      <x:c r="B2394" s="2"/>
      <x:c r="C2394" s="2"/>
      <x:c r="D2394" s="2"/>
      <x:c r="E2394" s="2"/>
      <x:c r="F2394" s="2"/>
      <x:c r="G2394" s="2"/>
    </x:row>
    <x:row r="2395">
      <x:c r="B2395" s="2"/>
      <x:c r="C2395" s="2"/>
      <x:c r="D2395" s="2"/>
      <x:c r="E2395" s="2"/>
      <x:c r="F2395" s="2"/>
      <x:c r="G2395" s="2"/>
    </x:row>
    <x:row r="2396">
      <x:c r="B2396" s="2"/>
      <x:c r="C2396" s="2"/>
      <x:c r="D2396" s="2"/>
      <x:c r="E2396" s="2"/>
      <x:c r="F2396" s="2"/>
      <x:c r="G2396" s="2"/>
    </x:row>
    <x:row r="2397">
      <x:c r="B2397" s="2"/>
      <x:c r="C2397" s="2"/>
      <x:c r="D2397" s="2"/>
      <x:c r="E2397" s="2"/>
      <x:c r="F2397" s="2"/>
      <x:c r="G2397" s="2"/>
    </x:row>
    <x:row r="2398">
      <x:c r="B2398" s="2"/>
      <x:c r="C2398" s="2"/>
      <x:c r="D2398" s="2"/>
      <x:c r="E2398" s="2"/>
      <x:c r="F2398" s="2"/>
      <x:c r="G2398" s="2"/>
    </x:row>
    <x:row r="2399">
      <x:c r="B2399" s="2"/>
      <x:c r="C2399" s="2"/>
      <x:c r="D2399" s="2"/>
      <x:c r="E2399" s="2"/>
      <x:c r="F2399" s="2"/>
      <x:c r="G2399" s="2"/>
    </x:row>
    <x:row r="2400">
      <x:c r="B2400" s="2"/>
      <x:c r="C2400" s="2"/>
      <x:c r="D2400" s="2"/>
      <x:c r="E2400" s="2"/>
      <x:c r="F2400" s="2"/>
      <x:c r="G2400" s="2"/>
    </x:row>
    <x:row r="2401">
      <x:c r="B2401" s="2"/>
      <x:c r="C2401" s="2"/>
      <x:c r="D2401" s="2"/>
      <x:c r="E2401" s="2"/>
      <x:c r="F2401" s="2"/>
      <x:c r="G2401" s="2"/>
    </x:row>
    <x:row r="2402">
      <x:c r="B2402" s="2"/>
      <x:c r="C2402" s="2"/>
      <x:c r="D2402" s="2"/>
      <x:c r="E2402" s="2"/>
      <x:c r="F2402" s="2"/>
      <x:c r="G2402" s="2"/>
    </x:row>
    <x:row r="2403">
      <x:c r="B2403" s="2"/>
      <x:c r="C2403" s="2"/>
      <x:c r="D2403" s="2"/>
      <x:c r="E2403" s="2"/>
      <x:c r="F2403" s="2"/>
      <x:c r="G2403" s="2"/>
    </x:row>
    <x:row r="2404">
      <x:c r="B2404" s="2"/>
      <x:c r="C2404" s="2"/>
      <x:c r="D2404" s="2"/>
      <x:c r="E2404" s="2"/>
      <x:c r="F2404" s="2"/>
      <x:c r="G2404" s="2"/>
    </x:row>
    <x:row r="2405">
      <x:c r="B2405" s="2"/>
      <x:c r="C2405" s="2"/>
      <x:c r="D2405" s="2"/>
      <x:c r="E2405" s="2"/>
      <x:c r="F2405" s="2"/>
      <x:c r="G2405" s="2"/>
    </x:row>
    <x:row r="2406">
      <x:c r="B2406" s="2"/>
      <x:c r="C2406" s="2"/>
      <x:c r="D2406" s="2"/>
      <x:c r="E2406" s="2"/>
      <x:c r="F2406" s="2"/>
      <x:c r="G2406" s="2"/>
    </x:row>
    <x:row r="2407">
      <x:c r="B2407" s="2"/>
      <x:c r="C2407" s="2"/>
      <x:c r="D2407" s="2"/>
      <x:c r="E2407" s="2"/>
      <x:c r="F2407" s="2"/>
      <x:c r="G2407" s="2"/>
    </x:row>
    <x:row r="2408">
      <x:c r="B2408" s="2"/>
      <x:c r="C2408" s="2"/>
      <x:c r="D2408" s="2"/>
      <x:c r="E2408" s="2"/>
      <x:c r="F2408" s="2"/>
      <x:c r="G2408" s="2"/>
    </x:row>
    <x:row r="2409">
      <x:c r="B2409" s="2"/>
      <x:c r="C2409" s="2"/>
      <x:c r="D2409" s="2"/>
      <x:c r="E2409" s="2"/>
      <x:c r="F2409" s="2"/>
      <x:c r="G2409" s="2"/>
    </x:row>
    <x:row r="2410">
      <x:c r="B2410" s="2"/>
      <x:c r="C2410" s="2"/>
      <x:c r="D2410" s="2"/>
      <x:c r="E2410" s="2"/>
      <x:c r="F2410" s="2"/>
      <x:c r="G2410" s="2"/>
    </x:row>
    <x:row r="2411">
      <x:c r="B2411" s="2"/>
      <x:c r="C2411" s="2"/>
      <x:c r="D2411" s="2"/>
      <x:c r="E2411" s="2"/>
      <x:c r="F2411" s="2"/>
      <x:c r="G2411" s="2"/>
    </x:row>
    <x:row r="2412">
      <x:c r="B2412" s="2"/>
      <x:c r="C2412" s="2"/>
      <x:c r="D2412" s="2"/>
      <x:c r="E2412" s="2"/>
      <x:c r="F2412" s="2"/>
      <x:c r="G2412" s="2"/>
    </x:row>
    <x:row r="2413">
      <x:c r="B2413" s="2"/>
      <x:c r="C2413" s="2"/>
      <x:c r="D2413" s="2"/>
      <x:c r="E2413" s="2"/>
      <x:c r="F2413" s="2"/>
      <x:c r="G2413" s="2"/>
    </x:row>
    <x:row r="2414">
      <x:c r="B2414" s="2"/>
      <x:c r="C2414" s="2"/>
      <x:c r="D2414" s="2"/>
      <x:c r="E2414" s="2"/>
      <x:c r="F2414" s="2"/>
      <x:c r="G2414" s="2"/>
    </x:row>
    <x:row r="2415">
      <x:c r="B2415" s="2"/>
      <x:c r="C2415" s="2"/>
      <x:c r="D2415" s="2"/>
      <x:c r="E2415" s="2"/>
      <x:c r="F2415" s="2"/>
      <x:c r="G2415" s="2"/>
    </x:row>
    <x:row r="2416">
      <x:c r="B2416" s="2"/>
      <x:c r="C2416" s="2"/>
      <x:c r="D2416" s="2"/>
      <x:c r="E2416" s="2"/>
      <x:c r="F2416" s="2"/>
      <x:c r="G2416" s="2"/>
    </x:row>
    <x:row r="2417">
      <x:c r="B2417" s="2"/>
      <x:c r="C2417" s="2"/>
      <x:c r="D2417" s="2"/>
      <x:c r="E2417" s="2"/>
      <x:c r="F2417" s="2"/>
      <x:c r="G2417" s="2"/>
    </x:row>
    <x:row r="2418">
      <x:c r="B2418" s="2"/>
      <x:c r="C2418" s="2"/>
      <x:c r="D2418" s="2"/>
      <x:c r="E2418" s="2"/>
      <x:c r="F2418" s="2"/>
      <x:c r="G2418" s="2"/>
    </x:row>
    <x:row r="2419">
      <x:c r="B2419" s="2"/>
      <x:c r="C2419" s="2"/>
      <x:c r="D2419" s="2"/>
      <x:c r="E2419" s="2"/>
      <x:c r="F2419" s="2"/>
      <x:c r="G2419" s="2"/>
    </x:row>
    <x:row r="2420">
      <x:c r="B2420" s="2"/>
      <x:c r="C2420" s="2"/>
      <x:c r="D2420" s="2"/>
      <x:c r="E2420" s="2"/>
      <x:c r="F2420" s="2"/>
      <x:c r="G2420" s="2"/>
    </x:row>
    <x:row r="2421">
      <x:c r="B2421" s="2"/>
      <x:c r="C2421" s="2"/>
      <x:c r="D2421" s="2"/>
      <x:c r="E2421" s="2"/>
      <x:c r="F2421" s="2"/>
      <x:c r="G2421" s="2"/>
    </x:row>
    <x:row r="2422">
      <x:c r="B2422" s="2"/>
      <x:c r="C2422" s="2"/>
      <x:c r="D2422" s="2"/>
      <x:c r="E2422" s="2"/>
      <x:c r="F2422" s="2"/>
      <x:c r="G2422" s="2"/>
    </x:row>
    <x:row r="2423">
      <x:c r="B2423" s="2"/>
      <x:c r="C2423" s="2"/>
      <x:c r="D2423" s="2"/>
      <x:c r="E2423" s="2"/>
      <x:c r="F2423" s="2"/>
      <x:c r="G2423" s="2"/>
    </x:row>
    <x:row r="2424">
      <x:c r="B2424" s="2"/>
      <x:c r="C2424" s="2"/>
      <x:c r="D2424" s="2"/>
      <x:c r="E2424" s="2"/>
      <x:c r="F2424" s="2"/>
      <x:c r="G2424" s="2"/>
    </x:row>
    <x:row r="2425">
      <x:c r="B2425" s="2"/>
      <x:c r="C2425" s="2"/>
      <x:c r="D2425" s="2"/>
      <x:c r="E2425" s="2"/>
      <x:c r="F2425" s="2"/>
      <x:c r="G2425" s="2"/>
    </x:row>
    <x:row r="2426">
      <x:c r="B2426" s="2"/>
      <x:c r="C2426" s="2"/>
      <x:c r="D2426" s="2"/>
      <x:c r="E2426" s="2"/>
      <x:c r="F2426" s="2"/>
      <x:c r="G2426" s="2"/>
    </x:row>
    <x:row r="2427">
      <x:c r="B2427" s="2"/>
      <x:c r="C2427" s="2"/>
      <x:c r="D2427" s="2"/>
      <x:c r="E2427" s="2"/>
      <x:c r="F2427" s="2"/>
      <x:c r="G2427" s="2"/>
    </x:row>
    <x:row r="2428">
      <x:c r="B2428" s="2"/>
      <x:c r="C2428" s="2"/>
      <x:c r="D2428" s="2"/>
      <x:c r="E2428" s="2"/>
      <x:c r="F2428" s="2"/>
      <x:c r="G2428" s="2"/>
    </x:row>
    <x:row r="2429">
      <x:c r="B2429" s="2"/>
      <x:c r="C2429" s="2"/>
      <x:c r="D2429" s="2"/>
      <x:c r="E2429" s="2"/>
      <x:c r="F2429" s="2"/>
      <x:c r="G2429" s="2"/>
    </x:row>
    <x:row r="2430">
      <x:c r="B2430" s="2"/>
      <x:c r="C2430" s="2"/>
      <x:c r="D2430" s="2"/>
      <x:c r="E2430" s="2"/>
      <x:c r="F2430" s="2"/>
      <x:c r="G2430" s="2"/>
    </x:row>
    <x:row r="2431">
      <x:c r="B2431" s="2"/>
      <x:c r="C2431" s="2"/>
      <x:c r="D2431" s="2"/>
      <x:c r="E2431" s="2"/>
      <x:c r="F2431" s="2"/>
      <x:c r="G2431" s="2"/>
    </x:row>
    <x:row r="2432">
      <x:c r="B2432" s="2"/>
      <x:c r="C2432" s="2"/>
      <x:c r="D2432" s="2"/>
      <x:c r="E2432" s="2"/>
      <x:c r="F2432" s="2"/>
      <x:c r="G2432" s="2"/>
    </x:row>
    <x:row r="2433">
      <x:c r="B2433" s="2"/>
      <x:c r="C2433" s="2"/>
      <x:c r="D2433" s="2"/>
      <x:c r="E2433" s="2"/>
      <x:c r="F2433" s="2"/>
      <x:c r="G2433" s="2"/>
    </x:row>
    <x:row r="2434">
      <x:c r="B2434" s="2"/>
      <x:c r="C2434" s="2"/>
      <x:c r="D2434" s="2"/>
      <x:c r="E2434" s="2"/>
      <x:c r="F2434" s="2"/>
      <x:c r="G2434" s="2"/>
    </x:row>
    <x:row r="2435">
      <x:c r="B2435" s="2"/>
      <x:c r="C2435" s="2"/>
      <x:c r="D2435" s="2"/>
      <x:c r="E2435" s="2"/>
      <x:c r="F2435" s="2"/>
      <x:c r="G2435" s="2"/>
    </x:row>
    <x:row r="2436">
      <x:c r="B2436" s="2"/>
      <x:c r="C2436" s="2"/>
      <x:c r="D2436" s="2"/>
      <x:c r="E2436" s="2"/>
      <x:c r="F2436" s="2"/>
      <x:c r="G2436" s="2"/>
    </x:row>
    <x:row r="2437">
      <x:c r="B2437" s="2"/>
      <x:c r="C2437" s="2"/>
      <x:c r="D2437" s="2"/>
      <x:c r="E2437" s="2"/>
      <x:c r="F2437" s="2"/>
      <x:c r="G2437" s="2"/>
    </x:row>
    <x:row r="2438">
      <x:c r="B2438" s="2"/>
      <x:c r="C2438" s="2"/>
      <x:c r="D2438" s="2"/>
      <x:c r="E2438" s="2"/>
      <x:c r="F2438" s="2"/>
      <x:c r="G2438" s="2"/>
    </x:row>
    <x:row r="2439">
      <x:c r="B2439" s="2"/>
      <x:c r="C2439" s="2"/>
      <x:c r="D2439" s="2"/>
      <x:c r="E2439" s="2"/>
      <x:c r="F2439" s="2"/>
      <x:c r="G2439" s="2"/>
    </x:row>
    <x:row r="2440">
      <x:c r="B2440" s="2"/>
      <x:c r="C2440" s="2"/>
      <x:c r="D2440" s="2"/>
      <x:c r="E2440" s="2"/>
      <x:c r="F2440" s="2"/>
      <x:c r="G2440" s="2"/>
    </x:row>
    <x:row r="2441">
      <x:c r="B2441" s="2"/>
      <x:c r="C2441" s="2"/>
      <x:c r="D2441" s="2"/>
      <x:c r="E2441" s="2"/>
      <x:c r="F2441" s="2"/>
      <x:c r="G2441" s="2"/>
    </x:row>
    <x:row r="2442">
      <x:c r="B2442" s="2"/>
      <x:c r="C2442" s="2"/>
      <x:c r="D2442" s="2"/>
      <x:c r="E2442" s="2"/>
      <x:c r="F2442" s="2"/>
      <x:c r="G2442" s="2"/>
    </x:row>
    <x:row r="2443">
      <x:c r="B2443" s="2"/>
      <x:c r="C2443" s="2"/>
      <x:c r="D2443" s="2"/>
      <x:c r="E2443" s="2"/>
      <x:c r="F2443" s="2"/>
      <x:c r="G2443" s="2"/>
    </x:row>
    <x:row r="2444">
      <x:c r="B2444" s="2"/>
      <x:c r="C2444" s="2"/>
      <x:c r="D2444" s="2"/>
      <x:c r="E2444" s="2"/>
      <x:c r="F2444" s="2"/>
      <x:c r="G2444" s="2"/>
    </x:row>
    <x:row r="2445">
      <x:c r="B2445" s="2"/>
      <x:c r="C2445" s="2"/>
      <x:c r="D2445" s="2"/>
      <x:c r="E2445" s="2"/>
      <x:c r="F2445" s="2"/>
      <x:c r="G2445" s="2"/>
    </x:row>
    <x:row r="2446">
      <x:c r="B2446" s="2"/>
      <x:c r="C2446" s="2"/>
      <x:c r="D2446" s="2"/>
      <x:c r="E2446" s="2"/>
      <x:c r="F2446" s="2"/>
      <x:c r="G2446" s="2"/>
    </x:row>
    <x:row r="2447">
      <x:c r="B2447" s="2"/>
      <x:c r="C2447" s="2"/>
      <x:c r="D2447" s="2"/>
      <x:c r="E2447" s="2"/>
      <x:c r="F2447" s="2"/>
      <x:c r="G2447" s="2"/>
    </x:row>
    <x:row r="2448">
      <x:c r="B2448" s="2"/>
      <x:c r="C2448" s="2"/>
      <x:c r="D2448" s="2"/>
      <x:c r="E2448" s="2"/>
      <x:c r="F2448" s="2"/>
      <x:c r="G2448" s="2"/>
    </x:row>
    <x:row r="2449">
      <x:c r="B2449" s="2"/>
      <x:c r="C2449" s="2"/>
      <x:c r="D2449" s="2"/>
      <x:c r="E2449" s="2"/>
      <x:c r="F2449" s="2"/>
      <x:c r="G2449" s="2"/>
    </x:row>
    <x:row r="2450">
      <x:c r="B2450" s="2"/>
      <x:c r="C2450" s="2"/>
      <x:c r="D2450" s="2"/>
      <x:c r="E2450" s="2"/>
      <x:c r="F2450" s="2"/>
      <x:c r="G2450" s="2"/>
    </x:row>
    <x:row r="2451">
      <x:c r="B2451" s="2"/>
      <x:c r="C2451" s="2"/>
      <x:c r="D2451" s="2"/>
      <x:c r="E2451" s="2"/>
      <x:c r="F2451" s="2"/>
      <x:c r="G2451" s="2"/>
    </x:row>
    <x:row r="2452">
      <x:c r="B2452" s="2"/>
      <x:c r="C2452" s="2"/>
      <x:c r="D2452" s="2"/>
      <x:c r="E2452" s="2"/>
      <x:c r="F2452" s="2"/>
      <x:c r="G2452" s="2"/>
    </x:row>
    <x:row r="2453">
      <x:c r="B2453" s="2"/>
      <x:c r="C2453" s="2"/>
      <x:c r="D2453" s="2"/>
      <x:c r="E2453" s="2"/>
      <x:c r="F2453" s="2"/>
      <x:c r="G2453" s="2"/>
    </x:row>
    <x:row r="2454">
      <x:c r="B2454" s="2"/>
      <x:c r="C2454" s="2"/>
      <x:c r="D2454" s="2"/>
      <x:c r="E2454" s="2"/>
      <x:c r="F2454" s="2"/>
      <x:c r="G2454" s="2"/>
    </x:row>
    <x:row r="2455">
      <x:c r="B2455" s="2"/>
      <x:c r="C2455" s="2"/>
      <x:c r="D2455" s="2"/>
      <x:c r="E2455" s="2"/>
      <x:c r="F2455" s="2"/>
      <x:c r="G2455" s="2"/>
    </x:row>
    <x:row r="2456">
      <x:c r="B2456" s="2"/>
      <x:c r="C2456" s="2"/>
      <x:c r="D2456" s="2"/>
      <x:c r="E2456" s="2"/>
      <x:c r="F2456" s="2"/>
      <x:c r="G2456" s="2"/>
    </x:row>
    <x:row r="2457">
      <x:c r="B2457" s="2"/>
      <x:c r="C2457" s="2"/>
      <x:c r="D2457" s="2"/>
      <x:c r="E2457" s="2"/>
      <x:c r="F2457" s="2"/>
      <x:c r="G2457" s="2"/>
    </x:row>
    <x:row r="2458">
      <x:c r="B2458" s="2"/>
      <x:c r="C2458" s="2"/>
      <x:c r="D2458" s="2"/>
      <x:c r="E2458" s="2"/>
      <x:c r="F2458" s="2"/>
      <x:c r="G2458" s="2"/>
    </x:row>
    <x:row r="2459">
      <x:c r="B2459" s="2"/>
      <x:c r="C2459" s="2"/>
      <x:c r="D2459" s="2"/>
      <x:c r="E2459" s="2"/>
      <x:c r="F2459" s="2"/>
      <x:c r="G2459" s="2"/>
    </x:row>
    <x:row r="2460">
      <x:c r="B2460" s="2"/>
      <x:c r="C2460" s="2"/>
      <x:c r="D2460" s="2"/>
      <x:c r="E2460" s="2"/>
      <x:c r="F2460" s="2"/>
      <x:c r="G2460" s="2"/>
    </x:row>
    <x:row r="2461">
      <x:c r="B2461" s="2"/>
      <x:c r="C2461" s="2"/>
      <x:c r="D2461" s="2"/>
      <x:c r="E2461" s="2"/>
      <x:c r="F2461" s="2"/>
      <x:c r="G2461" s="2"/>
    </x:row>
    <x:row r="2462">
      <x:c r="B2462" s="2"/>
      <x:c r="C2462" s="2"/>
      <x:c r="D2462" s="2"/>
      <x:c r="E2462" s="2"/>
      <x:c r="F2462" s="2"/>
      <x:c r="G2462" s="2"/>
    </x:row>
    <x:row r="2463">
      <x:c r="B2463" s="2"/>
      <x:c r="C2463" s="2"/>
      <x:c r="D2463" s="2"/>
      <x:c r="E2463" s="2"/>
      <x:c r="F2463" s="2"/>
      <x:c r="G2463" s="2"/>
    </x:row>
    <x:row r="2464">
      <x:c r="B2464" s="2"/>
      <x:c r="C2464" s="2"/>
      <x:c r="D2464" s="2"/>
      <x:c r="E2464" s="2"/>
      <x:c r="F2464" s="2"/>
      <x:c r="G2464" s="2"/>
    </x:row>
    <x:row r="2465">
      <x:c r="B2465" s="2"/>
      <x:c r="C2465" s="2"/>
      <x:c r="D2465" s="2"/>
      <x:c r="E2465" s="2"/>
      <x:c r="F2465" s="2"/>
      <x:c r="G2465" s="2"/>
    </x:row>
    <x:row r="2466">
      <x:c r="B2466" s="2"/>
      <x:c r="C2466" s="2"/>
      <x:c r="D2466" s="2"/>
      <x:c r="E2466" s="2"/>
      <x:c r="F2466" s="2"/>
      <x:c r="G2466" s="2"/>
    </x:row>
    <x:row r="2467">
      <x:c r="B2467" s="2"/>
      <x:c r="C2467" s="2"/>
      <x:c r="D2467" s="2"/>
      <x:c r="E2467" s="2"/>
      <x:c r="F2467" s="2"/>
      <x:c r="G2467" s="2"/>
    </x:row>
    <x:row r="2468">
      <x:c r="B2468" s="2"/>
      <x:c r="C2468" s="2"/>
      <x:c r="D2468" s="2"/>
      <x:c r="E2468" s="2"/>
      <x:c r="F2468" s="2"/>
      <x:c r="G2468" s="2"/>
    </x:row>
    <x:row r="2469">
      <x:c r="B2469" s="2"/>
      <x:c r="C2469" s="2"/>
      <x:c r="D2469" s="2"/>
      <x:c r="E2469" s="2"/>
      <x:c r="F2469" s="2"/>
      <x:c r="G2469" s="2"/>
    </x:row>
    <x:row r="2470">
      <x:c r="B2470" s="2"/>
      <x:c r="C2470" s="2"/>
      <x:c r="D2470" s="2"/>
      <x:c r="E2470" s="2"/>
      <x:c r="F2470" s="2"/>
      <x:c r="G2470" s="2"/>
    </x:row>
    <x:row r="2471">
      <x:c r="B2471" s="2"/>
      <x:c r="C2471" s="2"/>
      <x:c r="D2471" s="2"/>
      <x:c r="E2471" s="2"/>
      <x:c r="F2471" s="2"/>
      <x:c r="G2471" s="2"/>
    </x:row>
    <x:row r="2472">
      <x:c r="B2472" s="2"/>
      <x:c r="C2472" s="2"/>
      <x:c r="D2472" s="2"/>
      <x:c r="E2472" s="2"/>
      <x:c r="F2472" s="2"/>
      <x:c r="G2472" s="2"/>
    </x:row>
    <x:row r="2473">
      <x:c r="B2473" s="2"/>
      <x:c r="C2473" s="2"/>
      <x:c r="D2473" s="2"/>
      <x:c r="E2473" s="2"/>
      <x:c r="F2473" s="2"/>
      <x:c r="G2473" s="2"/>
    </x:row>
    <x:row r="2474">
      <x:c r="B2474" s="2"/>
      <x:c r="C2474" s="2"/>
      <x:c r="D2474" s="2"/>
      <x:c r="E2474" s="2"/>
      <x:c r="F2474" s="2"/>
      <x:c r="G2474" s="2"/>
    </x:row>
    <x:row r="2475">
      <x:c r="B2475" s="2"/>
      <x:c r="C2475" s="2"/>
      <x:c r="D2475" s="2"/>
      <x:c r="E2475" s="2"/>
      <x:c r="F2475" s="2"/>
      <x:c r="G2475" s="2"/>
    </x:row>
    <x:row r="2476">
      <x:c r="B2476" s="2"/>
      <x:c r="C2476" s="2"/>
      <x:c r="D2476" s="2"/>
      <x:c r="E2476" s="2"/>
      <x:c r="F2476" s="2"/>
      <x:c r="G2476" s="2"/>
    </x:row>
    <x:row r="2477">
      <x:c r="B2477" s="2"/>
      <x:c r="C2477" s="2"/>
      <x:c r="D2477" s="2"/>
      <x:c r="E2477" s="2"/>
      <x:c r="F2477" s="2"/>
      <x:c r="G2477" s="2"/>
    </x:row>
    <x:row r="2478">
      <x:c r="B2478" s="2"/>
      <x:c r="C2478" s="2"/>
      <x:c r="D2478" s="2"/>
      <x:c r="E2478" s="2"/>
      <x:c r="F2478" s="2"/>
      <x:c r="G2478" s="2"/>
    </x:row>
    <x:row r="2479">
      <x:c r="B2479" s="2"/>
      <x:c r="C2479" s="2"/>
      <x:c r="D2479" s="2"/>
      <x:c r="E2479" s="2"/>
      <x:c r="F2479" s="2"/>
      <x:c r="G2479" s="2"/>
    </x:row>
    <x:row r="2480">
      <x:c r="B2480" s="2"/>
      <x:c r="C2480" s="2"/>
      <x:c r="D2480" s="2"/>
      <x:c r="E2480" s="2"/>
      <x:c r="F2480" s="2"/>
      <x:c r="G2480" s="2"/>
    </x:row>
    <x:row r="2481">
      <x:c r="B2481" s="2"/>
      <x:c r="C2481" s="2"/>
      <x:c r="D2481" s="2"/>
      <x:c r="E2481" s="2"/>
      <x:c r="F2481" s="2"/>
      <x:c r="G2481" s="2"/>
    </x:row>
    <x:row r="2482">
      <x:c r="B2482" s="2"/>
      <x:c r="C2482" s="2"/>
      <x:c r="D2482" s="2"/>
      <x:c r="E2482" s="2"/>
      <x:c r="F2482" s="2"/>
      <x:c r="G2482" s="2"/>
    </x:row>
    <x:row r="2483">
      <x:c r="B2483" s="2"/>
      <x:c r="C2483" s="2"/>
      <x:c r="D2483" s="2"/>
      <x:c r="E2483" s="2"/>
      <x:c r="F2483" s="2"/>
      <x:c r="G2483" s="2"/>
    </x:row>
    <x:row r="2484">
      <x:c r="B2484" s="2"/>
      <x:c r="C2484" s="2"/>
      <x:c r="D2484" s="2"/>
      <x:c r="E2484" s="2"/>
      <x:c r="F2484" s="2"/>
      <x:c r="G2484" s="2"/>
    </x:row>
    <x:row r="2485">
      <x:c r="B2485" s="2"/>
      <x:c r="C2485" s="2"/>
      <x:c r="D2485" s="2"/>
      <x:c r="E2485" s="2"/>
      <x:c r="F2485" s="2"/>
      <x:c r="G2485" s="2"/>
    </x:row>
    <x:row r="2486">
      <x:c r="B2486" s="2"/>
      <x:c r="C2486" s="2"/>
      <x:c r="D2486" s="2"/>
      <x:c r="E2486" s="2"/>
      <x:c r="F2486" s="2"/>
      <x:c r="G2486" s="2"/>
    </x:row>
    <x:row r="2487">
      <x:c r="B2487" s="2"/>
      <x:c r="C2487" s="2"/>
      <x:c r="D2487" s="2"/>
      <x:c r="E2487" s="2"/>
      <x:c r="F2487" s="2"/>
      <x:c r="G2487" s="2"/>
    </x:row>
    <x:row r="2488">
      <x:c r="B2488" s="2"/>
      <x:c r="C2488" s="2"/>
      <x:c r="D2488" s="2"/>
      <x:c r="E2488" s="2"/>
      <x:c r="F2488" s="2"/>
      <x:c r="G2488" s="2"/>
    </x:row>
    <x:row r="2489">
      <x:c r="B2489" s="2"/>
      <x:c r="C2489" s="2"/>
      <x:c r="D2489" s="2"/>
      <x:c r="E2489" s="2"/>
      <x:c r="F2489" s="2"/>
      <x:c r="G2489" s="2"/>
    </x:row>
    <x:row r="2490">
      <x:c r="B2490" s="2"/>
      <x:c r="C2490" s="2"/>
      <x:c r="D2490" s="2"/>
      <x:c r="E2490" s="2"/>
      <x:c r="F2490" s="2"/>
      <x:c r="G2490" s="2"/>
    </x:row>
    <x:row r="2491">
      <x:c r="B2491" s="2"/>
      <x:c r="C2491" s="2"/>
      <x:c r="D2491" s="2"/>
      <x:c r="E2491" s="2"/>
      <x:c r="F2491" s="2"/>
      <x:c r="G2491" s="2"/>
    </x:row>
    <x:row r="2492">
      <x:c r="B2492" s="2"/>
      <x:c r="C2492" s="2"/>
      <x:c r="D2492" s="2"/>
      <x:c r="E2492" s="2"/>
      <x:c r="F2492" s="2"/>
      <x:c r="G2492" s="2"/>
    </x:row>
    <x:row r="2493">
      <x:c r="B2493" s="2"/>
      <x:c r="C2493" s="2"/>
      <x:c r="D2493" s="2"/>
      <x:c r="E2493" s="2"/>
      <x:c r="F2493" s="2"/>
      <x:c r="G2493" s="2"/>
    </x:row>
    <x:row r="2494">
      <x:c r="B2494" s="2"/>
      <x:c r="C2494" s="2"/>
      <x:c r="D2494" s="2"/>
      <x:c r="E2494" s="2"/>
      <x:c r="F2494" s="2"/>
      <x:c r="G2494" s="2"/>
    </x:row>
    <x:row r="2495">
      <x:c r="B2495" s="2"/>
      <x:c r="C2495" s="2"/>
      <x:c r="D2495" s="2"/>
      <x:c r="E2495" s="2"/>
      <x:c r="F2495" s="2"/>
      <x:c r="G2495" s="2"/>
    </x:row>
    <x:row r="2496">
      <x:c r="B2496" s="2"/>
      <x:c r="C2496" s="2"/>
      <x:c r="D2496" s="2"/>
      <x:c r="E2496" s="2"/>
      <x:c r="F2496" s="2"/>
      <x:c r="G2496" s="2"/>
    </x:row>
    <x:row r="2497">
      <x:c r="B2497" s="2"/>
      <x:c r="C2497" s="2"/>
      <x:c r="D2497" s="2"/>
      <x:c r="E2497" s="2"/>
      <x:c r="F2497" s="2"/>
      <x:c r="G2497" s="2"/>
    </x:row>
    <x:row r="2498">
      <x:c r="B2498" s="2"/>
      <x:c r="C2498" s="2"/>
      <x:c r="D2498" s="2"/>
      <x:c r="E2498" s="2"/>
      <x:c r="F2498" s="2"/>
      <x:c r="G2498" s="2"/>
    </x:row>
    <x:row r="2499">
      <x:c r="B2499" s="2"/>
      <x:c r="C2499" s="2"/>
      <x:c r="D2499" s="2"/>
      <x:c r="E2499" s="2"/>
      <x:c r="F2499" s="2"/>
      <x:c r="G2499" s="2"/>
    </x:row>
    <x:row r="2500">
      <x:c r="B2500" s="2"/>
      <x:c r="C2500" s="2"/>
      <x:c r="D2500" s="2"/>
      <x:c r="E2500" s="2"/>
      <x:c r="F2500" s="2"/>
      <x:c r="G2500" s="2"/>
    </x:row>
    <x:row r="2501">
      <x:c r="B2501" s="2"/>
      <x:c r="C2501" s="2"/>
      <x:c r="D2501" s="2"/>
      <x:c r="E2501" s="2"/>
      <x:c r="F2501" s="2"/>
      <x:c r="G2501" s="2"/>
    </x:row>
    <x:row r="2502">
      <x:c r="B2502" s="2"/>
      <x:c r="C2502" s="2"/>
      <x:c r="D2502" s="2"/>
      <x:c r="E2502" s="2"/>
      <x:c r="F2502" s="2"/>
      <x:c r="G2502" s="2"/>
    </x:row>
    <x:row r="2503">
      <x:c r="B2503" s="2"/>
      <x:c r="C2503" s="2"/>
      <x:c r="D2503" s="2"/>
      <x:c r="E2503" s="2"/>
      <x:c r="F2503" s="2"/>
      <x:c r="G2503" s="2"/>
    </x:row>
    <x:row r="2504">
      <x:c r="B2504" s="2"/>
      <x:c r="C2504" s="2"/>
      <x:c r="D2504" s="2"/>
      <x:c r="E2504" s="2"/>
      <x:c r="F2504" s="2"/>
      <x:c r="G2504" s="2"/>
    </x:row>
    <x:row r="2505">
      <x:c r="B2505" s="2"/>
      <x:c r="C2505" s="2"/>
      <x:c r="D2505" s="2"/>
      <x:c r="E2505" s="2"/>
      <x:c r="F2505" s="2"/>
      <x:c r="G2505" s="2"/>
    </x:row>
    <x:row r="2506">
      <x:c r="B2506" s="2"/>
      <x:c r="C2506" s="2"/>
      <x:c r="D2506" s="2"/>
      <x:c r="E2506" s="2"/>
      <x:c r="F2506" s="2"/>
      <x:c r="G2506" s="2"/>
    </x:row>
    <x:row r="2507">
      <x:c r="B2507" s="2"/>
      <x:c r="C2507" s="2"/>
      <x:c r="D2507" s="2"/>
      <x:c r="E2507" s="2"/>
      <x:c r="F2507" s="2"/>
      <x:c r="G2507" s="2"/>
    </x:row>
    <x:row r="2508">
      <x:c r="B2508" s="2"/>
      <x:c r="C2508" s="2"/>
      <x:c r="D2508" s="2"/>
      <x:c r="E2508" s="2"/>
      <x:c r="F2508" s="2"/>
      <x:c r="G2508" s="2"/>
    </x:row>
    <x:row r="2509">
      <x:c r="B2509" s="2"/>
      <x:c r="C2509" s="2"/>
      <x:c r="D2509" s="2"/>
      <x:c r="E2509" s="2"/>
      <x:c r="F2509" s="2"/>
      <x:c r="G2509" s="2"/>
    </x:row>
    <x:row r="2510">
      <x:c r="B2510" s="2"/>
      <x:c r="C2510" s="2"/>
      <x:c r="D2510" s="2"/>
      <x:c r="E2510" s="2"/>
      <x:c r="F2510" s="2"/>
      <x:c r="G2510" s="2"/>
    </x:row>
    <x:row r="2511">
      <x:c r="B2511" s="2"/>
      <x:c r="C2511" s="2"/>
      <x:c r="D2511" s="2"/>
      <x:c r="E2511" s="2"/>
      <x:c r="F2511" s="2"/>
      <x:c r="G2511" s="2"/>
    </x:row>
    <x:row r="2512">
      <x:c r="B2512" s="2"/>
      <x:c r="C2512" s="2"/>
      <x:c r="D2512" s="2"/>
      <x:c r="E2512" s="2"/>
      <x:c r="F2512" s="2"/>
      <x:c r="G2512" s="2"/>
    </x:row>
    <x:row r="2513">
      <x:c r="B2513" s="2"/>
      <x:c r="C2513" s="2"/>
      <x:c r="D2513" s="2"/>
      <x:c r="E2513" s="2"/>
      <x:c r="F2513" s="2"/>
      <x:c r="G2513" s="2"/>
    </x:row>
    <x:row r="2514">
      <x:c r="B2514" s="2"/>
      <x:c r="C2514" s="2"/>
      <x:c r="D2514" s="2"/>
      <x:c r="E2514" s="2"/>
      <x:c r="F2514" s="2"/>
      <x:c r="G2514" s="2"/>
    </x:row>
    <x:row r="2515">
      <x:c r="B2515" s="2"/>
      <x:c r="C2515" s="2"/>
      <x:c r="D2515" s="2"/>
      <x:c r="E2515" s="2"/>
      <x:c r="F2515" s="2"/>
      <x:c r="G2515" s="2"/>
    </x:row>
    <x:row r="2516">
      <x:c r="B2516" s="2"/>
      <x:c r="C2516" s="2"/>
      <x:c r="D2516" s="2"/>
      <x:c r="E2516" s="2"/>
      <x:c r="F2516" s="2"/>
      <x:c r="G2516" s="2"/>
    </x:row>
    <x:row r="2517">
      <x:c r="B2517" s="2"/>
      <x:c r="C2517" s="2"/>
      <x:c r="D2517" s="2"/>
      <x:c r="E2517" s="2"/>
      <x:c r="F2517" s="2"/>
      <x:c r="G2517" s="2"/>
    </x:row>
    <x:row r="2518">
      <x:c r="B2518" s="2"/>
      <x:c r="C2518" s="2"/>
      <x:c r="D2518" s="2"/>
      <x:c r="E2518" s="2"/>
      <x:c r="F2518" s="2"/>
      <x:c r="G2518" s="2"/>
    </x:row>
    <x:row r="2519">
      <x:c r="B2519" s="2"/>
      <x:c r="C2519" s="2"/>
      <x:c r="D2519" s="2"/>
      <x:c r="E2519" s="2"/>
      <x:c r="F2519" s="2"/>
      <x:c r="G2519" s="2"/>
    </x:row>
    <x:row r="2520">
      <x:c r="B2520" s="2"/>
      <x:c r="C2520" s="2"/>
      <x:c r="D2520" s="2"/>
      <x:c r="E2520" s="2"/>
      <x:c r="F2520" s="2"/>
      <x:c r="G2520" s="2"/>
    </x:row>
    <x:row r="2521">
      <x:c r="B2521" s="2"/>
      <x:c r="C2521" s="2"/>
      <x:c r="D2521" s="2"/>
      <x:c r="E2521" s="2"/>
      <x:c r="F2521" s="2"/>
      <x:c r="G2521" s="2"/>
    </x:row>
    <x:row r="2522">
      <x:c r="B2522" s="2"/>
      <x:c r="C2522" s="2"/>
      <x:c r="D2522" s="2"/>
      <x:c r="E2522" s="2"/>
      <x:c r="F2522" s="2"/>
      <x:c r="G2522" s="2"/>
    </x:row>
    <x:row r="2523">
      <x:c r="B2523" s="2"/>
      <x:c r="C2523" s="2"/>
      <x:c r="D2523" s="2"/>
      <x:c r="E2523" s="2"/>
      <x:c r="F2523" s="2"/>
      <x:c r="G2523" s="2"/>
    </x:row>
    <x:row r="2524">
      <x:c r="B2524" s="2"/>
      <x:c r="C2524" s="2"/>
      <x:c r="D2524" s="2"/>
      <x:c r="E2524" s="2"/>
      <x:c r="F2524" s="2"/>
      <x:c r="G2524" s="2"/>
    </x:row>
    <x:row r="2525">
      <x:c r="B2525" s="2"/>
      <x:c r="C2525" s="2"/>
      <x:c r="D2525" s="2"/>
      <x:c r="E2525" s="2"/>
      <x:c r="F2525" s="2"/>
      <x:c r="G2525" s="2"/>
    </x:row>
    <x:row r="2526">
      <x:c r="B2526" s="2"/>
      <x:c r="C2526" s="2"/>
      <x:c r="D2526" s="2"/>
      <x:c r="E2526" s="2"/>
      <x:c r="F2526" s="2"/>
      <x:c r="G2526" s="2"/>
    </x:row>
    <x:row r="2527">
      <x:c r="B2527" s="2"/>
      <x:c r="C2527" s="2"/>
      <x:c r="D2527" s="2"/>
      <x:c r="E2527" s="2"/>
      <x:c r="F2527" s="2"/>
      <x:c r="G2527" s="2"/>
    </x:row>
    <x:row r="2528">
      <x:c r="B2528" s="2"/>
      <x:c r="C2528" s="2"/>
      <x:c r="D2528" s="2"/>
      <x:c r="E2528" s="2"/>
      <x:c r="F2528" s="2"/>
      <x:c r="G2528" s="2"/>
    </x:row>
    <x:row r="2529">
      <x:c r="B2529" s="2"/>
      <x:c r="C2529" s="2"/>
      <x:c r="D2529" s="2"/>
      <x:c r="E2529" s="2"/>
      <x:c r="F2529" s="2"/>
      <x:c r="G2529" s="2"/>
    </x:row>
    <x:row r="2530">
      <x:c r="B2530" s="2"/>
      <x:c r="C2530" s="2"/>
      <x:c r="D2530" s="2"/>
      <x:c r="E2530" s="2"/>
      <x:c r="F2530" s="2"/>
      <x:c r="G2530" s="2"/>
    </x:row>
    <x:row r="2531">
      <x:c r="B2531" s="2"/>
      <x:c r="C2531" s="2"/>
      <x:c r="D2531" s="2"/>
      <x:c r="E2531" s="2"/>
      <x:c r="F2531" s="2"/>
      <x:c r="G2531" s="2"/>
    </x:row>
    <x:row r="2532">
      <x:c r="B2532" s="2"/>
      <x:c r="C2532" s="2"/>
      <x:c r="D2532" s="2"/>
      <x:c r="E2532" s="2"/>
      <x:c r="F2532" s="2"/>
      <x:c r="G2532" s="2"/>
    </x:row>
    <x:row r="2533">
      <x:c r="B2533" s="2"/>
      <x:c r="C2533" s="2"/>
      <x:c r="D2533" s="2"/>
      <x:c r="E2533" s="2"/>
      <x:c r="F2533" s="2"/>
      <x:c r="G2533" s="2"/>
    </x:row>
    <x:row r="2534">
      <x:c r="B2534" s="2"/>
      <x:c r="C2534" s="2"/>
      <x:c r="D2534" s="2"/>
      <x:c r="E2534" s="2"/>
      <x:c r="F2534" s="2"/>
      <x:c r="G2534" s="2"/>
    </x:row>
    <x:row r="2535">
      <x:c r="B2535" s="2"/>
      <x:c r="C2535" s="2"/>
      <x:c r="D2535" s="2"/>
      <x:c r="E2535" s="2"/>
      <x:c r="F2535" s="2"/>
      <x:c r="G2535" s="2"/>
    </x:row>
    <x:row r="2536">
      <x:c r="B2536" s="2"/>
      <x:c r="C2536" s="2"/>
      <x:c r="D2536" s="2"/>
      <x:c r="E2536" s="2"/>
      <x:c r="F2536" s="2"/>
      <x:c r="G2536" s="2"/>
    </x:row>
    <x:row r="2537">
      <x:c r="B2537" s="2"/>
      <x:c r="C2537" s="2"/>
      <x:c r="D2537" s="2"/>
      <x:c r="E2537" s="2"/>
      <x:c r="F2537" s="2"/>
      <x:c r="G2537" s="2"/>
    </x:row>
    <x:row r="2538">
      <x:c r="B2538" s="2"/>
      <x:c r="C2538" s="2"/>
      <x:c r="D2538" s="2"/>
      <x:c r="E2538" s="2"/>
      <x:c r="F2538" s="2"/>
      <x:c r="G2538" s="2"/>
    </x:row>
    <x:row r="2539">
      <x:c r="B2539" s="2"/>
      <x:c r="C2539" s="2"/>
      <x:c r="D2539" s="2"/>
      <x:c r="E2539" s="2"/>
      <x:c r="F2539" s="2"/>
      <x:c r="G2539" s="2"/>
    </x:row>
    <x:row r="2540">
      <x:c r="B2540" s="2"/>
      <x:c r="C2540" s="2"/>
      <x:c r="D2540" s="2"/>
      <x:c r="E2540" s="2"/>
      <x:c r="F2540" s="2"/>
      <x:c r="G2540" s="2"/>
    </x:row>
    <x:row r="2541">
      <x:c r="B2541" s="2"/>
      <x:c r="C2541" s="2"/>
      <x:c r="D2541" s="2"/>
      <x:c r="E2541" s="2"/>
      <x:c r="F2541" s="2"/>
      <x:c r="G2541" s="2"/>
    </x:row>
    <x:row r="2542">
      <x:c r="B2542" s="2"/>
      <x:c r="C2542" s="2"/>
      <x:c r="D2542" s="2"/>
      <x:c r="E2542" s="2"/>
      <x:c r="F2542" s="2"/>
      <x:c r="G2542" s="2"/>
    </x:row>
    <x:row r="2543">
      <x:c r="B2543" s="2"/>
      <x:c r="C2543" s="2"/>
      <x:c r="D2543" s="2"/>
      <x:c r="E2543" s="2"/>
      <x:c r="F2543" s="2"/>
      <x:c r="G2543" s="2"/>
    </x:row>
    <x:row r="2544">
      <x:c r="B2544" s="2"/>
      <x:c r="C2544" s="2"/>
      <x:c r="D2544" s="2"/>
      <x:c r="E2544" s="2"/>
      <x:c r="F2544" s="2"/>
      <x:c r="G2544" s="2"/>
    </x:row>
    <x:row r="2545">
      <x:c r="B2545" s="2"/>
      <x:c r="C2545" s="2"/>
      <x:c r="D2545" s="2"/>
      <x:c r="E2545" s="2"/>
      <x:c r="F2545" s="2"/>
      <x:c r="G2545" s="2"/>
    </x:row>
    <x:row r="2546">
      <x:c r="B2546" s="2"/>
      <x:c r="C2546" s="2"/>
      <x:c r="D2546" s="2"/>
      <x:c r="E2546" s="2"/>
      <x:c r="F2546" s="2"/>
      <x:c r="G2546" s="2"/>
    </x:row>
    <x:row r="2547">
      <x:c r="B2547" s="2"/>
      <x:c r="C2547" s="2"/>
      <x:c r="D2547" s="2"/>
      <x:c r="E2547" s="2"/>
      <x:c r="F2547" s="2"/>
      <x:c r="G2547" s="2"/>
    </x:row>
    <x:row r="2548">
      <x:c r="B2548" s="2"/>
      <x:c r="C2548" s="2"/>
      <x:c r="D2548" s="2"/>
      <x:c r="E2548" s="2"/>
      <x:c r="F2548" s="2"/>
      <x:c r="G2548" s="2"/>
    </x:row>
    <x:row r="2549">
      <x:c r="B2549" s="2"/>
      <x:c r="C2549" s="2"/>
      <x:c r="D2549" s="2"/>
      <x:c r="E2549" s="2"/>
      <x:c r="F2549" s="2"/>
      <x:c r="G2549" s="2"/>
    </x:row>
    <x:row r="2550">
      <x:c r="B2550" s="2"/>
      <x:c r="C2550" s="2"/>
      <x:c r="D2550" s="2"/>
      <x:c r="E2550" s="2"/>
      <x:c r="F2550" s="2"/>
      <x:c r="G2550" s="2"/>
    </x:row>
    <x:row r="2551">
      <x:c r="B2551" s="2"/>
      <x:c r="C2551" s="2"/>
      <x:c r="D2551" s="2"/>
      <x:c r="E2551" s="2"/>
      <x:c r="F2551" s="2"/>
      <x:c r="G2551" s="2"/>
    </x:row>
    <x:row r="2552">
      <x:c r="B2552" s="2"/>
      <x:c r="C2552" s="2"/>
      <x:c r="D2552" s="2"/>
      <x:c r="E2552" s="2"/>
      <x:c r="F2552" s="2"/>
      <x:c r="G2552" s="2"/>
    </x:row>
    <x:row r="2553">
      <x:c r="B2553" s="2"/>
      <x:c r="C2553" s="2"/>
      <x:c r="D2553" s="2"/>
      <x:c r="E2553" s="2"/>
      <x:c r="F2553" s="2"/>
      <x:c r="G2553" s="2"/>
    </x:row>
    <x:row r="2554">
      <x:c r="B2554" s="2"/>
      <x:c r="C2554" s="2"/>
      <x:c r="D2554" s="2"/>
      <x:c r="E2554" s="2"/>
      <x:c r="F2554" s="2"/>
      <x:c r="G2554" s="2"/>
    </x:row>
    <x:row r="2555">
      <x:c r="B2555" s="2"/>
      <x:c r="C2555" s="2"/>
      <x:c r="D2555" s="2"/>
      <x:c r="E2555" s="2"/>
      <x:c r="F2555" s="2"/>
      <x:c r="G2555" s="2"/>
    </x:row>
    <x:row r="2556">
      <x:c r="B2556" s="2"/>
      <x:c r="C2556" s="2"/>
      <x:c r="D2556" s="2"/>
      <x:c r="E2556" s="2"/>
      <x:c r="F2556" s="2"/>
      <x:c r="G2556" s="2"/>
    </x:row>
    <x:row r="2557">
      <x:c r="B2557" s="2"/>
      <x:c r="C2557" s="2"/>
      <x:c r="D2557" s="2"/>
      <x:c r="E2557" s="2"/>
      <x:c r="F2557" s="2"/>
      <x:c r="G2557" s="2"/>
    </x:row>
    <x:row r="2558">
      <x:c r="B2558" s="2"/>
      <x:c r="C2558" s="2"/>
      <x:c r="D2558" s="2"/>
      <x:c r="E2558" s="2"/>
      <x:c r="F2558" s="2"/>
      <x:c r="G2558" s="2"/>
    </x:row>
    <x:row r="2559">
      <x:c r="B2559" s="2"/>
      <x:c r="C2559" s="2"/>
      <x:c r="D2559" s="2"/>
      <x:c r="E2559" s="2"/>
      <x:c r="F2559" s="2"/>
      <x:c r="G2559" s="2"/>
    </x:row>
    <x:row r="2560">
      <x:c r="B2560" s="2"/>
      <x:c r="C2560" s="2"/>
      <x:c r="D2560" s="2"/>
      <x:c r="E2560" s="2"/>
      <x:c r="F2560" s="2"/>
      <x:c r="G2560" s="2"/>
    </x:row>
    <x:row r="2561">
      <x:c r="B2561" s="2"/>
      <x:c r="C2561" s="2"/>
      <x:c r="D2561" s="2"/>
      <x:c r="E2561" s="2"/>
      <x:c r="F2561" s="2"/>
      <x:c r="G2561" s="2"/>
    </x:row>
    <x:row r="2562">
      <x:c r="B2562" s="2"/>
      <x:c r="C2562" s="2"/>
      <x:c r="D2562" s="2"/>
      <x:c r="E2562" s="2"/>
      <x:c r="F2562" s="2"/>
      <x:c r="G2562" s="2"/>
    </x:row>
    <x:row r="2563">
      <x:c r="B2563" s="2"/>
      <x:c r="C2563" s="2"/>
      <x:c r="D2563" s="2"/>
      <x:c r="E2563" s="2"/>
      <x:c r="F2563" s="2"/>
      <x:c r="G2563" s="2"/>
    </x:row>
    <x:row r="2564">
      <x:c r="B2564" s="2"/>
      <x:c r="C2564" s="2"/>
      <x:c r="D2564" s="2"/>
      <x:c r="E2564" s="2"/>
      <x:c r="F2564" s="2"/>
      <x:c r="G2564" s="2"/>
    </x:row>
    <x:row r="2565">
      <x:c r="B2565" s="2"/>
      <x:c r="C2565" s="2"/>
      <x:c r="D2565" s="2"/>
      <x:c r="E2565" s="2"/>
      <x:c r="F2565" s="2"/>
      <x:c r="G2565" s="2"/>
    </x:row>
    <x:row r="2566">
      <x:c r="B2566" s="2"/>
      <x:c r="C2566" s="2"/>
      <x:c r="D2566" s="2"/>
      <x:c r="E2566" s="2"/>
      <x:c r="F2566" s="2"/>
      <x:c r="G2566" s="2"/>
    </x:row>
    <x:row r="2567">
      <x:c r="B2567" s="2"/>
      <x:c r="C2567" s="2"/>
      <x:c r="D2567" s="2"/>
      <x:c r="E2567" s="2"/>
      <x:c r="F2567" s="2"/>
      <x:c r="G2567" s="2"/>
    </x:row>
    <x:row r="2568">
      <x:c r="B2568" s="2"/>
      <x:c r="C2568" s="2"/>
      <x:c r="D2568" s="2"/>
      <x:c r="E2568" s="2"/>
      <x:c r="F2568" s="2"/>
      <x:c r="G2568" s="2"/>
    </x:row>
    <x:row r="2569">
      <x:c r="B2569" s="2"/>
      <x:c r="C2569" s="2"/>
      <x:c r="D2569" s="2"/>
      <x:c r="E2569" s="2"/>
      <x:c r="F2569" s="2"/>
      <x:c r="G2569" s="2"/>
    </x:row>
    <x:row r="2570">
      <x:c r="B2570" s="2"/>
      <x:c r="C2570" s="2"/>
      <x:c r="D2570" s="2"/>
      <x:c r="E2570" s="2"/>
      <x:c r="F2570" s="2"/>
      <x:c r="G2570" s="2"/>
    </x:row>
    <x:row r="2571">
      <x:c r="B2571" s="2"/>
      <x:c r="C2571" s="2"/>
      <x:c r="D2571" s="2"/>
      <x:c r="E2571" s="2"/>
      <x:c r="F2571" s="2"/>
      <x:c r="G2571" s="2"/>
    </x:row>
    <x:row r="2572">
      <x:c r="B2572" s="2"/>
      <x:c r="C2572" s="2"/>
      <x:c r="D2572" s="2"/>
      <x:c r="E2572" s="2"/>
      <x:c r="F2572" s="2"/>
      <x:c r="G2572" s="2"/>
    </x:row>
    <x:row r="2573">
      <x:c r="B2573" s="2"/>
      <x:c r="C2573" s="2"/>
      <x:c r="D2573" s="2"/>
      <x:c r="E2573" s="2"/>
      <x:c r="F2573" s="2"/>
      <x:c r="G2573" s="2"/>
    </x:row>
    <x:row r="2574">
      <x:c r="B2574" s="2"/>
      <x:c r="C2574" s="2"/>
      <x:c r="D2574" s="2"/>
      <x:c r="E2574" s="2"/>
      <x:c r="F2574" s="2"/>
      <x:c r="G2574" s="2"/>
    </x:row>
    <x:row r="2575">
      <x:c r="B2575" s="2"/>
      <x:c r="C2575" s="2"/>
      <x:c r="D2575" s="2"/>
      <x:c r="E2575" s="2"/>
      <x:c r="F2575" s="2"/>
      <x:c r="G2575" s="2"/>
    </x:row>
    <x:row r="2576">
      <x:c r="B2576" s="2"/>
      <x:c r="C2576" s="2"/>
      <x:c r="D2576" s="2"/>
      <x:c r="E2576" s="2"/>
      <x:c r="F2576" s="2"/>
      <x:c r="G2576" s="2"/>
    </x:row>
    <x:row r="2577">
      <x:c r="B2577" s="2"/>
      <x:c r="C2577" s="2"/>
      <x:c r="D2577" s="2"/>
      <x:c r="E2577" s="2"/>
      <x:c r="F2577" s="2"/>
      <x:c r="G2577" s="2"/>
    </x:row>
    <x:row r="2578">
      <x:c r="B2578" s="2"/>
      <x:c r="C2578" s="2"/>
      <x:c r="D2578" s="2"/>
      <x:c r="E2578" s="2"/>
      <x:c r="F2578" s="2"/>
      <x:c r="G2578" s="2"/>
    </x:row>
    <x:row r="2579">
      <x:c r="B2579" s="2"/>
      <x:c r="C2579" s="2"/>
      <x:c r="D2579" s="2"/>
      <x:c r="E2579" s="2"/>
      <x:c r="F2579" s="2"/>
      <x:c r="G2579" s="2"/>
    </x:row>
    <x:row r="2580">
      <x:c r="B2580" s="2"/>
      <x:c r="C2580" s="2"/>
      <x:c r="D2580" s="2"/>
      <x:c r="E2580" s="2"/>
      <x:c r="F2580" s="2"/>
      <x:c r="G2580" s="2"/>
    </x:row>
    <x:row r="2581">
      <x:c r="B2581" s="2"/>
      <x:c r="C2581" s="2"/>
      <x:c r="D2581" s="2"/>
      <x:c r="E2581" s="2"/>
      <x:c r="F2581" s="2"/>
      <x:c r="G2581" s="2"/>
    </x:row>
    <x:row r="2582">
      <x:c r="B2582" s="2"/>
      <x:c r="C2582" s="2"/>
      <x:c r="D2582" s="2"/>
      <x:c r="E2582" s="2"/>
      <x:c r="F2582" s="2"/>
      <x:c r="G2582" s="2"/>
    </x:row>
    <x:row r="2583">
      <x:c r="B2583" s="2"/>
      <x:c r="C2583" s="2"/>
      <x:c r="D2583" s="2"/>
      <x:c r="E2583" s="2"/>
      <x:c r="F2583" s="2"/>
      <x:c r="G2583" s="2"/>
    </x:row>
    <x:row r="2584">
      <x:c r="B2584" s="2"/>
      <x:c r="C2584" s="2"/>
      <x:c r="D2584" s="2"/>
      <x:c r="E2584" s="2"/>
      <x:c r="F2584" s="2"/>
      <x:c r="G2584" s="2"/>
    </x:row>
    <x:row r="2585">
      <x:c r="B2585" s="2"/>
      <x:c r="C2585" s="2"/>
      <x:c r="D2585" s="2"/>
      <x:c r="E2585" s="2"/>
      <x:c r="F2585" s="2"/>
      <x:c r="G2585" s="2"/>
    </x:row>
    <x:row r="2586">
      <x:c r="B2586" s="2"/>
      <x:c r="C2586" s="2"/>
      <x:c r="D2586" s="2"/>
      <x:c r="E2586" s="2"/>
      <x:c r="F2586" s="2"/>
      <x:c r="G2586" s="2"/>
    </x:row>
    <x:row r="2587">
      <x:c r="B2587" s="2"/>
      <x:c r="C2587" s="2"/>
      <x:c r="D2587" s="2"/>
      <x:c r="E2587" s="2"/>
      <x:c r="F2587" s="2"/>
      <x:c r="G2587" s="2"/>
    </x:row>
    <x:row r="2588">
      <x:c r="B2588" s="2"/>
      <x:c r="C2588" s="2"/>
      <x:c r="D2588" s="2"/>
      <x:c r="E2588" s="2"/>
      <x:c r="F2588" s="2"/>
      <x:c r="G2588" s="2"/>
    </x:row>
    <x:row r="2589">
      <x:c r="B2589" s="2"/>
      <x:c r="C2589" s="2"/>
      <x:c r="D2589" s="2"/>
      <x:c r="E2589" s="2"/>
      <x:c r="F2589" s="2"/>
      <x:c r="G2589" s="2"/>
    </x:row>
    <x:row r="2590">
      <x:c r="B2590" s="2"/>
      <x:c r="C2590" s="2"/>
      <x:c r="D2590" s="2"/>
      <x:c r="E2590" s="2"/>
      <x:c r="F2590" s="2"/>
      <x:c r="G2590" s="2"/>
    </x:row>
    <x:row r="2591">
      <x:c r="B2591" s="2"/>
      <x:c r="C2591" s="2"/>
      <x:c r="D2591" s="2"/>
      <x:c r="E2591" s="2"/>
      <x:c r="F2591" s="2"/>
      <x:c r="G2591" s="2"/>
    </x:row>
    <x:row r="2592">
      <x:c r="B2592" s="2"/>
      <x:c r="C2592" s="2"/>
      <x:c r="D2592" s="2"/>
      <x:c r="E2592" s="2"/>
      <x:c r="F2592" s="2"/>
      <x:c r="G2592" s="2"/>
    </x:row>
    <x:row r="2593">
      <x:c r="B2593" s="2"/>
      <x:c r="C2593" s="2"/>
      <x:c r="D2593" s="2"/>
      <x:c r="E2593" s="2"/>
      <x:c r="F2593" s="2"/>
      <x:c r="G2593" s="2"/>
    </x:row>
    <x:row r="2594">
      <x:c r="B2594" s="2"/>
      <x:c r="C2594" s="2"/>
      <x:c r="D2594" s="2"/>
      <x:c r="E2594" s="2"/>
      <x:c r="F2594" s="2"/>
      <x:c r="G2594" s="2"/>
    </x:row>
    <x:row r="2595">
      <x:c r="B2595" s="2"/>
      <x:c r="C2595" s="2"/>
      <x:c r="D2595" s="2"/>
      <x:c r="E2595" s="2"/>
      <x:c r="F2595" s="2"/>
      <x:c r="G2595" s="2"/>
    </x:row>
    <x:row r="2596">
      <x:c r="B2596" s="2"/>
      <x:c r="C2596" s="2"/>
      <x:c r="D2596" s="2"/>
      <x:c r="E2596" s="2"/>
      <x:c r="F2596" s="2"/>
      <x:c r="G2596" s="2"/>
    </x:row>
    <x:row r="2597">
      <x:c r="B2597" s="2"/>
      <x:c r="C2597" s="2"/>
      <x:c r="D2597" s="2"/>
      <x:c r="E2597" s="2"/>
      <x:c r="F2597" s="2"/>
      <x:c r="G2597" s="2"/>
    </x:row>
    <x:row r="2598">
      <x:c r="B2598" s="2"/>
      <x:c r="C2598" s="2"/>
      <x:c r="D2598" s="2"/>
      <x:c r="E2598" s="2"/>
      <x:c r="F2598" s="2"/>
      <x:c r="G2598" s="2"/>
    </x:row>
    <x:row r="2599">
      <x:c r="B2599" s="2"/>
      <x:c r="C2599" s="2"/>
      <x:c r="D2599" s="2"/>
      <x:c r="E2599" s="2"/>
      <x:c r="F2599" s="2"/>
      <x:c r="G2599" s="2"/>
    </x:row>
    <x:row r="2600">
      <x:c r="B2600" s="2"/>
      <x:c r="C2600" s="2"/>
      <x:c r="D2600" s="2"/>
      <x:c r="E2600" s="2"/>
      <x:c r="F2600" s="2"/>
      <x:c r="G2600" s="2"/>
    </x:row>
  </x:sheetData>
  <x:mergeCells>
    <x:mergeCell ref="B3:G3"/>
  </x:mergeCells>
  <x:conditionalFormatting sqref="G7:G2129">
    <x:cfRule type="containsText" dxfId="99" priority="1" operator="containsText" text="OPEN"/>
    <x:cfRule type="containsText" dxfId="100" priority="2" operator="containsText" text="HOLD"/>
    <x:cfRule type="containsText" dxfId="101" priority="3" operator="containsText" text="BLOCKED"/>
    <x:cfRule type="containsText" dxfId="102" priority="4" operator="containsText" text="GAP"/>
    <x:cfRule type="containsText" dxfId="103" priority="5" operator="containsText" text="NOT ADMITTED"/>
    <x:cfRule type="containsText" dxfId="104" priority="6" operator="containsText" text="FAIL"/>
    <x:cfRule type="containsText" dxfId="105" priority="7" operator="containsText" text="PASS"/>
    <x:cfRule type="containsText" dxfId="106" priority="8" operator="containsText" text="ADEQUATE"/>
    <x:cfRule type="containsText" dxfId="107" priority="9" operator="containsText" text="ADMITT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39" hidden="0" customWidth="1"/>
    <x:col min="4" max="4" width="42" hidden="0" customWidth="1"/>
    <x:col min="5" max="5" width="31" hidden="0" customWidth="1"/>
    <x:col min="6" max="6" width="31" hidden="0" customWidth="1"/>
    <x:col min="7" max="7" width="17" hidden="0" customWidth="1"/>
    <x:col min="8" max="8" width="28" hidden="0" customWidth="1"/>
    <x:col min="9" max="9" width="30" hidden="0" customWidth="1"/>
    <x:col min="10" max="10" width="36" hidden="0" customWidth="1"/>
  </x:cols>
  <x:sheetData>
    <x:row r="2">
      <x:c r="B2" s="3" t="str">
        <x:v>Workbook use and authority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This workbook is a planning and exercise-control model. It grants no readiness, production, operational, capital-release or rendering authority.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Sheet</x:v>
      </x:c>
      <x:c r="C6" s="20" t="str">
        <x:v>Question</x:v>
      </x:c>
      <x:c r="D6" s="20" t="str">
        <x:v>Purpose</x:v>
      </x:c>
      <x:c r="E6" s="20" t="str">
        <x:v>Primary input</x:v>
      </x:c>
      <x:c r="F6" s="20" t="str">
        <x:v>Output</x:v>
      </x:c>
      <x:c r="G6" s="20" t="str">
        <x:v>State</x:v>
      </x:c>
      <x:c r="H6" s="20" t="str">
        <x:v>Not evidence of</x:v>
      </x:c>
      <x:c r="I6" s="20" t="str">
        <x:v>Authority</x:v>
      </x:c>
      <x:c r="J6" s="20" t="str">
        <x:v>Reopen trigger</x:v>
      </x:c>
    </x:row>
    <x:row r="7" ht="34" customHeight="1">
      <x:c r="B7" s="32" t="str">
        <x:v>Summary</x:v>
      </x:c>
      <x:c r="C7" s="32" t="str">
        <x:v>What does the constitution establish?</x:v>
      </x:c>
      <x:c r="D7" s="32" t="str">
        <x:v>state the exercise answer</x:v>
      </x:c>
      <x:c r="E7" s="32" t="str">
        <x:v>all working sheets</x:v>
      </x:c>
      <x:c r="F7" s="32" t="str">
        <x:v>scale and active result</x:v>
      </x:c>
      <x:c r="G7" s="32" t="str">
        <x:v>planning</x:v>
      </x:c>
      <x:c r="H7" s="32" t="str">
        <x:v>industrial readiness</x:v>
      </x:c>
      <x:c r="I7" s="32" t="str">
        <x:v>model custodian</x:v>
      </x:c>
      <x:c r="J7" s="33" t="str">
        <x:v>failed audit or new evidence</x:v>
      </x:c>
    </x:row>
    <x:row r="8" ht="34" customHeight="1">
      <x:c r="B8" s="32" t="str">
        <x:v>Assumptions</x:v>
      </x:c>
      <x:c r="C8" s="32" t="str">
        <x:v>What may change?</x:v>
      </x:c>
      <x:c r="D8" s="32" t="str">
        <x:v>hold one active scenario and global boundaries</x:v>
      </x:c>
      <x:c r="E8" s="32" t="str">
        <x:v>Pass 96 and 97 architecture</x:v>
      </x:c>
      <x:c r="F8" s="32" t="str">
        <x:v>editable design inputs</x:v>
      </x:c>
      <x:c r="G8" s="32" t="str">
        <x:v>frozen</x:v>
      </x:c>
      <x:c r="H8" s="32" t="str">
        <x:v>appropriation or actual capacity</x:v>
      </x:c>
      <x:c r="I8" s="32" t="str">
        <x:v>model custodian</x:v>
      </x:c>
      <x:c r="J8" s="33" t="str">
        <x:v>accepted architecture change</x:v>
      </x:c>
    </x:row>
    <x:row r="9" ht="34" customHeight="1">
      <x:c r="B9" s="32" t="str">
        <x:v>Exercise Constitution</x:v>
      </x:c>
      <x:c r="C9" s="32" t="str">
        <x:v>What makes a result valid?</x:v>
      </x:c>
      <x:c r="D9" s="32" t="str">
        <x:v>govern no-notice physical admission</x:v>
      </x:c>
      <x:c r="E9" s="32" t="str">
        <x:v>authority design</x:v>
      </x:c>
      <x:c r="F9" s="32" t="str">
        <x:v>twelve rules</x:v>
      </x:c>
      <x:c r="G9" s="32" t="str">
        <x:v>hold</x:v>
      </x:c>
      <x:c r="H9" s="32" t="str">
        <x:v>legal adoption</x:v>
      </x:c>
      <x:c r="I9" s="32" t="str">
        <x:v>civil authority</x:v>
      </x:c>
      <x:c r="J9" s="33" t="str">
        <x:v>charter or physical finding</x:v>
      </x:c>
    </x:row>
    <x:row r="10" ht="34" customHeight="1">
      <x:c r="B10" s="32" t="str">
        <x:v>Family Register</x:v>
      </x:c>
      <x:c r="C10" s="32" t="str">
        <x:v>What crosses the chain?</x:v>
      </x:c>
      <x:c r="D10" s="32" t="str">
        <x:v>define family-specific service lots</x:v>
      </x:c>
      <x:c r="E10" s="32" t="str">
        <x:v>forty-eight families</x:v>
      </x:c>
      <x:c r="F10" s="32" t="str">
        <x:v>lot and deadline registry</x:v>
      </x:c>
      <x:c r="G10" s="32" t="str">
        <x:v>planning</x:v>
      </x:c>
      <x:c r="H10" s="32" t="str">
        <x:v>procurement quantity</x:v>
      </x:c>
      <x:c r="I10" s="32" t="str">
        <x:v>Resilience Staff</x:v>
      </x:c>
      <x:c r="J10" s="33" t="str">
        <x:v>family evidence</x:v>
      </x:c>
    </x:row>
    <x:row r="11" ht="34" customHeight="1">
      <x:c r="B11" s="32" t="str">
        <x:v>Scenarios</x:v>
      </x:c>
      <x:c r="C11" s="32" t="str">
        <x:v>What damage worlds apply?</x:v>
      </x:c>
      <x:c r="D11" s="32" t="str">
        <x:v>vary demand and availability</x:v>
      </x:c>
      <x:c r="E11" s="32" t="str">
        <x:v>six design worlds</x:v>
      </x:c>
      <x:c r="F11" s="32" t="str">
        <x:v>scenario factors</x:v>
      </x:c>
      <x:c r="G11" s="32" t="str">
        <x:v>planning</x:v>
      </x:c>
      <x:c r="H11" s="32" t="str">
        <x:v>forecast</x:v>
      </x:c>
      <x:c r="I11" s="32" t="str">
        <x:v>white cell</x:v>
      </x:c>
      <x:c r="J11" s="33" t="str">
        <x:v>registered exercise order</x:v>
      </x:c>
    </x:row>
    <x:row r="12" ht="34" customHeight="1">
      <x:c r="B12" s="32" t="str">
        <x:v>Scenario Results</x:v>
      </x:c>
      <x:c r="C12" s="32" t="str">
        <x:v>Where does the plan break?</x:v>
      </x:c>
      <x:c r="D12" s="32" t="str">
        <x:v>screen declared capacity</x:v>
      </x:c>
      <x:c r="E12" s="32" t="str">
        <x:v>families and scenarios</x:v>
      </x:c>
      <x:c r="F12" s="32" t="str">
        <x:v>288 planning results</x:v>
      </x:c>
      <x:c r="G12" s="32" t="str">
        <x:v>planning</x:v>
      </x:c>
      <x:c r="H12" s="32" t="str">
        <x:v>exercise performance</x:v>
      </x:c>
      <x:c r="I12" s="32" t="str">
        <x:v>cost and capacity authority</x:v>
      </x:c>
      <x:c r="J12" s="33" t="str">
        <x:v>capacity redesign</x:v>
      </x:c>
    </x:row>
    <x:row r="13" ht="34" customHeight="1">
      <x:c r="B13" s="32" t="str">
        <x:v>Stage Ledger</x:v>
      </x:c>
      <x:c r="C13" s="32" t="str">
        <x:v>What was physically admitted?</x:v>
      </x:c>
      <x:c r="D13" s="32" t="str">
        <x:v>conserve lots through twelve stages</x:v>
      </x:c>
      <x:c r="E13" s="32" t="str">
        <x:v>active scenario and observations</x:v>
      </x:c>
      <x:c r="F13" s="32" t="str">
        <x:v>576 stage results</x:v>
      </x:c>
      <x:c r="G13" s="32" t="str">
        <x:v>not admitted</x:v>
      </x:c>
      <x:c r="H13" s="32" t="str">
        <x:v>readiness</x:v>
      </x:c>
      <x:c r="I13" s="32" t="str">
        <x:v>evidence authority</x:v>
      </x:c>
      <x:c r="J13" s="33" t="str">
        <x:v>accepted measurements</x:v>
      </x:c>
    </x:row>
    <x:row r="14" ht="34" customHeight="1">
      <x:c r="B14" s="32" t="str">
        <x:v>Industrial Sampling</x:v>
      </x:c>
      <x:c r="C14" s="32" t="str">
        <x:v>Which nodes activate?</x:v>
      </x:c>
      <x:c r="D14" s="32" t="str">
        <x:v>cover each industrial class within five years</x:v>
      </x:c>
      <x:c r="E14" s="32" t="str">
        <x:v>4,256-node topology</x:v>
      </x:c>
      <x:c r="F14" s="32" t="str">
        <x:v>896 annual sample</x:v>
      </x:c>
      <x:c r="G14" s="32" t="str">
        <x:v>planning</x:v>
      </x:c>
      <x:c r="H14" s="32" t="str">
        <x:v>node readiness</x:v>
      </x:c>
      <x:c r="I14" s="32" t="str">
        <x:v>white cell</x:v>
      </x:c>
      <x:c r="J14" s="33" t="str">
        <x:v>sealed sample</x:v>
      </x:c>
    </x:row>
    <x:row r="15" ht="34" customHeight="1">
      <x:c r="B15" s="32" t="str">
        <x:v>Exercise Events</x:v>
      </x:c>
      <x:c r="C15" s="32" t="str">
        <x:v>How often does the force exercise?</x:v>
      </x:c>
      <x:c r="D15" s="32" t="str">
        <x:v>maintain standing cadence</x:v>
      </x:c>
      <x:c r="E15" s="32" t="str">
        <x:v>exercise design</x:v>
      </x:c>
      <x:c r="F15" s="32" t="str">
        <x:v>annual event portfolio</x:v>
      </x:c>
      <x:c r="G15" s="32" t="str">
        <x:v>planning</x:v>
      </x:c>
      <x:c r="H15" s="32" t="str">
        <x:v>completed events</x:v>
      </x:c>
      <x:c r="I15" s="32" t="str">
        <x:v>exercise authority</x:v>
      </x:c>
      <x:c r="J15" s="33" t="str">
        <x:v>execution record</x:v>
      </x:c>
    </x:row>
    <x:row r="16" ht="34" customHeight="1">
      <x:c r="B16" s="32" t="str">
        <x:v>Inject Register</x:v>
      </x:c>
      <x:c r="C16" s="32" t="str">
        <x:v>What failures are inserted?</x:v>
      </x:c>
      <x:c r="D16" s="32" t="str">
        <x:v>attack independent links</x:v>
      </x:c>
      <x:c r="E16" s="32" t="str">
        <x:v>sealed scenario</x:v>
      </x:c>
      <x:c r="F16" s="32" t="str">
        <x:v>twenty inject types</x:v>
      </x:c>
      <x:c r="G16" s="32" t="str">
        <x:v>hold</x:v>
      </x:c>
      <x:c r="H16" s="32" t="str">
        <x:v>actual loss</x:v>
      </x:c>
      <x:c r="I16" s="32" t="str">
        <x:v>white cell</x:v>
      </x:c>
      <x:c r="J16" s="33" t="str">
        <x:v>released inject</x:v>
      </x:c>
    </x:row>
    <x:row r="17" ht="34" customHeight="1">
      <x:c r="B17" s="32" t="str">
        <x:v>Evidence Package</x:v>
      </x:c>
      <x:c r="C17" s="32" t="str">
        <x:v>What must be reconstructed?</x:v>
      </x:c>
      <x:c r="D17" s="32" t="str">
        <x:v>bind order through regeneration</x:v>
      </x:c>
      <x:c r="E17" s="32" t="str">
        <x:v>exercise chain</x:v>
      </x:c>
      <x:c r="F17" s="32" t="str">
        <x:v>twenty-four records</x:v>
      </x:c>
      <x:c r="G17" s="32" t="str">
        <x:v>open</x:v>
      </x:c>
      <x:c r="H17" s="32" t="str">
        <x:v>accepted evidence</x:v>
      </x:c>
      <x:c r="I17" s="32" t="str">
        <x:v>named custodian</x:v>
      </x:c>
      <x:c r="J17" s="33" t="str">
        <x:v>physical record</x:v>
      </x:c>
    </x:row>
    <x:row r="18" ht="34" customHeight="1">
      <x:c r="B18" s="32" t="str">
        <x:v>Authority Matrix</x:v>
      </x:c>
      <x:c r="C18" s="32" t="str">
        <x:v>Who may act or stop?</x:v>
      </x:c>
      <x:c r="D18" s="32" t="str">
        <x:v>prevent self-certification</x:v>
      </x:c>
      <x:c r="E18" s="32" t="str">
        <x:v>Pass 97 authorities</x:v>
      </x:c>
      <x:c r="F18" s="32" t="str">
        <x:v>eight control roles</x:v>
      </x:c>
      <x:c r="G18" s="32" t="str">
        <x:v>hold</x:v>
      </x:c>
      <x:c r="H18" s="32" t="str">
        <x:v>legal adoption</x:v>
      </x:c>
      <x:c r="I18" s="32" t="str">
        <x:v>civil authority</x:v>
      </x:c>
      <x:c r="J18" s="33" t="str">
        <x:v>charter</x:v>
      </x:c>
    </x:row>
    <x:row r="19" ht="34" customHeight="1">
      <x:c r="B19" s="32" t="str">
        <x:v>Financial Control</x:v>
      </x:c>
      <x:c r="C19" s="32" t="str">
        <x:v>What does the exercise economy cost?</x:v>
      </x:c>
      <x:c r="D19" s="32" t="str">
        <x:v>nest annual operating allocation</x:v>
      </x:c>
      <x:c r="E19" s="32" t="str">
        <x:v>USD 310B AIMC operations</x:v>
      </x:c>
      <x:c r="F19" s="32" t="str">
        <x:v>USD 62B annual plan</x:v>
      </x:c>
      <x:c r="G19" s="32" t="str">
        <x:v>planning</x:v>
      </x:c>
      <x:c r="H19" s="32" t="str">
        <x:v>appropriation or price</x:v>
      </x:c>
      <x:c r="I19" s="32" t="str">
        <x:v>cost authority</x:v>
      </x:c>
      <x:c r="J19" s="33" t="str">
        <x:v>validated estimate</x:v>
      </x:c>
    </x:row>
    <x:row r="20" ht="34" customHeight="1">
      <x:c r="B20" s="32" t="str">
        <x:v>After Action</x:v>
      </x:c>
      <x:c r="C20" s="32" t="str">
        <x:v>Which families close?</x:v>
      </x:c>
      <x:c r="D20" s="32" t="str">
        <x:v>separate plan from observation</x:v>
      </x:c>
      <x:c r="E20" s="32" t="str">
        <x:v>stage ledger</x:v>
      </x:c>
      <x:c r="F20" s="32" t="str">
        <x:v>forty-eight family results</x:v>
      </x:c>
      <x:c r="G20" s="32" t="str">
        <x:v>not admitted</x:v>
      </x:c>
      <x:c r="H20" s="32" t="str">
        <x:v>national readiness</x:v>
      </x:c>
      <x:c r="I20" s="32" t="str">
        <x:v>receiving and capacity authorities</x:v>
      </x:c>
      <x:c r="J20" s="33" t="str">
        <x:v>accepted service</x:v>
      </x:c>
    </x:row>
    <x:row r="21" ht="34" customHeight="1">
      <x:c r="B21" s="32" t="str">
        <x:v>Decision Gates</x:v>
      </x:c>
      <x:c r="C21" s="32" t="str">
        <x:v>What remains blocked?</x:v>
      </x:c>
      <x:c r="D21" s="32" t="str">
        <x:v>make non-authority explicit</x:v>
      </x:c>
      <x:c r="E21" s="32" t="str">
        <x:v>all registers</x:v>
      </x:c>
      <x:c r="F21" s="32" t="str">
        <x:v>twenty-four holds</x:v>
      </x:c>
      <x:c r="G21" s="32" t="str">
        <x:v>open/hold</x:v>
      </x:c>
      <x:c r="H21" s="32" t="str">
        <x:v>authorization</x:v>
      </x:c>
      <x:c r="I21" s="32" t="str">
        <x:v>gate owners</x:v>
      </x:c>
      <x:c r="J21" s="33" t="str">
        <x:v>accepted evidence</x:v>
      </x:c>
    </x:row>
    <x:row r="22" ht="34" customHeight="1">
      <x:c r="B22" s="34" t="str">
        <x:v>Audit</x:v>
      </x:c>
      <x:c r="C22" s="34" t="str">
        <x:v>Is the workbook coherent?</x:v>
      </x:c>
      <x:c r="D22" s="34" t="str">
        <x:v>test conservation and reconciliation</x:v>
      </x:c>
      <x:c r="E22" s="34" t="str">
        <x:v>all sheets</x:v>
      </x:c>
      <x:c r="F22" s="34" t="str">
        <x:v>PASS or FAIL</x:v>
      </x:c>
      <x:c r="G22" s="34" t="str">
        <x:v>model only</x:v>
      </x:c>
      <x:c r="H22" s="34" t="str">
        <x:v>physical truth</x:v>
      </x:c>
      <x:c r="I22" s="34" t="str">
        <x:v>model custodian</x:v>
      </x:c>
      <x:c r="J22" s="35" t="str">
        <x:v>input or formula change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9" t="str">
        <x:v>Use discipline</x:v>
      </x:c>
      <x:c r="C25" s="30" t="str">
        <x:v>Use discipline</x:v>
      </x:c>
      <x:c r="D25" s="30" t="str">
        <x:v>Use discipline</x:v>
      </x:c>
      <x:c r="E25" s="30" t="str">
        <x:v>Use discipline</x:v>
      </x:c>
      <x:c r="F25" s="30" t="str">
        <x:v>Use discipline</x:v>
      </x:c>
      <x:c r="G25" s="30" t="str">
        <x:v>Use discipline</x:v>
      </x:c>
      <x:c r="H25" s="30" t="str">
        <x:v>Use discipline</x:v>
      </x:c>
      <x:c r="I25" s="30" t="str">
        <x:v>Use discipline</x:v>
      </x:c>
      <x:c r="J25" s="31" t="str">
        <x:v>Use discipline</x:v>
      </x:c>
    </x:row>
    <x:row r="26">
      <x:c r="B26" s="2" t="str">
        <x:v>Read Summary, Exercise Constitution, Family Register, Stage Ledger and After Action before using the supporting registers.</x:v>
      </x:c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</x:row>
    <x:row r="27">
      <x:c r="B27" s="2" t="str">
        <x:v>Blue-font cells are intended inputs. The saved baseline contains zero observed lots, yield, elapsed time and accepted evidence.</x:v>
      </x:c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</x:row>
    <x:row r="28">
      <x:c r="B28" s="2" t="str">
        <x:v>Planning ADEQUATE is not physical ADMITTED. The model keeps these states separate.</x:v>
      </x:c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</x:row>
    <x:row r="29">
      <x:c r="B29" s="2" t="str">
        <x:v>Mission service lots are family-specific and cannot be summed across families as an aggregate production score.</x:v>
      </x:c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</x:row>
    <x:row r="30">
      <x:c r="B30" s="2" t="str">
        <x:v>A downstream stage cannot restore lots lost upstream. Commissioned service and regeneration both govern admission.</x:v>
      </x:c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</x:row>
    <x:row r="31">
      <x:c r="B31" s="2" t="str">
        <x:v>The eighth exercise authority is an independent safety and environmental stop, not another builder or release board.</x:v>
      </x:c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</x:row>
    <x:row r="32">
      <x:c r="B32" s="2" t="str">
        <x:v>PASS in Audit means internal coherence only. It cannot change OPEN evidence or HOLD decisions.</x:v>
      </x:c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</x:row>
    <x:row r="33">
      <x:c r="B33" s="2" t="str">
        <x:v>Next: design family-specific capacity remedies and the first complete national no-notice exercise package. Rendering stays blocked.</x:v>
      </x:c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B3:J3"/>
    <x:mergeCell ref="B25:J25"/>
  </x:mergeCells>
  <x:conditionalFormatting sqref="G7:G22">
    <x:cfRule type="containsText" dxfId="126" priority="1" operator="containsText" text="OPEN"/>
    <x:cfRule type="containsText" dxfId="127" priority="2" operator="containsText" text="HOLD"/>
    <x:cfRule type="containsText" dxfId="128" priority="3" operator="containsText" text="BLOCKED"/>
    <x:cfRule type="containsText" dxfId="129" priority="4" operator="containsText" text="GAP"/>
    <x:cfRule type="containsText" dxfId="130" priority="5" operator="containsText" text="NOT ADMITTED"/>
    <x:cfRule type="containsText" dxfId="131" priority="6" operator="containsText" text="FAIL"/>
    <x:cfRule type="containsText" dxfId="132" priority="7" operator="containsText" text="PASS"/>
    <x:cfRule type="containsText" dxfId="133" priority="8" operator="containsText" text="ADEQUATE"/>
    <x:cfRule type="containsText" dxfId="134" priority="9" operator="containsText" text="ADMITTED"/>
  </x:conditionalFormatting>
  <x:pageMargins left="0.7" right="0.7" top="0.75" bottom="0.75" header="0.3" footer="0.3"/>
</x:worksheet>
</file>