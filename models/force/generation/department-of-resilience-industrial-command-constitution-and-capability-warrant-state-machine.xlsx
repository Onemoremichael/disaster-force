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1858ea964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6bcb6d12bc9e4688"/>
    <x:sheet xmlns:r="http://schemas.openxmlformats.org/officeDocument/2006/relationships" name="Controls" sheetId="2" r:id="R8409267463f54399"/>
    <x:sheet xmlns:r="http://schemas.openxmlformats.org/officeDocument/2006/relationships" name="Architecture" sheetId="3" r:id="R561ee2dde2474e94"/>
    <x:sheet xmlns:r="http://schemas.openxmlformats.org/officeDocument/2006/relationships" name="Institutions" sheetId="4" r:id="Rac30b2bafc9043dd"/>
    <x:sheet xmlns:r="http://schemas.openxmlformats.org/officeDocument/2006/relationships" name="Capability States" sheetId="5" r:id="R9c3e1e14213a42dd"/>
    <x:sheet xmlns:r="http://schemas.openxmlformats.org/officeDocument/2006/relationships" name="Decision Rights" sheetId="6" r:id="R2a6475e993d84929"/>
    <x:sheet xmlns:r="http://schemas.openxmlformats.org/officeDocument/2006/relationships" name="Root Registry" sheetId="7" r:id="R99c90522da9d4e58"/>
    <x:sheet xmlns:r="http://schemas.openxmlformats.org/officeDocument/2006/relationships" name="Warrant Ledger" sheetId="8" r:id="R8a71dc744a9a48c3"/>
    <x:sheet xmlns:r="http://schemas.openxmlformats.org/officeDocument/2006/relationships" name="System Barriers" sheetId="9" r:id="Rd19d46f426c14d01"/>
    <x:sheet xmlns:r="http://schemas.openxmlformats.org/officeDocument/2006/relationships" name="Separation Matrix" sheetId="10" r:id="Ra7f35996b7f34dfa"/>
    <x:sheet xmlns:r="http://schemas.openxmlformats.org/officeDocument/2006/relationships" name="Fiscal Accounts" sheetId="11" r:id="R2b6fd1a368f34ce1"/>
    <x:sheet xmlns:r="http://schemas.openxmlformats.org/officeDocument/2006/relationships" name="Wave Authority" sheetId="12" r:id="Raee21b8a22334291"/>
    <x:sheet xmlns:r="http://schemas.openxmlformats.org/officeDocument/2006/relationships" name="Pass184 Reconcile" sheetId="13" r:id="R9396bc73b2ae4a97"/>
    <x:sheet xmlns:r="http://schemas.openxmlformats.org/officeDocument/2006/relationships" name="Rollback Law" sheetId="14" r:id="R2336e0d2c8334c83"/>
    <x:sheet xmlns:r="http://schemas.openxmlformats.org/officeDocument/2006/relationships" name="Innovation Program" sheetId="15" r:id="R722e949f1b434eb7"/>
    <x:sheet xmlns:r="http://schemas.openxmlformats.org/officeDocument/2006/relationships" name="Audit" sheetId="16" r:id="Rbdf6f7c91bbe40e2"/>
    <x:sheet xmlns:r="http://schemas.openxmlformats.org/officeDocument/2006/relationships" name="Sources" sheetId="17" r:id="Rd91a7401d30d460d"/>
    <x:sheet xmlns:r="http://schemas.openxmlformats.org/officeDocument/2006/relationships" name="Read Me" sheetId="18" r:id="R9104d8eec26d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%"/>
  </x:numFmts>
  <x:fonts count="9">
    <x:font>
      <x:sz val="11"/>
      <x:name val="Carlito"/>
    </x:font>
    <x:font>
      <x:sz val="10"/>
      <x:color rgb="FF1F2933"/>
      <x:name val="Arial"/>
    </x:font>
    <x:font>
      <x:b/>
      <x:sz val="15"/>
      <x:color rgb="FF18354C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b/>
      <x:sz val="10"/>
      <x:color rgb="FF18354C"/>
      <x:name val="Arial"/>
    </x:font>
    <x:font>
      <x:sz val="10"/>
      <x:color rgb="FF0000FF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54C"/>
      </x:patternFill>
    </x:fill>
    <x:fill>
      <x:patternFill patternType="solid">
        <x:fgColor rgb="FF2D6A73"/>
      </x:patternFill>
    </x:fill>
    <x:fill>
      <x:patternFill patternType="solid">
        <x:fgColor rgb="FFFFF2CC"/>
      </x:patternFill>
    </x:fill>
    <x:fill>
      <x:patternFill patternType="solid">
        <x:fgColor rgb="FFEEF1F3"/>
      </x:patternFill>
    </x:fill>
  </x:fills>
  <x:borders count="14">
    <x:border/>
    <x:border>
      <x:bottom style="thin">
        <x:color rgb="FF18354C"/>
      </x:bottom>
    </x:border>
    <x:border>
      <x:left style="thin">
        <x:color rgb="FFB0BEC5"/>
      </x:left>
      <x:top style="thin">
        <x:color rgb="FFB0BEC5"/>
      </x:top>
    </x:border>
    <x:border>
      <x:right style="thin">
        <x:color rgb="FFB0BEC5"/>
      </x:right>
      <x:top style="thin">
        <x:color rgb="FFB0BEC5"/>
      </x:top>
    </x:border>
    <x:border>
      <x:left style="thin">
        <x:color rgb="FFB0BEC5"/>
      </x:left>
    </x:border>
    <x:border>
      <x:right style="thin">
        <x:color rgb="FFB0BEC5"/>
      </x:right>
    </x:border>
    <x:border>
      <x:left style="thin">
        <x:color rgb="FFB0BEC5"/>
      </x:left>
      <x:bottom style="thin">
        <x:color rgb="FFB0BEC5"/>
      </x:bottom>
    </x:border>
    <x:border>
      <x:right style="thin">
        <x:color rgb="FFB0BEC5"/>
      </x:right>
      <x:bottom style="thin">
        <x:color rgb="FFB0BEC5"/>
      </x:bottom>
    </x:border>
    <x:border>
      <x:top style="thin">
        <x:color rgb="FFB0BEC5"/>
      </x:top>
    </x:border>
    <x:border>
      <x:bottom style="thin">
        <x:color rgb="FFB0BEC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5DADF"/>
      </x:left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5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5" borderId="13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18354C"/>
      </x:font>
      <x:fill>
        <x:patternFill patternType="solid">
          <x:bgColor rgb="FFDDECEF"/>
        </x:patternFill>
      </x:fill>
    </x:dxf>
    <x:dxf>
      <x:font>
        <x:color rgb="FF66727C"/>
      </x:font>
      <x:fill>
        <x:patternFill patternType="solid">
          <x:bgColor rgb="FFEEF1F3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a8829ae904957" /><Relationship Type="http://schemas.openxmlformats.org/officeDocument/2006/relationships/theme" Target="/xl/theme/theme1.xml" Id="Rf404e241673f42d9" /><Relationship Type="http://schemas.openxmlformats.org/officeDocument/2006/relationships/sharedStrings" Target="/xl/sharedStrings.xml" Id="R8ca6ef582ac444e1" /><Relationship Type="http://schemas.openxmlformats.org/officeDocument/2006/relationships/worksheet" Target="/xl/worksheets/sheet1.xml" Id="R6bcb6d12bc9e4688" /><Relationship Type="http://schemas.openxmlformats.org/officeDocument/2006/relationships/worksheet" Target="/xl/worksheets/sheet2.xml" Id="R8409267463f54399" /><Relationship Type="http://schemas.openxmlformats.org/officeDocument/2006/relationships/worksheet" Target="/xl/worksheets/sheet3.xml" Id="R561ee2dde2474e94" /><Relationship Type="http://schemas.openxmlformats.org/officeDocument/2006/relationships/worksheet" Target="/xl/worksheets/sheet4.xml" Id="Rac30b2bafc9043dd" /><Relationship Type="http://schemas.openxmlformats.org/officeDocument/2006/relationships/worksheet" Target="/xl/worksheets/sheet5.xml" Id="R9c3e1e14213a42dd" /><Relationship Type="http://schemas.openxmlformats.org/officeDocument/2006/relationships/worksheet" Target="/xl/worksheets/sheet6.xml" Id="R2a6475e993d84929" /><Relationship Type="http://schemas.openxmlformats.org/officeDocument/2006/relationships/worksheet" Target="/xl/worksheets/sheet7.xml" Id="R99c90522da9d4e58" /><Relationship Type="http://schemas.openxmlformats.org/officeDocument/2006/relationships/worksheet" Target="/xl/worksheets/sheet8.xml" Id="R8a71dc744a9a48c3" /><Relationship Type="http://schemas.openxmlformats.org/officeDocument/2006/relationships/worksheet" Target="/xl/worksheets/sheet9.xml" Id="Rd19d46f426c14d01" /><Relationship Type="http://schemas.openxmlformats.org/officeDocument/2006/relationships/worksheet" Target="/xl/worksheets/sheet10.xml" Id="Ra7f35996b7f34dfa" /><Relationship Type="http://schemas.openxmlformats.org/officeDocument/2006/relationships/worksheet" Target="/xl/worksheets/sheet11.xml" Id="R2b6fd1a368f34ce1" /><Relationship Type="http://schemas.openxmlformats.org/officeDocument/2006/relationships/worksheet" Target="/xl/worksheets/sheet12.xml" Id="Raee21b8a22334291" /><Relationship Type="http://schemas.openxmlformats.org/officeDocument/2006/relationships/worksheet" Target="/xl/worksheets/sheet13.xml" Id="R9396bc73b2ae4a97" /><Relationship Type="http://schemas.openxmlformats.org/officeDocument/2006/relationships/worksheet" Target="/xl/worksheets/sheet14.xml" Id="R2336e0d2c8334c83" /><Relationship Type="http://schemas.openxmlformats.org/officeDocument/2006/relationships/worksheet" Target="/xl/worksheets/sheet15.xml" Id="R722e949f1b434eb7" /><Relationship Type="http://schemas.openxmlformats.org/officeDocument/2006/relationships/worksheet" Target="/xl/worksheets/sheet16.xml" Id="Rbdf6f7c91bbe40e2" /><Relationship Type="http://schemas.openxmlformats.org/officeDocument/2006/relationships/worksheet" Target="/xl/worksheets/sheet17.xml" Id="Rd91a7401d30d460d" /><Relationship Type="http://schemas.openxmlformats.org/officeDocument/2006/relationships/worksheet" Target="/xl/worksheets/sheet18.xml" Id="R9104d8eec26d4f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7030a1fe0b47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Twenty-five-year authority by exclusive account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Authority (USD B)</c:v>
          </c:tx>
          <c:spPr>
            <a:solidFill xmlns:a="http://schemas.openxmlformats.org/drawingml/2006/main">
              <a:srgbClr val="2D6A73"/>
            </a:solidFill>
          </c:spPr>
          <c:cat>
            <c:strRef>
              <c:f>'Decision'!$D$15:$D$19</c:f>
              <c:strCache>
                <c:ptCount val="0"/>
              </c:strCache>
            </c:strRef>
          </c:cat>
          <c:val>
            <c:numRef>
              <c:f>'Decision'!$E$15:$E$19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7030a1fe0b47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f15b4695054836" /></Relationships>
</file>

<file path=xl/worksheets/sheet1.xml><?xml version="1.0" encoding="utf-8"?>
<x:worksheet xmlns:x="http://schemas.openxmlformats.org/spreadsheetml/2006/main">
  <x:sheetPr>
    <x:tabColor rgb="FF18354C"/>
  </x:sheetPr>
  <x:sheetViews>
    <x:sheetView showGridLines="0" workbookViewId="0"/>
  </x:sheetViews>
  <x:sheetFormatPr defaultRowHeight="15"/>
  <x:cols>
    <x:col min="1" max="1" width="34" hidden="0" customWidth="1"/>
    <x:col min="2" max="2" width="54" hidden="0" customWidth="1"/>
    <x:col min="3" max="3" width="3" hidden="0" customWidth="1"/>
    <x:col min="4" max="4" width="34" hidden="0" customWidth="1"/>
    <x:col min="5" max="5" width="18" hidden="0" customWidth="1"/>
    <x:col min="6" max="6" width="16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Department industrial command constitution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Pass 185 · constitutional industrial matrix · all implementation records remain source-empty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A6" s="59" t="str">
        <x:v>Decision</x:v>
      </x:c>
      <x:c r="B6" s="60" t="str">
        <x:v>Reference</x:v>
      </x:c>
      <x:c r="C6" s="75"/>
      <x:c r="D6" s="61" t="str">
        <x:v>Alternative</x:v>
      </x:c>
      <x:c r="E6" s="61" t="str">
        <x:v>Hard gates passed</x:v>
      </x:c>
      <x:c r="F6" s="61" t="str">
        <x:v>Disposition</x:v>
      </x:c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A7" s="62" t="str">
        <x:v>Research object</x:v>
      </x:c>
      <x:c r="B7" s="76" t="str">
        <x:v>DIC-1</x:v>
      </x:c>
      <x:c r="C7" s="75"/>
      <x:c r="D7" s="77" t="str">
        <x:f>'Architecture'!B6</x:f>
        <x:v>Vertically integrated Materiel Command</x:v>
      </x:c>
      <x:c r="E7" s="78" t="n">
        <x:f>'Architecture'!M6</x:f>
        <x:v>3</x:v>
      </x:c>
      <x:c r="F7" s="79" t="str">
        <x:f>'Architecture'!N6</x:f>
        <x:v>REJECT</x:v>
      </x:c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A8" s="62" t="str">
        <x:v>Verdict</x:v>
      </x:c>
      <x:c r="B8" s="76" t="str">
        <x:v>CLOSE</x:v>
      </x:c>
      <x:c r="C8" s="75"/>
      <x:c r="D8" s="80" t="str">
        <x:f>'Architecture'!B7</x:f>
        <x:v>Six mission-system conglomerates</x:v>
      </x:c>
      <x:c r="E8" s="75" t="n">
        <x:f>'Architecture'!M7</x:f>
        <x:v>3</x:v>
      </x:c>
      <x:c r="F8" s="76" t="str">
        <x:f>'Architecture'!N7</x:f>
        <x:v>REJECT</x:v>
      </x:c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A9" s="62" t="str">
        <x:v>Selected architecture</x:v>
      </x:c>
      <x:c r="B9" s="76" t="str">
        <x:v>Constitutional industrial matrix</x:v>
      </x:c>
      <x:c r="C9" s="75"/>
      <x:c r="D9" s="80" t="str">
        <x:f>'Architecture'!B8</x:f>
        <x:v>Seven service arsenals</x:v>
      </x:c>
      <x:c r="E9" s="75" t="n">
        <x:f>'Architecture'!M8</x:f>
        <x:v>5</x:v>
      </x:c>
      <x:c r="F9" s="76" t="str">
        <x:f>'Architecture'!N8</x:f>
        <x:v>REJECT</x:v>
      </x:c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A10" s="62" t="str">
        <x:v>Institution role classes</x:v>
      </x:c>
      <x:c r="B10" s="76" t="n">
        <x:v>10</x:v>
      </x:c>
      <x:c r="C10" s="75"/>
      <x:c r="D10" s="80" t="str">
        <x:f>'Architecture'!B9</x:f>
        <x:v>Rotating lead-authority federation</x:v>
      </x:c>
      <x:c r="E10" s="75" t="n">
        <x:f>'Architecture'!M9</x:f>
        <x:v>7</x:v>
      </x:c>
      <x:c r="F10" s="76" t="str">
        <x:f>'Architecture'!N9</x:f>
        <x:v>REJECT</x:v>
      </x:c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A11" s="62" t="str">
        <x:v>Capability warrants</x:v>
      </x:c>
      <x:c r="B11" s="76" t="n">
        <x:v>12</x:v>
      </x:c>
      <x:c r="C11" s="75"/>
      <x:c r="D11" s="81" t="str">
        <x:f>'Architecture'!B10</x:f>
        <x:v>Constitutional industrial matrix</x:v>
      </x:c>
      <x:c r="E11" s="82" t="n">
        <x:f>'Architecture'!M10</x:f>
        <x:v>10</x:v>
      </x:c>
      <x:c r="F11" s="83" t="str">
        <x:f>'Architecture'!N10</x:f>
        <x:v>ELIGIBLE</x:v>
      </x:c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A12" s="62" t="str">
        <x:v>Root–warrant records</x:v>
      </x:c>
      <x:c r="B12" s="76" t="n">
        <x:v>288</x:v>
      </x:c>
      <x:c r="C12" s="75"/>
      <x:c r="D12" s="75"/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A13" s="62" t="str">
        <x:v>Program authority (USD B)</x:v>
      </x:c>
      <x:c r="B13" s="84" t="n">
        <x:v>1000</x:v>
      </x:c>
      <x:c r="C13" s="75"/>
      <x:c r="D13" s="75"/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A14" s="62" t="str">
        <x:v>Pass 184 nested authority (USD B)</x:v>
      </x:c>
      <x:c r="B14" s="84" t="n">
        <x:v>43</x:v>
      </x:c>
      <x:c r="C14" s="75"/>
      <x:c r="D14" s="61" t="str">
        <x:v>Exclusive account</x:v>
      </x:c>
      <x:c r="E14" s="61" t="str">
        <x:v>Authority (USD B)</x:v>
      </x:c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A15" s="62" t="str">
        <x:v>Terminal audits</x:v>
      </x:c>
      <x:c r="B15" s="84" t="n">
        <x:v>360</x:v>
      </x:c>
      <x:c r="C15" s="75"/>
      <x:c r="D15" s="75" t="str">
        <x:f>'Fiscal Accounts'!B6</x:f>
        <x:v>Joint mission systems</x:v>
      </x:c>
      <x:c r="E15" s="85" t="n">
        <x:f>'Fiscal Accounts'!C6</x:f>
        <x:v>550</x:v>
      </x:c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A16" s="62" t="str">
        <x:v>Current authority release (USD B)</x:v>
      </x:c>
      <x:c r="B16" s="84" t="n">
        <x:v>0</x:v>
      </x:c>
      <x:c r="C16" s="75"/>
      <x:c r="D16" s="75" t="str">
        <x:f>'Fiscal Accounts'!B7</x:f>
        <x:v>Service technical bases</x:v>
      </x:c>
      <x:c r="E16" s="85" t="n">
        <x:f>'Fiscal Accounts'!C7</x:f>
        <x:v>150</x:v>
      </x:c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A17" s="72" t="str">
        <x:v>Current root state</x:v>
      </x:c>
      <x:c r="B17" s="83" t="str">
        <x:v>24 HOLD</x:v>
      </x:c>
      <x:c r="C17" s="75"/>
      <x:c r="D17" s="75" t="str">
        <x:f>'Fiscal Accounts'!B8</x:f>
        <x:v>National common capacity</x:v>
      </x:c>
      <x:c r="E17" s="85" t="n">
        <x:f>'Fiscal Accounts'!C8</x:f>
        <x:v>150</x:v>
      </x:c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A18" s="75"/>
      <x:c r="B18" s="75"/>
      <x:c r="C18" s="75"/>
      <x:c r="D18" s="75" t="str">
        <x:f>'Fiscal Accounts'!B9</x:f>
        <x:v>Sovereign technical estate</x:v>
      </x:c>
      <x:c r="E18" s="85" t="n">
        <x:f>'Fiscal Accounts'!C9</x:f>
        <x:v>100</x:v>
      </x:c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A19" s="75"/>
      <x:c r="B19" s="75"/>
      <x:c r="C19" s="75"/>
      <x:c r="D19" s="75" t="str">
        <x:f>'Fiscal Accounts'!B10</x:f>
        <x:v>Competitive failure reserve</x:v>
      </x:c>
      <x:c r="E19" s="85" t="n">
        <x:f>'Fiscal Accounts'!C10</x:f>
        <x:v>50</x:v>
      </x:c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A21" s="73" t="str">
        <x:v>Constitutional rule</x:v>
      </x:c>
      <x:c r="B21" s="73" t="str"/>
      <x:c r="C21" s="73" t="str"/>
      <x:c r="D21" s="73" t="str"/>
      <x:c r="E21" s="73" t="str"/>
      <x:c r="F21" s="73" t="str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34" customHeight="1">
      <x:c r="A22" s="74" t="str">
        <x:v>One capability, many sovereigns</x:v>
      </x:c>
      <x:c r="B22" s="86" t="str">
        <x:v>No institution owns requirement, design, proof, money, readiness and employment.</x:v>
      </x:c>
      <x:c r="C22" s="75" t="str"/>
      <x:c r="D22" s="75" t="str"/>
      <x:c r="E22" s="75" t="str"/>
      <x:c r="F22" s="75" t="str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34" customHeight="1">
      <x:c r="A23" s="74" t="str">
        <x:v>One dollar, one account</x:v>
      </x:c>
      <x:c r="B23" s="86" t="str">
        <x:v>Executor ledgers cross-classify authority but never create a second appropriation.</x:v>
      </x:c>
      <x:c r="C23" s="75" t="str"/>
      <x:c r="D23" s="75" t="str"/>
      <x:c r="E23" s="75" t="str"/>
      <x:c r="F23" s="75" t="str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34" customHeight="1">
      <x:c r="A24" s="74" t="str">
        <x:v>Later state cannot be presumed</x:v>
      </x:c>
      <x:c r="B24" s="86" t="str">
        <x:v>Inventory, contracts, output and positive evidence cannot manufacture production or force credit.</x:v>
      </x:c>
      <x:c r="C24" s="75" t="str"/>
      <x:c r="D24" s="75" t="str"/>
      <x:c r="E24" s="75" t="str"/>
      <x:c r="F24" s="75" t="str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34" customHeight="1">
      <x:c r="A25" s="74" t="str">
        <x:v>Adverse evidence is conserved</x:v>
      </x:c>
      <x:c r="B25" s="86" t="str">
        <x:v>A resize, kill, safety stop or readiness lapse rolls the capability backward and retains the record.</x:v>
      </x:c>
      <x:c r="C25" s="75" t="str"/>
      <x:c r="D25" s="75" t="str"/>
      <x:c r="E25" s="75" t="str"/>
      <x:c r="F25" s="75" t="str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 ht="34" customHeight="1">
      <x:c r="A26" s="74" t="str">
        <x:v>Emergency authority is bounded</x:v>
      </x:c>
      <x:c r="B26" s="86" t="str">
        <x:v>Operational urgency can redirect certified capacity; it cannot waive technical or evidentiary stops.</x:v>
      </x:c>
      <x:c r="C26" s="75" t="str"/>
      <x:c r="D26" s="75" t="str"/>
      <x:c r="E26" s="75" t="str"/>
      <x:c r="F26" s="75" t="str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 ht="34" customHeight="1">
      <x:c r="A27" s="74" t="str">
        <x:v>Regeneration is a state</x:v>
      </x:c>
      <x:c r="B27" s="86" t="str">
        <x:v>A mission ends only when public transfer and force recertification are separately complete.</x:v>
      </x:c>
      <x:c r="C27" s="75" t="str"/>
      <x:c r="D27" s="75" t="str"/>
      <x:c r="E27" s="75" t="str"/>
      <x:c r="F27" s="75" t="str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</x:sheetData>
  <x:pageMargins left="0.7" right="0.7" top="0.75" bottom="0.75" header="0.3" footer="0.3"/>
  <x:drawing xmlns:r="http://schemas.openxmlformats.org/officeDocument/2006/relationships" r:id="Rd4f15b4695054836"/>
</x:worksheet>
</file>

<file path=xl/worksheets/sheet2.xml><?xml version="1.0" encoding="utf-8"?>
<x:worksheet xmlns:x="http://schemas.openxmlformats.org/spreadsheetml/2006/main">
  <x:sheetPr>
    <x:tabColor rgb="FF5B9AA0"/>
  </x:sheetPr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4" hidden="0" customWidth="1"/>
    <x:col min="4" max="4" width="24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Governing controls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Planning values inherited from Passes 166, 168, 171, 175 and 184; not cost estimates or physical evidence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37" t="str">
        <x:v>Control</x:v>
      </x:c>
      <x:c r="B6" s="38" t="str">
        <x:v>Value</x:v>
      </x:c>
      <x:c r="C6" s="38" t="str">
        <x:v>Unit</x:v>
      </x:c>
      <x:c r="D6" s="39" t="str">
        <x:v>Internal basis</x:v>
      </x:c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30" customHeight="1">
      <x:c r="A7" s="86" t="str">
        <x:v>Deepest branch</x:v>
      </x:c>
      <x:c r="B7" s="44" t="str">
        <x:v>DIC-1</x:v>
      </x:c>
      <x:c r="C7" s="75" t="str">
        <x:v>first of five</x:v>
      </x:c>
      <x:c r="D7" s="86" t="str">
        <x:v>Pass 184 return</x:v>
      </x:c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30" customHeight="1">
      <x:c r="A8" s="86" t="str">
        <x:v>Alternative count</x:v>
      </x:c>
      <x:c r="B8" s="44" t="n">
        <x:v>5</x:v>
      </x:c>
      <x:c r="C8" s="75" t="str">
        <x:v>architectures</x:v>
      </x:c>
      <x:c r="D8" s="86" t="str">
        <x:v>Pass 185 design</x:v>
      </x:c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30" customHeight="1">
      <x:c r="A9" s="86" t="str">
        <x:v>Hard-gate count</x:v>
      </x:c>
      <x:c r="B9" s="44" t="n">
        <x:v>10</x:v>
      </x:c>
      <x:c r="C9" s="75" t="str">
        <x:v>noncompensatory gates</x:v>
      </x:c>
      <x:c r="D9" s="86" t="str">
        <x:v>Pass 185 design</x:v>
      </x:c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30" customHeight="1">
      <x:c r="A10" s="86" t="str">
        <x:v>Institution role classes</x:v>
      </x:c>
      <x:c r="B10" s="44" t="n">
        <x:v>10</x:v>
      </x:c>
      <x:c r="C10" s="75" t="str">
        <x:v>classes</x:v>
      </x:c>
      <x:c r="D10" s="86" t="str">
        <x:v>Pass 185 design</x:v>
      </x:c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30" customHeight="1">
      <x:c r="A11" s="86" t="str">
        <x:v>Capability warrants</x:v>
      </x:c>
      <x:c r="B11" s="44" t="n">
        <x:v>12</x:v>
      </x:c>
      <x:c r="C11" s="75" t="str">
        <x:v>serial warrants</x:v>
      </x:c>
      <x:c r="D11" s="86" t="str">
        <x:v>Pass 185 design</x:v>
      </x:c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30" customHeight="1">
      <x:c r="A12" s="86" t="str">
        <x:v>Root count</x:v>
      </x:c>
      <x:c r="B12" s="44" t="n">
        <x:v>24</x:v>
      </x:c>
      <x:c r="C12" s="75" t="str">
        <x:v>controlled roots</x:v>
      </x:c>
      <x:c r="D12" s="86" t="str">
        <x:v>Pass 175</x:v>
      </x:c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30" customHeight="1">
      <x:c r="A13" s="86" t="str">
        <x:v>Roots per mission system</x:v>
      </x:c>
      <x:c r="B13" s="44" t="n">
        <x:v>4</x:v>
      </x:c>
      <x:c r="C13" s="75" t="str">
        <x:v>roots</x:v>
      </x:c>
      <x:c r="D13" s="86" t="str">
        <x:v>Pass 175</x:v>
      </x:c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30" customHeight="1">
      <x:c r="A14" s="86" t="str">
        <x:v>Program authority</x:v>
      </x:c>
      <x:c r="B14" s="44" t="n">
        <x:v>1000</x:v>
      </x:c>
      <x:c r="C14" s="75" t="str">
        <x:v>USD B</x:v>
      </x:c>
      <x:c r="D14" s="86" t="str">
        <x:v>Passes 166 and 171</x:v>
      </x:c>
      <x:c r="E14" s="75"/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30" customHeight="1">
      <x:c r="A15" s="86" t="str">
        <x:v>Mission-system authority</x:v>
      </x:c>
      <x:c r="B15" s="44" t="n">
        <x:v>550</x:v>
      </x:c>
      <x:c r="C15" s="75" t="str">
        <x:v>USD B</x:v>
      </x:c>
      <x:c r="D15" s="86" t="str">
        <x:v>Passes 166 and 168</x:v>
      </x:c>
      <x:c r="E15" s="75"/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30" customHeight="1">
      <x:c r="A16" s="86" t="str">
        <x:v>Pass 184 nested authority</x:v>
      </x:c>
      <x:c r="B16" s="75" t="n">
        <x:v>43</x:v>
      </x:c>
      <x:c r="C16" s="75" t="str">
        <x:v>USD B</x:v>
      </x:c>
      <x:c r="D16" s="86" t="str">
        <x:v>Pass 184</x:v>
      </x:c>
      <x:c r="E16" s="75"/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A17" s="75"/>
      <x:c r="B17" s="75"/>
      <x:c r="C17" s="75"/>
      <x:c r="D17" s="75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A18" s="75"/>
      <x:c r="B18" s="75"/>
      <x:c r="C18" s="75"/>
      <x:c r="D18" s="75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20" customHeight="1">
      <x:c r="A19" s="37" t="str">
        <x:v>System</x:v>
      </x:c>
      <x:c r="B19" s="38" t="str">
        <x:v>Mission system</x:v>
      </x:c>
      <x:c r="C19" s="38" t="str">
        <x:v>25-year allocation (USD B)</x:v>
      </x:c>
      <x:c r="D19" s="39" t="str">
        <x:v>Per-root option (USD B)</x:v>
      </x:c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20" customHeight="1">
      <x:c r="A20" s="75" t="str">
        <x:v>MS-ET</x:v>
      </x:c>
      <x:c r="B20" s="86" t="str">
        <x:v>Enter a broken theater</x:v>
      </x:c>
      <x:c r="C20" s="85" t="n">
        <x:v>89</x:v>
      </x:c>
      <x:c r="D20" s="85" t="n">
        <x:v>22.25</x:v>
      </x:c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20" customHeight="1">
      <x:c r="A21" s="75" t="str">
        <x:v>MS-CT</x:v>
      </x:c>
      <x:c r="B21" s="86" t="str">
        <x:v>Reach occupied civil terrain</x:v>
      </x:c>
      <x:c r="C21" s="85" t="n">
        <x:v>91.9</x:v>
      </x:c>
      <x:c r="D21" s="85" t="n">
        <x:v>22.975</x:v>
      </x:c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20" customHeight="1">
      <x:c r="A22" s="75" t="str">
        <x:v>MS-HC</x:v>
      </x:c>
      <x:c r="B22" s="86" t="str">
        <x:v>Control an active hazard</x:v>
      </x:c>
      <x:c r="C22" s="85" t="n">
        <x:v>54.6</x:v>
      </x:c>
      <x:c r="D22" s="85" t="n">
        <x:v>13.65</x:v>
      </x:c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20" customHeight="1">
      <x:c r="A23" s="75" t="str">
        <x:v>MS-LF</x:v>
      </x:c>
      <x:c r="B23" s="86" t="str">
        <x:v>Produce and distribute lifelines</x:v>
      </x:c>
      <x:c r="C23" s="85" t="n">
        <x:v>72</x:v>
      </x:c>
      <x:c r="D23" s="85" t="n">
        <x:v>18</x:v>
      </x:c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20" customHeight="1">
      <x:c r="A24" s="75" t="str">
        <x:v>MS-HU</x:v>
      </x:c>
      <x:c r="B24" s="86" t="str">
        <x:v>Preserve care and human continuity</x:v>
      </x:c>
      <x:c r="C24" s="85" t="n">
        <x:v>153</x:v>
      </x:c>
      <x:c r="D24" s="85" t="n">
        <x:v>38.25</x:v>
      </x:c>
      <x:c r="E24" s="75"/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20" customHeight="1">
      <x:c r="A25" s="75" t="str">
        <x:v>MS-RT</x:v>
      </x:c>
      <x:c r="B25" s="86" t="str">
        <x:v>Sustain, transfer and regenerate</x:v>
      </x:c>
      <x:c r="C25" s="85" t="n">
        <x:v>89.4</x:v>
      </x:c>
      <x:c r="D25" s="85" t="n">
        <x:v>22.35</x:v>
      </x:c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A26" s="75" t="str">
        <x:v>Control</x:v>
      </x:c>
      <x:c r="B26" s="75" t="str">
        <x:v>Mission allocation total</x:v>
      </x:c>
      <x:c r="C26" s="85" t="n">
        <x:f>SUM(C20:C25)</x:f>
        <x:v>549.9</x:v>
      </x:c>
      <x:c r="D26" s="85" t="n">
        <x:f>550-C26</x:f>
        <x:v>0.10000000000002274</x:v>
      </x:c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A27" s="58" t="str">
        <x:v>Precision note</x:v>
      </x:c>
      <x:c r="B27" s="58" t="str">
        <x:v>Displayed system allocations retain a USD 0.1B rounding remainder inside FA-01.</x:v>
      </x:c>
      <x:c r="C27" s="58" t="str"/>
      <x:c r="D27" s="58" t="str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58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Industrial architecture gate test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Hard gates are conjunctive; a high score cannot compensate for one failed constitutional boundary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ID</x:v>
      </x:c>
      <x:c r="B5" s="38" t="str">
        <x:v>Architecture</x:v>
      </x:c>
      <x:c r="C5" s="38" t="str">
        <x:v>Civil sovereignty</x:v>
      </x:c>
      <x:c r="D5" s="38" t="str">
        <x:v>Mission integration</x:v>
      </x:c>
      <x:c r="E5" s="38" t="str">
        <x:v>Technical depth</x:v>
      </x:c>
      <x:c r="F5" s="38" t="str">
        <x:v>Independent truth</x:v>
      </x:c>
      <x:c r="G5" s="38" t="str">
        <x:v>Root rivalry</x:v>
      </x:c>
      <x:c r="H5" s="38" t="str">
        <x:v>Fiscal conservation</x:v>
      </x:c>
      <x:c r="I5" s="38" t="str">
        <x:v>Readiness conservation</x:v>
      </x:c>
      <x:c r="J5" s="38" t="str">
        <x:v>Adverse rollback</x:v>
      </x:c>
      <x:c r="K5" s="38" t="str">
        <x:v>Surge without waiver</x:v>
      </x:c>
      <x:c r="L5" s="38" t="str">
        <x:v>Transfer accountability</x:v>
      </x:c>
      <x:c r="M5" s="38" t="str">
        <x:v>Gates passed</x:v>
      </x:c>
      <x:c r="N5" s="38" t="str">
        <x:v>Disposition</x:v>
      </x:c>
      <x:c r="O5" s="39" t="str">
        <x:v>Reason</x:v>
      </x:c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40" customHeight="1">
      <x:c r="A6" s="75" t="str">
        <x:v>A1</x:v>
      </x:c>
      <x:c r="B6" s="86" t="str">
        <x:v>Vertically integrated Materiel Command</x:v>
      </x:c>
      <x:c r="C6" s="87" t="n">
        <x:v>0</x:v>
      </x:c>
      <x:c r="D6" s="87" t="n">
        <x:v>1</x:v>
      </x:c>
      <x:c r="E6" s="87" t="n">
        <x:v>1</x:v>
      </x:c>
      <x:c r="F6" s="87" t="n">
        <x:v>0</x:v>
      </x:c>
      <x:c r="G6" s="87" t="n">
        <x:v>0</x:v>
      </x:c>
      <x:c r="H6" s="87" t="n">
        <x:v>0</x:v>
      </x:c>
      <x:c r="I6" s="87" t="n">
        <x:v>0</x:v>
      </x:c>
      <x:c r="J6" s="87" t="n">
        <x:v>0</x:v>
      </x:c>
      <x:c r="K6" s="87" t="n">
        <x:v>1</x:v>
      </x:c>
      <x:c r="L6" s="87" t="n">
        <x:v>0</x:v>
      </x:c>
      <x:c r="M6" s="75" t="n">
        <x:f>SUM(C6:L6)</x:f>
        <x:v>3</x:v>
      </x:c>
      <x:c r="N6" s="75" t="str">
        <x:f>IF(M6=10,"ELIGIBLE","REJECT")</x:f>
        <x:v>REJECT</x:v>
      </x:c>
      <x:c r="O6" s="86" t="str">
        <x:v>One hierarchy can suppress adverse evidence and convert inventory into readiness claims.</x:v>
      </x:c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40" customHeight="1">
      <x:c r="A7" s="75" t="str">
        <x:v>A2</x:v>
      </x:c>
      <x:c r="B7" s="86" t="str">
        <x:v>Six mission-system conglomerates</x:v>
      </x:c>
      <x:c r="C7" s="87" t="n">
        <x:v>0</x:v>
      </x:c>
      <x:c r="D7" s="87" t="n">
        <x:v>1</x:v>
      </x:c>
      <x:c r="E7" s="87" t="n">
        <x:v>0</x:v>
      </x:c>
      <x:c r="F7" s="87" t="n">
        <x:v>0</x:v>
      </x:c>
      <x:c r="G7" s="87" t="n">
        <x:v>0</x:v>
      </x:c>
      <x:c r="H7" s="87" t="n">
        <x:v>0</x:v>
      </x:c>
      <x:c r="I7" s="87" t="n">
        <x:v>0</x:v>
      </x:c>
      <x:c r="J7" s="87" t="n">
        <x:v>0</x:v>
      </x:c>
      <x:c r="K7" s="87" t="n">
        <x:v>1</x:v>
      </x:c>
      <x:c r="L7" s="87" t="n">
        <x:v>1</x:v>
      </x:c>
      <x:c r="M7" s="75" t="n">
        <x:f>SUM(C7:L7)</x:f>
        <x:v>3</x:v>
      </x:c>
      <x:c r="N7" s="75" t="str">
        <x:f>IF(M7=10,"ELIGIBLE","REJECT")</x:f>
        <x:v>REJECT</x:v>
      </x:c>
      <x:c r="O7" s="86" t="str">
        <x:v>Outcome ownership absorbs professions, roots, proof and lifecycle authority.</x:v>
      </x:c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40" customHeight="1">
      <x:c r="A8" s="75" t="str">
        <x:v>A3</x:v>
      </x:c>
      <x:c r="B8" s="86" t="str">
        <x:v>Seven service arsenals</x:v>
      </x:c>
      <x:c r="C8" s="87" t="n">
        <x:v>0</x:v>
      </x:c>
      <x:c r="D8" s="87" t="n">
        <x:v>0</x:v>
      </x:c>
      <x:c r="E8" s="87" t="n">
        <x:v>1</x:v>
      </x:c>
      <x:c r="F8" s="87" t="n">
        <x:v>0</x:v>
      </x:c>
      <x:c r="G8" s="87" t="n">
        <x:v>1</x:v>
      </x:c>
      <x:c r="H8" s="87" t="n">
        <x:v>1</x:v>
      </x:c>
      <x:c r="I8" s="87" t="n">
        <x:v>0</x:v>
      </x:c>
      <x:c r="J8" s="87" t="n">
        <x:v>1</x:v>
      </x:c>
      <x:c r="K8" s="87" t="n">
        <x:v>1</x:v>
      </x:c>
      <x:c r="L8" s="87" t="n">
        <x:v>0</x:v>
      </x:c>
      <x:c r="M8" s="75" t="n">
        <x:f>SUM(C8:L8)</x:f>
        <x:v>5</x:v>
      </x:c>
      <x:c r="N8" s="75" t="str">
        <x:f>IF(M8=10,"ELIGIBLE","REJECT")</x:f>
        <x:v>REJECT</x:v>
      </x:c>
      <x:c r="O8" s="86" t="str">
        <x:v>Professional depth survives, but each service can stop at its interface.</x:v>
      </x:c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40" customHeight="1">
      <x:c r="A9" s="75" t="str">
        <x:v>A4</x:v>
      </x:c>
      <x:c r="B9" s="86" t="str">
        <x:v>Rotating lead-authority federation</x:v>
      </x:c>
      <x:c r="C9" s="87" t="n">
        <x:v>1</x:v>
      </x:c>
      <x:c r="D9" s="87" t="n">
        <x:v>1</x:v>
      </x:c>
      <x:c r="E9" s="87" t="n">
        <x:v>1</x:v>
      </x:c>
      <x:c r="F9" s="87" t="n">
        <x:v>0</x:v>
      </x:c>
      <x:c r="G9" s="87" t="n">
        <x:v>1</x:v>
      </x:c>
      <x:c r="H9" s="87" t="n">
        <x:v>1</x:v>
      </x:c>
      <x:c r="I9" s="87" t="n">
        <x:v>0</x:v>
      </x:c>
      <x:c r="J9" s="87" t="n">
        <x:v>0</x:v>
      </x:c>
      <x:c r="K9" s="87" t="n">
        <x:v>1</x:v>
      </x:c>
      <x:c r="L9" s="87" t="n">
        <x:v>1</x:v>
      </x:c>
      <x:c r="M9" s="75" t="n">
        <x:f>SUM(C9:L9)</x:f>
        <x:v>7</x:v>
      </x:c>
      <x:c r="N9" s="75" t="str">
        <x:f>IF(M9=10,"ELIGIBLE","REJECT")</x:f>
        <x:v>REJECT</x:v>
      </x:c>
      <x:c r="O9" s="86" t="str">
        <x:v>Rotation changes the lead but not the ability to own conflicting powers.</x:v>
      </x:c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40" customHeight="1">
      <x:c r="A10" s="75" t="str">
        <x:v>A5</x:v>
      </x:c>
      <x:c r="B10" s="86" t="str">
        <x:v>Constitutional industrial matrix</x:v>
      </x:c>
      <x:c r="C10" s="87" t="n">
        <x:v>1</x:v>
      </x:c>
      <x:c r="D10" s="87" t="n">
        <x:v>1</x:v>
      </x:c>
      <x:c r="E10" s="87" t="n">
        <x:v>1</x:v>
      </x:c>
      <x:c r="F10" s="87" t="n">
        <x:v>1</x:v>
      </x:c>
      <x:c r="G10" s="87" t="n">
        <x:v>1</x:v>
      </x:c>
      <x:c r="H10" s="87" t="n">
        <x:v>1</x:v>
      </x:c>
      <x:c r="I10" s="87" t="n">
        <x:v>1</x:v>
      </x:c>
      <x:c r="J10" s="87" t="n">
        <x:v>1</x:v>
      </x:c>
      <x:c r="K10" s="87" t="n">
        <x:v>1</x:v>
      </x:c>
      <x:c r="L10" s="87" t="n">
        <x:v>1</x:v>
      </x:c>
      <x:c r="M10" s="75" t="n">
        <x:f>SUM(C10:L10)</x:f>
        <x:v>10</x:v>
      </x:c>
      <x:c r="N10" s="75" t="str">
        <x:f>IF(M10=10,"ELIGIBLE","REJECT")</x:f>
        <x:v>ELIGIBLE</x:v>
      </x:c>
      <x:c r="O10" s="86" t="str">
        <x:v>Capabilities advance through non-substitutable warrants held by separate institutions.</x:v>
      </x:c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</x:sheetData>
  <x:conditionalFormatting sqref="C6:L10">
    <x:cfRule type="cellIs" dxfId="0" priority="1" operator="equal">
      <x:formula>0</x:formula>
    </x:cfRule>
  </x:conditionalFormatting>
  <x:conditionalFormatting sqref="N6:N10">
    <x:cfRule type="containsText" dxfId="1" priority="2" operator="containsText" text="REJEC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48" hidden="0" customWidth="1"/>
    <x:col min="4" max="4" width="5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Constitutional institution classes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Design assignments are authoritative; commission, control, command, toolchain and custody identities are intentionally empty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Institution class</x:v>
      </x:c>
      <x:c r="B5" s="38" t="str">
        <x:v>Required units</x:v>
      </x:c>
      <x:c r="C5" s="38" t="str">
        <x:v>Exclusive power</x:v>
      </x:c>
      <x:c r="D5" s="38" t="str">
        <x:v>Power it cannot absorb</x:v>
      </x:c>
      <x:c r="E5" s="38" t="str">
        <x:v>Commission record ID</x:v>
      </x:c>
      <x:c r="F5" s="38" t="str">
        <x:v>Implementation identity</x:v>
      </x:c>
      <x:c r="G5" s="38" t="str">
        <x:v>Beneficial Control</x:v>
      </x:c>
      <x:c r="H5" s="38" t="str">
        <x:v>Executive Command</x:v>
      </x:c>
      <x:c r="I5" s="38" t="str">
        <x:v>Decisive Toolchain</x:v>
      </x:c>
      <x:c r="J5" s="38" t="str">
        <x:v>Evidence Custody</x:v>
      </x:c>
      <x:c r="K5" s="39" t="str">
        <x:v>Commission status</x:v>
      </x:c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86" t="str">
        <x:v>Civil Resilience Authority</x:v>
      </x:c>
      <x:c r="B6" s="75" t="n">
        <x:v>1</x:v>
      </x:c>
      <x:c r="C6" s="86" t="str">
        <x:v>public priority, activation, acceptance and transfer</x:v>
      </x:c>
      <x:c r="D6" s="86" t="str">
        <x:v>technical release, evidence judgment or candidate design</x:v>
      </x:c>
      <x:c r="E6" s="43" t="str"/>
      <x:c r="F6" s="43" t="str"/>
      <x:c r="G6" s="43" t="str"/>
      <x:c r="H6" s="43" t="str"/>
      <x:c r="I6" s="43" t="str"/>
      <x:c r="J6" s="43" t="str"/>
      <x:c r="K6" s="75" t="str">
        <x:f>IF(OR(E6="",F6="",G6="",H6="",I6="",J6=""),"SOURCE EMPTY",IF(COUNTIFS(F6:J6,F6)&gt;1,"INTERNAL COLLISION","COMMISSIONED"))</x:f>
        <x:v>SOURCE EMPTY</x:v>
      </x:c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86" t="str">
        <x:v>Mission System Commands</x:v>
      </x:c>
      <x:c r="B7" s="75" t="n">
        <x:v>6</x:v>
      </x:c>
      <x:c r="C7" s="86" t="str">
        <x:v>complete service baselines and outcome integration</x:v>
      </x:c>
      <x:c r="D7" s="86" t="str">
        <x:v>professional release, test custody or force employment</x:v>
      </x:c>
      <x:c r="E7" s="43" t="str"/>
      <x:c r="F7" s="43" t="str"/>
      <x:c r="G7" s="43" t="str"/>
      <x:c r="H7" s="43" t="str"/>
      <x:c r="I7" s="43" t="str"/>
      <x:c r="J7" s="43" t="str"/>
      <x:c r="K7" s="75" t="str">
        <x:f>IF(OR(E7="",F7="",G7="",H7="",I7="",J7=""),"SOURCE EMPTY",IF(COUNTIFS(F7:J7,F7)&gt;1,"INTERNAL COLLISION","COMMISSIONED"))</x:f>
        <x:v>SOURCE EMPTY</x:v>
      </x:c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86" t="str">
        <x:v>Operating Services</x:v>
      </x:c>
      <x:c r="B8" s="75" t="n">
        <x:v>7</x:v>
      </x:c>
      <x:c r="C8" s="86" t="str">
        <x:v>professions, article families and formation generation</x:v>
      </x:c>
      <x:c r="D8" s="86" t="str">
        <x:v>public priority, evidence judgment or integrated outcome</x:v>
      </x:c>
      <x:c r="E8" s="43" t="str"/>
      <x:c r="F8" s="43" t="str"/>
      <x:c r="G8" s="43" t="str"/>
      <x:c r="H8" s="43" t="str"/>
      <x:c r="I8" s="43" t="str"/>
      <x:c r="J8" s="43" t="str"/>
      <x:c r="K8" s="75" t="str">
        <x:f>IF(OR(E8="",F8="",G8="",H8="",I8="",J8=""),"SOURCE EMPTY",IF(COUNTIFS(F8:J8,F8)&gt;1,"INTERNAL COLLISION","COMMISSIONED"))</x:f>
        <x:v>SOURCE EMPTY</x:v>
      </x:c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86" t="str">
        <x:v>Independent Root Houses</x:v>
      </x:c>
      <x:c r="B9" s="75" t="n">
        <x:v>24</x:v>
      </x:c>
      <x:c r="C9" s="86" t="str">
        <x:v>candidate design, build and disclosed reproduction</x:v>
      </x:c>
      <x:c r="D9" s="86" t="str">
        <x:v>requirement, proof, public acceptance, readiness or money</x:v>
      </x:c>
      <x:c r="E9" s="43" t="str"/>
      <x:c r="F9" s="43" t="str"/>
      <x:c r="G9" s="43" t="str"/>
      <x:c r="H9" s="43" t="str"/>
      <x:c r="I9" s="43" t="str"/>
      <x:c r="J9" s="43" t="str"/>
      <x:c r="K9" s="75" t="str">
        <x:f>IF(OR(E9="",F9="",G9="",H9="",I9="",J9=""),"SOURCE EMPTY",IF(COUNTIFS(F9:J9,F9)&gt;1,"INTERNAL COLLISION","COMMISSIONED"))</x:f>
        <x:v>SOURCE EMPTY</x:v>
      </x:c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86" t="str">
        <x:v>Resilience Proving Service</x:v>
      </x:c>
      <x:c r="B10" s="75" t="n">
        <x:v>1</x:v>
      </x:c>
      <x:c r="C10" s="86" t="str">
        <x:v>worlds, counterfactuals, reconstruction, custody and disposition</x:v>
      </x:c>
      <x:c r="D10" s="86" t="str">
        <x:v>candidate ownership, production or employment</x:v>
      </x:c>
      <x:c r="E10" s="43" t="str"/>
      <x:c r="F10" s="43" t="str"/>
      <x:c r="G10" s="43" t="str"/>
      <x:c r="H10" s="43" t="str"/>
      <x:c r="I10" s="43" t="str"/>
      <x:c r="J10" s="43" t="str"/>
      <x:c r="K10" s="75" t="str">
        <x:f>IF(OR(E10="",F10="",G10="",H10="",I10="",J10=""),"SOURCE EMPTY",IF(COUNTIFS(F10:J10,F10)&gt;1,"INTERNAL COLLISION","COMMISSIONED"))</x:f>
        <x:v>SOURCE EMPTY</x:v>
      </x:c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86" t="str">
        <x:v>Department Capital Board</x:v>
      </x:c>
      <x:c r="B11" s="75" t="n">
        <x:v>1</x:v>
      </x:c>
      <x:c r="C11" s="86" t="str">
        <x:v>one-account option and stage authority</x:v>
      </x:c>
      <x:c r="D11" s="86" t="str">
        <x:v>requirements, evidence, technical release or force credit</x:v>
      </x:c>
      <x:c r="E11" s="43" t="str"/>
      <x:c r="F11" s="43" t="str"/>
      <x:c r="G11" s="43" t="str"/>
      <x:c r="H11" s="43" t="str"/>
      <x:c r="I11" s="43" t="str"/>
      <x:c r="J11" s="43" t="str"/>
      <x:c r="K11" s="75" t="str">
        <x:f>IF(OR(E11="",F11="",G11="",H11="",I11="",J11=""),"SOURCE EMPTY",IF(COUNTIFS(F11:J11,F11)&gt;1,"INTERNAL COLLISION","COMMISSIONED"))</x:f>
        <x:v>SOURCE EMPTY</x:v>
      </x:c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86" t="str">
        <x:v>Industrial Mobilization Administration</x:v>
      </x:c>
      <x:c r="B12" s="75" t="n">
        <x:v>1</x:v>
      </x:c>
      <x:c r="C12" s="86" t="str">
        <x:v>tooling, materials, cold production and alternate lines</x:v>
      </x:c>
      <x:c r="D12" s="86" t="str">
        <x:v>candidate proof, public priority or operational command</x:v>
      </x:c>
      <x:c r="E12" s="43" t="str"/>
      <x:c r="F12" s="43" t="str"/>
      <x:c r="G12" s="43" t="str"/>
      <x:c r="H12" s="43" t="str"/>
      <x:c r="I12" s="43" t="str"/>
      <x:c r="J12" s="43" t="str"/>
      <x:c r="K12" s="75" t="str">
        <x:f>IF(OR(E12="",F12="",G12="",H12="",I12="",J12=""),"SOURCE EMPTY",IF(COUNTIFS(F12:J12,F12)&gt;1,"INTERNAL COLLISION","COMMISSIONED"))</x:f>
        <x:v>SOURCE EMPTY</x:v>
      </x:c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86" t="str">
        <x:v>Joint Capacity Authority</x:v>
      </x:c>
      <x:c r="B13" s="75" t="n">
        <x:v>1</x:v>
      </x:c>
      <x:c r="C13" s="86" t="str">
        <x:v>serial readiness, exclusive reservation and reserve conservation</x:v>
      </x:c>
      <x:c r="D13" s="86" t="str">
        <x:v>candidate design, evidence or civil priority</x:v>
      </x:c>
      <x:c r="E13" s="43" t="str"/>
      <x:c r="F13" s="43" t="str"/>
      <x:c r="G13" s="43" t="str"/>
      <x:c r="H13" s="43" t="str"/>
      <x:c r="I13" s="43" t="str"/>
      <x:c r="J13" s="43" t="str"/>
      <x:c r="K13" s="75" t="str">
        <x:f>IF(OR(E13="",F13="",G13="",H13="",I13="",J13=""),"SOURCE EMPTY",IF(COUNTIFS(F13:J13,F13)&gt;1,"INTERNAL COLLISION","COMMISSIONED"))</x:f>
        <x:v>SOURCE EMPTY</x:v>
      </x:c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86" t="str">
        <x:v>Operational Commands</x:v>
      </x:c>
      <x:c r="B14" s="75" t="n">
        <x:v>1</x:v>
      </x:c>
      <x:c r="C14" s="86" t="str">
        <x:v>campaign integration and employment of certified formations</x:v>
      </x:c>
      <x:c r="D14" s="86" t="str">
        <x:v>generation, proof, production or public acceptance</x:v>
      </x:c>
      <x:c r="E14" s="43" t="str"/>
      <x:c r="F14" s="43" t="str"/>
      <x:c r="G14" s="43" t="str"/>
      <x:c r="H14" s="43" t="str"/>
      <x:c r="I14" s="43" t="str"/>
      <x:c r="J14" s="43" t="str"/>
      <x:c r="K14" s="75" t="str">
        <x:f>IF(OR(E14="",F14="",G14="",H14="",I14="",J14=""),"SOURCE EMPTY",IF(COUNTIFS(F14:J14,F14)&gt;1,"INTERNAL COLLISION","COMMISSIONED"))</x:f>
        <x:v>SOURCE EMPTY</x:v>
      </x:c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86" t="str">
        <x:v>Strategic Sustainment Command</x:v>
      </x:c>
      <x:c r="B15" s="75" t="n">
        <x:v>1</x:v>
      </x:c>
      <x:c r="C15" s="86" t="str">
        <x:v>national stocks, repair, replacement and regeneration</x:v>
      </x:c>
      <x:c r="D15" s="86" t="str">
        <x:v>root disposition, civil priority or initial certification</x:v>
      </x:c>
      <x:c r="E15" s="43" t="str"/>
      <x:c r="F15" s="43" t="str"/>
      <x:c r="G15" s="43" t="str"/>
      <x:c r="H15" s="43" t="str"/>
      <x:c r="I15" s="43" t="str"/>
      <x:c r="J15" s="43" t="str"/>
      <x:c r="K15" s="75" t="str">
        <x:f>IF(OR(E15="",F15="",G15="",H15="",I15="",J15=""),"SOURCE EMPTY",IF(COUNTIFS(F15:J15,F15)&gt;1,"INTERNAL COLLISION","COMMISSIONED"))</x:f>
        <x:v>SOURCE EMPTY</x:v>
      </x:c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</x:sheetData>
  <x:conditionalFormatting sqref="K6:K15">
    <x:cfRule type="containsText" dxfId="2" priority="1" operator="containsText" text="COLLISIO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31" hidden="0" customWidth="1"/>
    <x:col min="5" max="5" width="31" hidden="0" customWidth="1"/>
    <x:col min="6" max="6" width="52" hidden="0" customWidth="1"/>
    <x:col min="7" max="7" width="48" hidden="0" customWidth="1"/>
    <x:col min="8" max="8" width="16" hidden="0" customWidth="1"/>
    <x:col min="9" max="9" width="20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Capability warrant state machine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Every later state requires its predecessor; the RPS nine-warrant proving constitution is nested inside EW-06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Step</x:v>
      </x:c>
      <x:c r="B5" s="38" t="str">
        <x:v>Warrant</x:v>
      </x:c>
      <x:c r="C5" s="38" t="str">
        <x:v>Capability state</x:v>
      </x:c>
      <x:c r="D5" s="38" t="str">
        <x:v>Issuing authority</x:v>
      </x:c>
      <x:c r="E5" s="38" t="str">
        <x:v>Mandatory co-signer</x:v>
      </x:c>
      <x:c r="F5" s="38" t="str">
        <x:v>Entrant artifact</x:v>
      </x:c>
      <x:c r="G5" s="38" t="str">
        <x:v>Exit condition</x:v>
      </x:c>
      <x:c r="H5" s="38" t="str">
        <x:v>Rollback floor</x:v>
      </x:c>
      <x:c r="I5" s="39" t="str">
        <x:v>Mission authority share</x:v>
      </x:c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n">
        <x:v>1</x:v>
      </x:c>
      <x:c r="B6" s="75" t="str">
        <x:v>PW-01</x:v>
      </x:c>
      <x:c r="C6" s="86" t="str">
        <x:v>Public need registered</x:v>
      </x:c>
      <x:c r="D6" s="86" t="str">
        <x:v>Civil Resilience Authority</x:v>
      </x:c>
      <x:c r="E6" s="86" t="str">
        <x:v>Public Effect College</x:v>
      </x:c>
      <x:c r="F6" s="86" t="str">
        <x:v>Population, service, time, damage and lawful principal</x:v>
      </x:c>
      <x:c r="G6" s="86" t="str">
        <x:v>Need is traceable to a public guarantee</x:v>
      </x:c>
      <x:c r="H6" s="75" t="str">
        <x:v>Origin</x:v>
      </x:c>
      <x:c r="I6" s="88" t="n">
        <x:v>0.01</x:v>
      </x:c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n">
        <x:v>2</x:v>
      </x:c>
      <x:c r="B7" s="75" t="str">
        <x:v>MW-02</x:v>
      </x:c>
      <x:c r="C7" s="86" t="str">
        <x:v>Mission baseline frozen</x:v>
      </x:c>
      <x:c r="D7" s="86" t="str">
        <x:v>Mission System Command</x:v>
      </x:c>
      <x:c r="E7" s="86" t="str">
        <x:v>Civil Resilience Authority</x:v>
      </x:c>
      <x:c r="F7" s="86" t="str">
        <x:v>Complete service chain and denial envelope</x:v>
      </x:c>
      <x:c r="G7" s="86" t="str">
        <x:v>Requirement and interfaces are configuration-controlled</x:v>
      </x:c>
      <x:c r="H7" s="75" t="str">
        <x:v>PW-01</x:v>
      </x:c>
      <x:c r="I7" s="88" t="n">
        <x:v>0.02</x:v>
      </x:c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n">
        <x:v>3</x:v>
      </x:c>
      <x:c r="B8" s="75" t="str">
        <x:v>FW-03</x:v>
      </x:c>
      <x:c r="C8" s="86" t="str">
        <x:v>Rival option authorized</x:v>
      </x:c>
      <x:c r="D8" s="86" t="str">
        <x:v>Department Capital Board</x:v>
      </x:c>
      <x:c r="E8" s="86" t="str">
        <x:v>Failure Reserve Trustee</x:v>
      </x:c>
      <x:c r="F8" s="86" t="str">
        <x:v>One-account authority record and rival cohort</x:v>
      </x:c>
      <x:c r="G8" s="86" t="str">
        <x:v>Option authority is bounded and reversible</x:v>
      </x:c>
      <x:c r="H8" s="75" t="str">
        <x:v>MW-02</x:v>
      </x:c>
      <x:c r="I8" s="88" t="n">
        <x:v>0.05</x:v>
      </x:c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n">
        <x:v>4</x:v>
      </x:c>
      <x:c r="B9" s="75" t="str">
        <x:v>CW-04</x:v>
      </x:c>
      <x:c r="C9" s="86" t="str">
        <x:v>Controlled configuration submitted</x:v>
      </x:c>
      <x:c r="D9" s="86" t="str">
        <x:v>Service Technical College</x:v>
      </x:c>
      <x:c r="E9" s="86" t="str">
        <x:v>Independent Root House</x:v>
      </x:c>
      <x:c r="F9" s="86" t="str">
        <x:v>Complete root, ancestry and public technical data</x:v>
      </x:c>
      <x:c r="G9" s="86" t="str">
        <x:v>Configuration can be built without hidden host support</x:v>
      </x:c>
      <x:c r="H9" s="75" t="str">
        <x:v>FW-03</x:v>
      </x:c>
      <x:c r="I9" s="88" t="n">
        <x:v>0.12</x:v>
      </x:c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n">
        <x:v>5</x:v>
      </x:c>
      <x:c r="B10" s="75" t="str">
        <x:v>TW-05</x:v>
      </x:c>
      <x:c r="C10" s="86" t="str">
        <x:v>Technical and safety release</x:v>
      </x:c>
      <x:c r="D10" s="86" t="str">
        <x:v>Service Technical College</x:v>
      </x:c>
      <x:c r="E10" s="86" t="str">
        <x:v>Public Protection Inspectorate</x:v>
      </x:c>
      <x:c r="F10" s="86" t="str">
        <x:v>Family releases, interfaces, rights and residual case</x:v>
      </x:c>
      <x:c r="G10" s="86" t="str">
        <x:v>Affected technical authorities release the configuration</x:v>
      </x:c>
      <x:c r="H10" s="75" t="str">
        <x:v>CW-04</x:v>
      </x:c>
      <x:c r="I10" s="88" t="n">
        <x:v>0.08</x:v>
      </x:c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75" t="n">
        <x:v>6</x:v>
      </x:c>
      <x:c r="B11" s="75" t="str">
        <x:v>EW-06</x:v>
      </x:c>
      <x:c r="C11" s="86" t="str">
        <x:v>Evidence and root disposition</x:v>
      </x:c>
      <x:c r="D11" s="86" t="str">
        <x:v>Resilience Proving Service</x:v>
      </x:c>
      <x:c r="E11" s="86" t="str">
        <x:v>Public Effect College</x:v>
      </x:c>
      <x:c r="F11" s="86" t="str">
        <x:v>Challenge, control, reconstruction and custody record</x:v>
      </x:c>
      <x:c r="G11" s="86" t="str">
        <x:v>Independent disposition is non-HOLD</x:v>
      </x:c>
      <x:c r="H11" s="75" t="str">
        <x:v>TW-05</x:v>
      </x:c>
      <x:c r="I11" s="88" t="n">
        <x:v>0.2</x:v>
      </x:c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75" t="n">
        <x:v>7</x:v>
      </x:c>
      <x:c r="B12" s="75" t="str">
        <x:v>IW-07</x:v>
      </x:c>
      <x:c r="C12" s="86" t="str">
        <x:v>Production reproducibility qualified</x:v>
      </x:c>
      <x:c r="D12" s="86" t="str">
        <x:v>Industrial Mobilization Administration</x:v>
      </x:c>
      <x:c r="E12" s="86" t="str">
        <x:v>Reconstruction Command</x:v>
      </x:c>
      <x:c r="F12" s="86" t="str">
        <x:v>Cold build, tooling, labor, material and alternate line</x:v>
      </x:c>
      <x:c r="G12" s="86" t="str">
        <x:v>Production can reproduce the admitted configuration</x:v>
      </x:c>
      <x:c r="H12" s="75" t="str">
        <x:v>EW-06</x:v>
      </x:c>
      <x:c r="I12" s="88" t="n">
        <x:v>0.15</x:v>
      </x:c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75" t="n">
        <x:v>8</x:v>
      </x:c>
      <x:c r="B13" s="75" t="str">
        <x:v>CW-08</x:v>
      </x:c>
      <x:c r="C13" s="86" t="str">
        <x:v>Formation certified</x:v>
      </x:c>
      <x:c r="D13" s="86" t="str">
        <x:v>Operating Services</x:v>
      </x:c>
      <x:c r="E13" s="86" t="str">
        <x:v>Joint Capacity Authority</x:v>
      </x:c>
      <x:c r="F13" s="86" t="str">
        <x:v>People, material, training, movement and regeneration bundle</x:v>
      </x:c>
      <x:c r="G13" s="86" t="str">
        <x:v>One serial formation closes its readiness vector</x:v>
      </x:c>
      <x:c r="H13" s="75" t="str">
        <x:v>IW-07</x:v>
      </x:c>
      <x:c r="I13" s="88" t="n">
        <x:v>0.12</x:v>
      </x:c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75" t="n">
        <x:v>9</x:v>
      </x:c>
      <x:c r="B14" s="75" t="str">
        <x:v>RW-09</x:v>
      </x:c>
      <x:c r="C14" s="86" t="str">
        <x:v>Capacity exclusively reserved</x:v>
      </x:c>
      <x:c r="D14" s="86" t="str">
        <x:v>Joint Capacity Authority</x:v>
      </x:c>
      <x:c r="E14" s="86" t="str">
        <x:v>Department Comptroller</x:v>
      </x:c>
      <x:c r="F14" s="86" t="str">
        <x:v>Time, place, recall, reset and reserve claim</x:v>
      </x:c>
      <x:c r="G14" s="86" t="str">
        <x:v>The same capacity is not credited twice</x:v>
      </x:c>
      <x:c r="H14" s="75" t="str">
        <x:v>CW-08</x:v>
      </x:c>
      <x:c r="I14" s="88" t="n">
        <x:v>0.08</x:v>
      </x:c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75" t="n">
        <x:v>10</x:v>
      </x:c>
      <x:c r="B15" s="75" t="str">
        <x:v>OW-10</x:v>
      </x:c>
      <x:c r="C15" s="86" t="str">
        <x:v>Mission employment authorized</x:v>
      </x:c>
      <x:c r="D15" s="86" t="str">
        <x:v>Operational Command</x:v>
      </x:c>
      <x:c r="E15" s="86" t="str">
        <x:v>Civil Resilience Authority</x:v>
      </x:c>
      <x:c r="F15" s="86" t="str">
        <x:v>Civil key, force key and bounded mission</x:v>
      </x:c>
      <x:c r="G15" s="86" t="str">
        <x:v>Employment is lawful and cannot waive technical stops</x:v>
      </x:c>
      <x:c r="H15" s="75" t="str">
        <x:v>RW-09</x:v>
      </x:c>
      <x:c r="I15" s="88" t="n">
        <x:v>0.05</x:v>
      </x:c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75" t="n">
        <x:v>11</x:v>
      </x:c>
      <x:c r="B16" s="75" t="str">
        <x:v>SW-11</x:v>
      </x:c>
      <x:c r="C16" s="86" t="str">
        <x:v>Service accepted and transferred</x:v>
      </x:c>
      <x:c r="D16" s="86" t="str">
        <x:v>Civil Resilience Authority</x:v>
      </x:c>
      <x:c r="E16" s="86" t="str">
        <x:v>Affected Civil Authority</x:v>
      </x:c>
      <x:c r="F16" s="86" t="str">
        <x:v>Effect-ledger acceptance, remedy and transfer owner</x:v>
      </x:c>
      <x:c r="G16" s="86" t="str">
        <x:v>Verified service reaches use and a responsible owner</x:v>
      </x:c>
      <x:c r="H16" s="75" t="str">
        <x:v>OW-10</x:v>
      </x:c>
      <x:c r="I16" s="88" t="n">
        <x:v>0.07</x:v>
      </x:c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20" customHeight="1">
      <x:c r="A17" s="75" t="n">
        <x:v>12</x:v>
      </x:c>
      <x:c r="B17" s="75" t="str">
        <x:v>GW-12</x:v>
      </x:c>
      <x:c r="C17" s="86" t="str">
        <x:v>Force regenerated</x:v>
      </x:c>
      <x:c r="D17" s="86" t="str">
        <x:v>Strategic Sustainment Command</x:v>
      </x:c>
      <x:c r="E17" s="86" t="str">
        <x:v>Joint Capacity Authority</x:v>
      </x:c>
      <x:c r="F17" s="86" t="str">
        <x:v>Personnel, article, stock, data and home-station reset</x:v>
      </x:c>
      <x:c r="G17" s="86" t="str">
        <x:v>Capacity returns to certified readiness</x:v>
      </x:c>
      <x:c r="H17" s="75" t="str">
        <x:v>SW-11</x:v>
      </x:c>
      <x:c r="I17" s="88" t="n">
        <x:v>0.05</x:v>
      </x:c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A18" s="75" t="str">
        <x:v>Control</x:v>
      </x:c>
      <x:c r="B18" s="75" t="str"/>
      <x:c r="C18" s="75" t="str"/>
      <x:c r="D18" s="75" t="str"/>
      <x:c r="E18" s="75" t="str"/>
      <x:c r="F18" s="75" t="str"/>
      <x:c r="G18" s="75" t="str"/>
      <x:c r="H18" s="75" t="str">
        <x:v>Warrant shares sum</x:v>
      </x:c>
      <x:c r="I18" s="88" t="n">
        <x:f>SUM(I6:I17)</x:f>
        <x:v>1</x:v>
      </x:c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Non-substitutable decision rights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OWNER authorizes; COSIGN is mandatory; CONSULT may advise; BARRED cannot own the decision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Institution class</x:v>
      </x:c>
      <x:c r="B5" s="38" t="str">
        <x:v>Public priority</x:v>
      </x:c>
      <x:c r="C5" s="38" t="str">
        <x:v>Mission baseline</x:v>
      </x:c>
      <x:c r="D5" s="38" t="str">
        <x:v>Option money</x:v>
      </x:c>
      <x:c r="E5" s="38" t="str">
        <x:v>Candidate design</x:v>
      </x:c>
      <x:c r="F5" s="38" t="str">
        <x:v>Technical release</x:v>
      </x:c>
      <x:c r="G5" s="38" t="str">
        <x:v>Evidence disposition</x:v>
      </x:c>
      <x:c r="H5" s="38" t="str">
        <x:v>Production qualification</x:v>
      </x:c>
      <x:c r="I5" s="38" t="str">
        <x:v>Readiness reservation</x:v>
      </x:c>
      <x:c r="J5" s="38" t="str">
        <x:v>Force employment</x:v>
      </x:c>
      <x:c r="K5" s="39" t="str">
        <x:v>Service acceptance</x:v>
      </x:c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86" t="str">
        <x:v>Civil Resilience Authority</x:v>
      </x:c>
      <x:c r="B6" s="75" t="str">
        <x:v>OWNER</x:v>
      </x:c>
      <x:c r="C6" s="75" t="str">
        <x:v>COSIGN</x:v>
      </x:c>
      <x:c r="D6" s="75" t="str">
        <x:v>BARRED</x:v>
      </x:c>
      <x:c r="E6" s="75" t="str">
        <x:v>BARRED</x:v>
      </x:c>
      <x:c r="F6" s="75" t="str">
        <x:v>BARRED</x:v>
      </x:c>
      <x:c r="G6" s="75" t="str">
        <x:v>COSIGN</x:v>
      </x:c>
      <x:c r="H6" s="75" t="str">
        <x:v>BARRED</x:v>
      </x:c>
      <x:c r="I6" s="75" t="str">
        <x:v>CONSULT</x:v>
      </x:c>
      <x:c r="J6" s="75" t="str">
        <x:v>COSIGN</x:v>
      </x:c>
      <x:c r="K6" s="75" t="str">
        <x:v>OWNER</x:v>
      </x:c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86" t="str">
        <x:v>Mission System Commands</x:v>
      </x:c>
      <x:c r="B7" s="75" t="str">
        <x:v>CONSULT</x:v>
      </x:c>
      <x:c r="C7" s="75" t="str">
        <x:v>OWNER</x:v>
      </x:c>
      <x:c r="D7" s="75" t="str">
        <x:v>CONSULT</x:v>
      </x:c>
      <x:c r="E7" s="75" t="str">
        <x:v>BARRED</x:v>
      </x:c>
      <x:c r="F7" s="75" t="str">
        <x:v>CONSULT</x:v>
      </x:c>
      <x:c r="G7" s="75" t="str">
        <x:v>BARRED</x:v>
      </x:c>
      <x:c r="H7" s="75" t="str">
        <x:v>CONSULT</x:v>
      </x:c>
      <x:c r="I7" s="75" t="str">
        <x:v>CONSULT</x:v>
      </x:c>
      <x:c r="J7" s="75" t="str">
        <x:v>CONSULT</x:v>
      </x:c>
      <x:c r="K7" s="75" t="str">
        <x:v>CONSULT</x:v>
      </x:c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86" t="str">
        <x:v>Operating Services</x:v>
      </x:c>
      <x:c r="B8" s="75" t="str">
        <x:v>CONSULT</x:v>
      </x:c>
      <x:c r="C8" s="75" t="str">
        <x:v>CONSULT</x:v>
      </x:c>
      <x:c r="D8" s="75" t="str">
        <x:v>BARRED</x:v>
      </x:c>
      <x:c r="E8" s="75" t="str">
        <x:v>CONSULT</x:v>
      </x:c>
      <x:c r="F8" s="75" t="str">
        <x:v>OWNER</x:v>
      </x:c>
      <x:c r="G8" s="75" t="str">
        <x:v>BARRED</x:v>
      </x:c>
      <x:c r="H8" s="75" t="str">
        <x:v>CONSULT</x:v>
      </x:c>
      <x:c r="I8" s="75" t="str">
        <x:v>COSIGN</x:v>
      </x:c>
      <x:c r="J8" s="75" t="str">
        <x:v>CONSULT</x:v>
      </x:c>
      <x:c r="K8" s="75" t="str">
        <x:v>CONSULT</x:v>
      </x:c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86" t="str">
        <x:v>Independent Root Houses</x:v>
      </x:c>
      <x:c r="B9" s="75" t="str">
        <x:v>BARRED</x:v>
      </x:c>
      <x:c r="C9" s="75" t="str">
        <x:v>BARRED</x:v>
      </x:c>
      <x:c r="D9" s="75" t="str">
        <x:v>BARRED</x:v>
      </x:c>
      <x:c r="E9" s="75" t="str">
        <x:v>OWNER</x:v>
      </x:c>
      <x:c r="F9" s="75" t="str">
        <x:v>BARRED</x:v>
      </x:c>
      <x:c r="G9" s="75" t="str">
        <x:v>BARRED</x:v>
      </x:c>
      <x:c r="H9" s="75" t="str">
        <x:v>BARRED</x:v>
      </x:c>
      <x:c r="I9" s="75" t="str">
        <x:v>BARRED</x:v>
      </x:c>
      <x:c r="J9" s="75" t="str">
        <x:v>BARRED</x:v>
      </x:c>
      <x:c r="K9" s="75" t="str">
        <x:v>BARRED</x:v>
      </x:c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86" t="str">
        <x:v>Resilience Proving Service</x:v>
      </x:c>
      <x:c r="B10" s="75" t="str">
        <x:v>BARRED</x:v>
      </x:c>
      <x:c r="C10" s="75" t="str">
        <x:v>BARRED</x:v>
      </x:c>
      <x:c r="D10" s="75" t="str">
        <x:v>BARRED</x:v>
      </x:c>
      <x:c r="E10" s="75" t="str">
        <x:v>BARRED</x:v>
      </x:c>
      <x:c r="F10" s="75" t="str">
        <x:v>COSIGN</x:v>
      </x:c>
      <x:c r="G10" s="75" t="str">
        <x:v>OWNER</x:v>
      </x:c>
      <x:c r="H10" s="75" t="str">
        <x:v>COSIGN</x:v>
      </x:c>
      <x:c r="I10" s="75" t="str">
        <x:v>CONSULT</x:v>
      </x:c>
      <x:c r="J10" s="75" t="str">
        <x:v>BARRED</x:v>
      </x:c>
      <x:c r="K10" s="75" t="str">
        <x:v>CONSULT</x:v>
      </x:c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86" t="str">
        <x:v>Department Capital Board</x:v>
      </x:c>
      <x:c r="B11" s="75" t="str">
        <x:v>BARRED</x:v>
      </x:c>
      <x:c r="C11" s="75" t="str">
        <x:v>CONSULT</x:v>
      </x:c>
      <x:c r="D11" s="75" t="str">
        <x:v>OWNER</x:v>
      </x:c>
      <x:c r="E11" s="75" t="str">
        <x:v>BARRED</x:v>
      </x:c>
      <x:c r="F11" s="75" t="str">
        <x:v>BARRED</x:v>
      </x:c>
      <x:c r="G11" s="75" t="str">
        <x:v>BARRED</x:v>
      </x:c>
      <x:c r="H11" s="75" t="str">
        <x:v>CONSULT</x:v>
      </x:c>
      <x:c r="I11" s="75" t="str">
        <x:v>CONSULT</x:v>
      </x:c>
      <x:c r="J11" s="75" t="str">
        <x:v>BARRED</x:v>
      </x:c>
      <x:c r="K11" s="75" t="str">
        <x:v>BARRED</x:v>
      </x:c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86" t="str">
        <x:v>Industrial Mobilization Administration</x:v>
      </x:c>
      <x:c r="B12" s="75" t="str">
        <x:v>BARRED</x:v>
      </x:c>
      <x:c r="C12" s="75" t="str">
        <x:v>CONSULT</x:v>
      </x:c>
      <x:c r="D12" s="75" t="str">
        <x:v>CONSULT</x:v>
      </x:c>
      <x:c r="E12" s="75" t="str">
        <x:v>CONSULT</x:v>
      </x:c>
      <x:c r="F12" s="75" t="str">
        <x:v>CONSULT</x:v>
      </x:c>
      <x:c r="G12" s="75" t="str">
        <x:v>BARRED</x:v>
      </x:c>
      <x:c r="H12" s="75" t="str">
        <x:v>OWNER</x:v>
      </x:c>
      <x:c r="I12" s="75" t="str">
        <x:v>CONSULT</x:v>
      </x:c>
      <x:c r="J12" s="75" t="str">
        <x:v>BARRED</x:v>
      </x:c>
      <x:c r="K12" s="75" t="str">
        <x:v>BARRED</x:v>
      </x:c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86" t="str">
        <x:v>Joint Capacity Authority</x:v>
      </x:c>
      <x:c r="B13" s="75" t="str">
        <x:v>BARRED</x:v>
      </x:c>
      <x:c r="C13" s="75" t="str">
        <x:v>CONSULT</x:v>
      </x:c>
      <x:c r="D13" s="75" t="str">
        <x:v>CONSULT</x:v>
      </x:c>
      <x:c r="E13" s="75" t="str">
        <x:v>BARRED</x:v>
      </x:c>
      <x:c r="F13" s="75" t="str">
        <x:v>CONSULT</x:v>
      </x:c>
      <x:c r="G13" s="75" t="str">
        <x:v>BARRED</x:v>
      </x:c>
      <x:c r="H13" s="75" t="str">
        <x:v>CONSULT</x:v>
      </x:c>
      <x:c r="I13" s="75" t="str">
        <x:v>OWNER</x:v>
      </x:c>
      <x:c r="J13" s="75" t="str">
        <x:v>CONSULT</x:v>
      </x:c>
      <x:c r="K13" s="75" t="str">
        <x:v>CONSULT</x:v>
      </x:c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86" t="str">
        <x:v>Operational Commands</x:v>
      </x:c>
      <x:c r="B14" s="75" t="str">
        <x:v>BARRED</x:v>
      </x:c>
      <x:c r="C14" s="75" t="str">
        <x:v>CONSULT</x:v>
      </x:c>
      <x:c r="D14" s="75" t="str">
        <x:v>BARRED</x:v>
      </x:c>
      <x:c r="E14" s="75" t="str">
        <x:v>BARRED</x:v>
      </x:c>
      <x:c r="F14" s="75" t="str">
        <x:v>BARRED</x:v>
      </x:c>
      <x:c r="G14" s="75" t="str">
        <x:v>BARRED</x:v>
      </x:c>
      <x:c r="H14" s="75" t="str">
        <x:v>BARRED</x:v>
      </x:c>
      <x:c r="I14" s="75" t="str">
        <x:v>CONSULT</x:v>
      </x:c>
      <x:c r="J14" s="75" t="str">
        <x:v>OWNER</x:v>
      </x:c>
      <x:c r="K14" s="75" t="str">
        <x:v>CONSULT</x:v>
      </x:c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86" t="str">
        <x:v>Strategic Sustainment Command</x:v>
      </x:c>
      <x:c r="B15" s="75" t="str">
        <x:v>BARRED</x:v>
      </x:c>
      <x:c r="C15" s="75" t="str">
        <x:v>CONSULT</x:v>
      </x:c>
      <x:c r="D15" s="75" t="str">
        <x:v>CONSULT</x:v>
      </x:c>
      <x:c r="E15" s="75" t="str">
        <x:v>BARRED</x:v>
      </x:c>
      <x:c r="F15" s="75" t="str">
        <x:v>CONSULT</x:v>
      </x:c>
      <x:c r="G15" s="75" t="str">
        <x:v>CONSULT</x:v>
      </x:c>
      <x:c r="H15" s="75" t="str">
        <x:v>COSIGN</x:v>
      </x:c>
      <x:c r="I15" s="75" t="str">
        <x:v>CONSULT</x:v>
      </x:c>
      <x:c r="J15" s="75" t="str">
        <x:v>CONSULT</x:v>
      </x:c>
      <x:c r="K15" s="75" t="str">
        <x:v>CONSULT</x:v>
      </x:c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</x:sheetData>
  <x:conditionalFormatting sqref="B6:K15">
    <x:cfRule type="containsText" dxfId="3" priority="1" operator="containsText" text="OWNER"/>
    <x:cfRule type="containsText" dxfId="4" priority="2" operator="containsText" text="BARR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23" hidden="0" customWidth="1"/>
    <x:col min="5" max="5" width="22" hidden="0" customWidth="1"/>
    <x:col min="6" max="6" width="24" hidden="0" customWidth="1"/>
    <x:col min="7" max="7" width="23" hidden="0" customWidth="1"/>
    <x:col min="8" max="8" width="18" hidden="0" customWidth="1"/>
    <x:col min="9" max="9" width="22" hidden="0" customWidth="1"/>
    <x:col min="10" max="10" width="30" hidden="0" customWidth="1"/>
    <x:col min="11" max="11" width="18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Twenty-four industrial root registry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Architecture theses are defined; house, control and service-release identities are intentionally empty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Root ID</x:v>
      </x:c>
      <x:c r="B5" s="38" t="str">
        <x:v>System</x:v>
      </x:c>
      <x:c r="C5" s="38" t="str">
        <x:v>Architecture thesis</x:v>
      </x:c>
      <x:c r="D5" s="38" t="str">
        <x:v>Root house identity</x:v>
      </x:c>
      <x:c r="E5" s="38" t="str">
        <x:v>Beneficial control</x:v>
      </x:c>
      <x:c r="F5" s="38" t="str">
        <x:v>Service release bundle</x:v>
      </x:c>
      <x:c r="G5" s="38" t="str">
        <x:v>25-year mission option (USD B)</x:v>
      </x:c>
      <x:c r="H5" s="38" t="str">
        <x:v>Accepted warrants</x:v>
      </x:c>
      <x:c r="I5" s="38" t="str">
        <x:v>Highest sequential state</x:v>
      </x:c>
      <x:c r="J5" s="38" t="str">
        <x:v>Released executor authority (USD B)</x:v>
      </x:c>
      <x:c r="K5" s="39" t="str">
        <x:v>Root status</x:v>
      </x:c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str">
        <x:v>MS-ET-A</x:v>
      </x:c>
      <x:c r="B6" s="75" t="str">
        <x:v>MS-ET</x:v>
      </x:c>
      <x:c r="C6" s="86" t="str">
        <x:v>Oceanic mass bridge</x:v>
      </x:c>
      <x:c r="D6" s="43" t="str"/>
      <x:c r="E6" s="43" t="str"/>
      <x:c r="F6" s="43" t="str"/>
      <x:c r="G6" s="85" t="n">
        <x:v>22.25</x:v>
      </x:c>
      <x:c r="H6" s="75" t="n">
        <x:f>COUNTIFS('Warrant Ledger'!$B$6:$B$293,A6,'Warrant Ledger'!$S$6:$S$293,"ACCEPTED")</x:f>
        <x:v>0</x:v>
      </x:c>
      <x:c r="I6" s="75" t="n">
        <x:f>COUNTIFS('Warrant Ledger'!$B$6:$B$293,A6,'Warrant Ledger'!$S$6:$S$293,"ACCEPTED")</x:f>
        <x:v>0</x:v>
      </x:c>
      <x:c r="J6" s="85" t="n">
        <x:f>SUMIFS('Warrant Ledger'!$T$6:$T$293,'Warrant Ledger'!$B$6:$B$293,A6)</x:f>
        <x:v>0</x:v>
      </x:c>
      <x:c r="K6" s="89" t="str">
        <x:f>IF(AND(D6&lt;&gt;"",E6&lt;&gt;"",F6&lt;&gt;"",H6=12,I6=12),"COMPLETE","HOLD")</x:f>
        <x:v>HOLD</x:v>
      </x:c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MS-ET-B</x:v>
      </x:c>
      <x:c r="B7" s="75" t="str">
        <x:v>MS-ET</x:v>
      </x:c>
      <x:c r="C7" s="86" t="str">
        <x:v>Buoyant air bridge</x:v>
      </x:c>
      <x:c r="D7" s="43" t="str"/>
      <x:c r="E7" s="43" t="str"/>
      <x:c r="F7" s="43" t="str"/>
      <x:c r="G7" s="85" t="n">
        <x:v>22.25</x:v>
      </x:c>
      <x:c r="H7" s="75" t="n">
        <x:f>COUNTIFS('Warrant Ledger'!$B$6:$B$293,A7,'Warrant Ledger'!$S$6:$S$293,"ACCEPTED")</x:f>
        <x:v>0</x:v>
      </x:c>
      <x:c r="I7" s="75" t="n">
        <x:f>COUNTIFS('Warrant Ledger'!$B$6:$B$293,A7,'Warrant Ledger'!$S$6:$S$293,"ACCEPTED")</x:f>
        <x:v>0</x:v>
      </x:c>
      <x:c r="J7" s="85" t="n">
        <x:f>SUMIFS('Warrant Ledger'!$T$6:$T$293,'Warrant Ledger'!$B$6:$B$293,A7)</x:f>
        <x:v>0</x:v>
      </x:c>
      <x:c r="K7" s="89" t="str">
        <x:f>IF(AND(D7&lt;&gt;"",E7&lt;&gt;"",F7&lt;&gt;"",H7=12,I7=12),"COMPLETE","HOLD")</x:f>
        <x:v>HOLD</x:v>
      </x:c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MS-ET-C</x:v>
      </x:c>
      <x:c r="B8" s="75" t="str">
        <x:v>MS-ET</x:v>
      </x:c>
      <x:c r="C8" s="86" t="str">
        <x:v>Austere surface bridge</x:v>
      </x:c>
      <x:c r="D8" s="43" t="str"/>
      <x:c r="E8" s="43" t="str"/>
      <x:c r="F8" s="43" t="str"/>
      <x:c r="G8" s="85" t="n">
        <x:v>22.25</x:v>
      </x:c>
      <x:c r="H8" s="75" t="n">
        <x:f>COUNTIFS('Warrant Ledger'!$B$6:$B$293,A8,'Warrant Ledger'!$S$6:$S$293,"ACCEPTED")</x:f>
        <x:v>0</x:v>
      </x:c>
      <x:c r="I8" s="75" t="n">
        <x:f>COUNTIFS('Warrant Ledger'!$B$6:$B$293,A8,'Warrant Ledger'!$S$6:$S$293,"ACCEPTED")</x:f>
        <x:v>0</x:v>
      </x:c>
      <x:c r="J8" s="85" t="n">
        <x:f>SUMIFS('Warrant Ledger'!$T$6:$T$293,'Warrant Ledger'!$B$6:$B$293,A8)</x:f>
        <x:v>0</x:v>
      </x:c>
      <x:c r="K8" s="89" t="str">
        <x:f>IF(AND(D8&lt;&gt;"",E8&lt;&gt;"",F8&lt;&gt;"",H8=12,I8=12),"COMPLETE","HOLD")</x:f>
        <x:v>HOLD</x:v>
      </x:c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MS-ET-D</x:v>
      </x:c>
      <x:c r="B9" s="75" t="str">
        <x:v>MS-ET</x:v>
      </x:c>
      <x:c r="C9" s="86" t="str">
        <x:v>Amphibious autonomous mesh</x:v>
      </x:c>
      <x:c r="D9" s="43" t="str"/>
      <x:c r="E9" s="43" t="str"/>
      <x:c r="F9" s="43" t="str"/>
      <x:c r="G9" s="85" t="n">
        <x:v>22.25</x:v>
      </x:c>
      <x:c r="H9" s="75" t="n">
        <x:f>COUNTIFS('Warrant Ledger'!$B$6:$B$293,A9,'Warrant Ledger'!$S$6:$S$293,"ACCEPTED")</x:f>
        <x:v>0</x:v>
      </x:c>
      <x:c r="I9" s="75" t="n">
        <x:f>COUNTIFS('Warrant Ledger'!$B$6:$B$293,A9,'Warrant Ledger'!$S$6:$S$293,"ACCEPTED")</x:f>
        <x:v>0</x:v>
      </x:c>
      <x:c r="J9" s="85" t="n">
        <x:f>SUMIFS('Warrant Ledger'!$T$6:$T$293,'Warrant Ledger'!$B$6:$B$293,A9)</x:f>
        <x:v>0</x:v>
      </x:c>
      <x:c r="K9" s="89" t="str">
        <x:f>IF(AND(D9&lt;&gt;"",E9&lt;&gt;"",F9&lt;&gt;"",H9=12,I9=12),"COMPLETE","HOLD")</x:f>
        <x:v>HOLD</x:v>
      </x:c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str">
        <x:v>MS-CT-A</x:v>
      </x:c>
      <x:c r="B10" s="75" t="str">
        <x:v>MS-CT</x:v>
      </x:c>
      <x:c r="C10" s="86" t="str">
        <x:v>Civic edge grid</x:v>
      </x:c>
      <x:c r="D10" s="43" t="str"/>
      <x:c r="E10" s="43" t="str"/>
      <x:c r="F10" s="43" t="str"/>
      <x:c r="G10" s="85" t="n">
        <x:v>22.975</x:v>
      </x:c>
      <x:c r="H10" s="75" t="n">
        <x:f>COUNTIFS('Warrant Ledger'!$B$6:$B$293,A10,'Warrant Ledger'!$S$6:$S$293,"ACCEPTED")</x:f>
        <x:v>0</x:v>
      </x:c>
      <x:c r="I10" s="75" t="n">
        <x:f>COUNTIFS('Warrant Ledger'!$B$6:$B$293,A10,'Warrant Ledger'!$S$6:$S$293,"ACCEPTED")</x:f>
        <x:v>0</x:v>
      </x:c>
      <x:c r="J10" s="85" t="n">
        <x:f>SUMIFS('Warrant Ledger'!$T$6:$T$293,'Warrant Ledger'!$B$6:$B$293,A10)</x:f>
        <x:v>0</x:v>
      </x:c>
      <x:c r="K10" s="89" t="str">
        <x:f>IF(AND(D10&lt;&gt;"",E10&lt;&gt;"",F10&lt;&gt;"",H10=12,I10=12),"COMPLETE","HOLD")</x:f>
        <x:v>HOLD</x:v>
      </x:c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75" t="str">
        <x:v>MS-CT-B</x:v>
      </x:c>
      <x:c r="B11" s="75" t="str">
        <x:v>MS-CT</x:v>
      </x:c>
      <x:c r="C11" s="86" t="str">
        <x:v>Air-and-skin reach</x:v>
      </x:c>
      <x:c r="D11" s="43" t="str"/>
      <x:c r="E11" s="43" t="str"/>
      <x:c r="F11" s="43" t="str"/>
      <x:c r="G11" s="85" t="n">
        <x:v>22.975</x:v>
      </x:c>
      <x:c r="H11" s="75" t="n">
        <x:f>COUNTIFS('Warrant Ledger'!$B$6:$B$293,A11,'Warrant Ledger'!$S$6:$S$293,"ACCEPTED")</x:f>
        <x:v>0</x:v>
      </x:c>
      <x:c r="I11" s="75" t="n">
        <x:f>COUNTIFS('Warrant Ledger'!$B$6:$B$293,A11,'Warrant Ledger'!$S$6:$S$293,"ACCEPTED")</x:f>
        <x:v>0</x:v>
      </x:c>
      <x:c r="J11" s="85" t="n">
        <x:f>SUMIFS('Warrant Ledger'!$T$6:$T$293,'Warrant Ledger'!$B$6:$B$293,A11)</x:f>
        <x:v>0</x:v>
      </x:c>
      <x:c r="K11" s="89" t="str">
        <x:f>IF(AND(D11&lt;&gt;"",E11&lt;&gt;"",F11&lt;&gt;"",H11=12,I11=12),"COMPLETE","HOLD")</x:f>
        <x:v>HOLD</x:v>
      </x:c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75" t="str">
        <x:v>MS-CT-C</x:v>
      </x:c>
      <x:c r="B12" s="75" t="str">
        <x:v>MS-CT</x:v>
      </x:c>
      <x:c r="C12" s="86" t="str">
        <x:v>Building utility spine</x:v>
      </x:c>
      <x:c r="D12" s="43" t="str"/>
      <x:c r="E12" s="43" t="str"/>
      <x:c r="F12" s="43" t="str"/>
      <x:c r="G12" s="85" t="n">
        <x:v>22.975</x:v>
      </x:c>
      <x:c r="H12" s="75" t="n">
        <x:f>COUNTIFS('Warrant Ledger'!$B$6:$B$293,A12,'Warrant Ledger'!$S$6:$S$293,"ACCEPTED")</x:f>
        <x:v>0</x:v>
      </x:c>
      <x:c r="I12" s="75" t="n">
        <x:f>COUNTIFS('Warrant Ledger'!$B$6:$B$293,A12,'Warrant Ledger'!$S$6:$S$293,"ACCEPTED")</x:f>
        <x:v>0</x:v>
      </x:c>
      <x:c r="J12" s="85" t="n">
        <x:f>SUMIFS('Warrant Ledger'!$T$6:$T$293,'Warrant Ledger'!$B$6:$B$293,A12)</x:f>
        <x:v>0</x:v>
      </x:c>
      <x:c r="K12" s="89" t="str">
        <x:f>IF(AND(D12&lt;&gt;"",E12&lt;&gt;"",F12&lt;&gt;"",H12=12,I12=12),"COMPLETE","HOLD")</x:f>
        <x:v>HOLD</x:v>
      </x:c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75" t="str">
        <x:v>MS-CT-D</x:v>
      </x:c>
      <x:c r="B13" s="75" t="str">
        <x:v>MS-CT</x:v>
      </x:c>
      <x:c r="C13" s="86" t="str">
        <x:v>Neighborhood machine swarm</x:v>
      </x:c>
      <x:c r="D13" s="43" t="str"/>
      <x:c r="E13" s="43" t="str"/>
      <x:c r="F13" s="43" t="str"/>
      <x:c r="G13" s="85" t="n">
        <x:v>22.975</x:v>
      </x:c>
      <x:c r="H13" s="75" t="n">
        <x:f>COUNTIFS('Warrant Ledger'!$B$6:$B$293,A13,'Warrant Ledger'!$S$6:$S$293,"ACCEPTED")</x:f>
        <x:v>0</x:v>
      </x:c>
      <x:c r="I13" s="75" t="n">
        <x:f>COUNTIFS('Warrant Ledger'!$B$6:$B$293,A13,'Warrant Ledger'!$S$6:$S$293,"ACCEPTED")</x:f>
        <x:v>0</x:v>
      </x:c>
      <x:c r="J13" s="85" t="n">
        <x:f>SUMIFS('Warrant Ledger'!$T$6:$T$293,'Warrant Ledger'!$B$6:$B$293,A13)</x:f>
        <x:v>0</x:v>
      </x:c>
      <x:c r="K13" s="89" t="str">
        <x:f>IF(AND(D13&lt;&gt;"",E13&lt;&gt;"",F13&lt;&gt;"",H13=12,I13=12),"COMPLETE","HOLD")</x:f>
        <x:v>HOLD</x:v>
      </x:c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75" t="str">
        <x:v>MS-HC-A</x:v>
      </x:c>
      <x:c r="B14" s="75" t="str">
        <x:v>MS-HC</x:v>
      </x:c>
      <x:c r="C14" s="86" t="str">
        <x:v>Atmospheric control wing</x:v>
      </x:c>
      <x:c r="D14" s="43" t="str"/>
      <x:c r="E14" s="43" t="str"/>
      <x:c r="F14" s="43" t="str"/>
      <x:c r="G14" s="85" t="n">
        <x:v>13.65</x:v>
      </x:c>
      <x:c r="H14" s="75" t="n">
        <x:f>COUNTIFS('Warrant Ledger'!$B$6:$B$293,A14,'Warrant Ledger'!$S$6:$S$293,"ACCEPTED")</x:f>
        <x:v>0</x:v>
      </x:c>
      <x:c r="I14" s="75" t="n">
        <x:f>COUNTIFS('Warrant Ledger'!$B$6:$B$293,A14,'Warrant Ledger'!$S$6:$S$293,"ACCEPTED")</x:f>
        <x:v>0</x:v>
      </x:c>
      <x:c r="J14" s="85" t="n">
        <x:f>SUMIFS('Warrant Ledger'!$T$6:$T$293,'Warrant Ledger'!$B$6:$B$293,A14)</x:f>
        <x:v>0</x:v>
      </x:c>
      <x:c r="K14" s="89" t="str">
        <x:f>IF(AND(D14&lt;&gt;"",E14&lt;&gt;"",F14&lt;&gt;"",H14=12,I14=12),"COMPLETE","HOLD")</x:f>
        <x:v>HOLD</x:v>
      </x:c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75" t="str">
        <x:v>MS-HC-B</x:v>
      </x:c>
      <x:c r="B15" s="75" t="str">
        <x:v>MS-HC</x:v>
      </x:c>
      <x:c r="C15" s="86" t="str">
        <x:v>Fluid intervention lattice</x:v>
      </x:c>
      <x:c r="D15" s="43" t="str"/>
      <x:c r="E15" s="43" t="str"/>
      <x:c r="F15" s="43" t="str"/>
      <x:c r="G15" s="85" t="n">
        <x:v>13.65</x:v>
      </x:c>
      <x:c r="H15" s="75" t="n">
        <x:f>COUNTIFS('Warrant Ledger'!$B$6:$B$293,A15,'Warrant Ledger'!$S$6:$S$293,"ACCEPTED")</x:f>
        <x:v>0</x:v>
      </x:c>
      <x:c r="I15" s="75" t="n">
        <x:f>COUNTIFS('Warrant Ledger'!$B$6:$B$293,A15,'Warrant Ledger'!$S$6:$S$293,"ACCEPTED")</x:f>
        <x:v>0</x:v>
      </x:c>
      <x:c r="J15" s="85" t="n">
        <x:f>SUMIFS('Warrant Ledger'!$T$6:$T$293,'Warrant Ledger'!$B$6:$B$293,A15)</x:f>
        <x:v>0</x:v>
      </x:c>
      <x:c r="K15" s="89" t="str">
        <x:f>IF(AND(D15&lt;&gt;"",E15&lt;&gt;"",F15&lt;&gt;"",H15=12,I15=12),"COMPLETE","HOLD")</x:f>
        <x:v>HOLD</x:v>
      </x:c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75" t="str">
        <x:v>MS-HC-C</x:v>
      </x:c>
      <x:c r="B16" s="75" t="str">
        <x:v>MS-HC</x:v>
      </x:c>
      <x:c r="C16" s="86" t="str">
        <x:v>Autonomous terrain corps</x:v>
      </x:c>
      <x:c r="D16" s="43" t="str"/>
      <x:c r="E16" s="43" t="str"/>
      <x:c r="F16" s="43" t="str"/>
      <x:c r="G16" s="85" t="n">
        <x:v>13.65</x:v>
      </x:c>
      <x:c r="H16" s="75" t="n">
        <x:f>COUNTIFS('Warrant Ledger'!$B$6:$B$293,A16,'Warrant Ledger'!$S$6:$S$293,"ACCEPTED")</x:f>
        <x:v>0</x:v>
      </x:c>
      <x:c r="I16" s="75" t="n">
        <x:f>COUNTIFS('Warrant Ledger'!$B$6:$B$293,A16,'Warrant Ledger'!$S$6:$S$293,"ACCEPTED")</x:f>
        <x:v>0</x:v>
      </x:c>
      <x:c r="J16" s="85" t="n">
        <x:f>SUMIFS('Warrant Ledger'!$T$6:$T$293,'Warrant Ledger'!$B$6:$B$293,A16)</x:f>
        <x:v>0</x:v>
      </x:c>
      <x:c r="K16" s="89" t="str">
        <x:f>IF(AND(D16&lt;&gt;"",E16&lt;&gt;"",F16&lt;&gt;"",H16=12,I16=12),"COMPLETE","HOLD")</x:f>
        <x:v>HOLD</x:v>
      </x:c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20" customHeight="1">
      <x:c r="A17" s="75" t="str">
        <x:v>MS-HC-D</x:v>
      </x:c>
      <x:c r="B17" s="75" t="str">
        <x:v>MS-HC</x:v>
      </x:c>
      <x:c r="C17" s="86" t="str">
        <x:v>Distributed control field</x:v>
      </x:c>
      <x:c r="D17" s="43" t="str"/>
      <x:c r="E17" s="43" t="str"/>
      <x:c r="F17" s="43" t="str"/>
      <x:c r="G17" s="85" t="n">
        <x:v>13.65</x:v>
      </x:c>
      <x:c r="H17" s="75" t="n">
        <x:f>COUNTIFS('Warrant Ledger'!$B$6:$B$293,A17,'Warrant Ledger'!$S$6:$S$293,"ACCEPTED")</x:f>
        <x:v>0</x:v>
      </x:c>
      <x:c r="I17" s="75" t="n">
        <x:f>COUNTIFS('Warrant Ledger'!$B$6:$B$293,A17,'Warrant Ledger'!$S$6:$S$293,"ACCEPTED")</x:f>
        <x:v>0</x:v>
      </x:c>
      <x:c r="J17" s="85" t="n">
        <x:f>SUMIFS('Warrant Ledger'!$T$6:$T$293,'Warrant Ledger'!$B$6:$B$293,A17)</x:f>
        <x:v>0</x:v>
      </x:c>
      <x:c r="K17" s="89" t="str">
        <x:f>IF(AND(D17&lt;&gt;"",E17&lt;&gt;"",F17&lt;&gt;"",H17=12,I17=12),"COMPLETE","HOLD")</x:f>
        <x:v>HOLD</x:v>
      </x:c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20" customHeight="1">
      <x:c r="A18" s="75" t="str">
        <x:v>MS-LF-A</x:v>
      </x:c>
      <x:c r="B18" s="75" t="str">
        <x:v>MS-LF</x:v>
      </x:c>
      <x:c r="C18" s="86" t="str">
        <x:v>Oceanic nuclear utility</x:v>
      </x:c>
      <x:c r="D18" s="43" t="str"/>
      <x:c r="E18" s="43" t="str"/>
      <x:c r="F18" s="43" t="str"/>
      <x:c r="G18" s="85" t="n">
        <x:v>18</x:v>
      </x:c>
      <x:c r="H18" s="75" t="n">
        <x:f>COUNTIFS('Warrant Ledger'!$B$6:$B$293,A18,'Warrant Ledger'!$S$6:$S$293,"ACCEPTED")</x:f>
        <x:v>0</x:v>
      </x:c>
      <x:c r="I18" s="75" t="n">
        <x:f>COUNTIFS('Warrant Ledger'!$B$6:$B$293,A18,'Warrant Ledger'!$S$6:$S$293,"ACCEPTED")</x:f>
        <x:v>0</x:v>
      </x:c>
      <x:c r="J18" s="85" t="n">
        <x:f>SUMIFS('Warrant Ledger'!$T$6:$T$293,'Warrant Ledger'!$B$6:$B$293,A18)</x:f>
        <x:v>0</x:v>
      </x:c>
      <x:c r="K18" s="89" t="str">
        <x:f>IF(AND(D18&lt;&gt;"",E18&lt;&gt;"",F18&lt;&gt;"",H18=12,I18=12),"COMPLETE","HOLD")</x:f>
        <x:v>HOLD</x:v>
      </x:c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20" customHeight="1">
      <x:c r="A19" s="75" t="str">
        <x:v>MS-LF-B</x:v>
      </x:c>
      <x:c r="B19" s="75" t="str">
        <x:v>MS-LF</x:v>
      </x:c>
      <x:c r="C19" s="86" t="str">
        <x:v>Inland geothermal train</x:v>
      </x:c>
      <x:c r="D19" s="43" t="str"/>
      <x:c r="E19" s="43" t="str"/>
      <x:c r="F19" s="43" t="str"/>
      <x:c r="G19" s="85" t="n">
        <x:v>18</x:v>
      </x:c>
      <x:c r="H19" s="75" t="n">
        <x:f>COUNTIFS('Warrant Ledger'!$B$6:$B$293,A19,'Warrant Ledger'!$S$6:$S$293,"ACCEPTED")</x:f>
        <x:v>0</x:v>
      </x:c>
      <x:c r="I19" s="75" t="n">
        <x:f>COUNTIFS('Warrant Ledger'!$B$6:$B$293,A19,'Warrant Ledger'!$S$6:$S$293,"ACCEPTED")</x:f>
        <x:v>0</x:v>
      </x:c>
      <x:c r="J19" s="85" t="n">
        <x:f>SUMIFS('Warrant Ledger'!$T$6:$T$293,'Warrant Ledger'!$B$6:$B$293,A19)</x:f>
        <x:v>0</x:v>
      </x:c>
      <x:c r="K19" s="89" t="str">
        <x:f>IF(AND(D19&lt;&gt;"",E19&lt;&gt;"",F19&lt;&gt;"",H19=12,I19=12),"COMPLETE","HOLD")</x:f>
        <x:v>HOLD</x:v>
      </x:c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20" customHeight="1">
      <x:c r="A20" s="75" t="str">
        <x:v>MS-LF-C</x:v>
      </x:c>
      <x:c r="B20" s="75" t="str">
        <x:v>MS-LF</x:v>
      </x:c>
      <x:c r="C20" s="86" t="str">
        <x:v>Renewable electrochemical swarm</x:v>
      </x:c>
      <x:c r="D20" s="43" t="str"/>
      <x:c r="E20" s="43" t="str"/>
      <x:c r="F20" s="43" t="str"/>
      <x:c r="G20" s="85" t="n">
        <x:v>18</x:v>
      </x:c>
      <x:c r="H20" s="75" t="n">
        <x:f>COUNTIFS('Warrant Ledger'!$B$6:$B$293,A20,'Warrant Ledger'!$S$6:$S$293,"ACCEPTED")</x:f>
        <x:v>0</x:v>
      </x:c>
      <x:c r="I20" s="75" t="n">
        <x:f>COUNTIFS('Warrant Ledger'!$B$6:$B$293,A20,'Warrant Ledger'!$S$6:$S$293,"ACCEPTED")</x:f>
        <x:v>0</x:v>
      </x:c>
      <x:c r="J20" s="85" t="n">
        <x:f>SUMIFS('Warrant Ledger'!$T$6:$T$293,'Warrant Ledger'!$B$6:$B$293,A20)</x:f>
        <x:v>0</x:v>
      </x:c>
      <x:c r="K20" s="89" t="str">
        <x:f>IF(AND(D20&lt;&gt;"",E20&lt;&gt;"",F20&lt;&gt;"",H20=12,I20=12),"COMPLETE","HOLD")</x:f>
        <x:v>HOLD</x:v>
      </x:c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20" customHeight="1">
      <x:c r="A21" s="75" t="str">
        <x:v>MS-LF-D</x:v>
      </x:c>
      <x:c r="B21" s="75" t="str">
        <x:v>MS-LF</x:v>
      </x:c>
      <x:c r="C21" s="86" t="str">
        <x:v>Synthetic-fuel service fleet</x:v>
      </x:c>
      <x:c r="D21" s="43" t="str"/>
      <x:c r="E21" s="43" t="str"/>
      <x:c r="F21" s="43" t="str"/>
      <x:c r="G21" s="85" t="n">
        <x:v>18</x:v>
      </x:c>
      <x:c r="H21" s="75" t="n">
        <x:f>COUNTIFS('Warrant Ledger'!$B$6:$B$293,A21,'Warrant Ledger'!$S$6:$S$293,"ACCEPTED")</x:f>
        <x:v>0</x:v>
      </x:c>
      <x:c r="I21" s="75" t="n">
        <x:f>COUNTIFS('Warrant Ledger'!$B$6:$B$293,A21,'Warrant Ledger'!$S$6:$S$293,"ACCEPTED")</x:f>
        <x:v>0</x:v>
      </x:c>
      <x:c r="J21" s="85" t="n">
        <x:f>SUMIFS('Warrant Ledger'!$T$6:$T$293,'Warrant Ledger'!$B$6:$B$293,A21)</x:f>
        <x:v>0</x:v>
      </x:c>
      <x:c r="K21" s="89" t="str">
        <x:f>IF(AND(D21&lt;&gt;"",E21&lt;&gt;"",F21&lt;&gt;"",H21=12,I21=12),"COMPLETE","HOLD")</x:f>
        <x:v>HOLD</x:v>
      </x:c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20" customHeight="1">
      <x:c r="A22" s="75" t="str">
        <x:v>MS-HU-A</x:v>
      </x:c>
      <x:c r="B22" s="75" t="str">
        <x:v>MS-HU</x:v>
      </x:c>
      <x:c r="C22" s="86" t="str">
        <x:v>Clinical continuity campus</x:v>
      </x:c>
      <x:c r="D22" s="43" t="str"/>
      <x:c r="E22" s="43" t="str"/>
      <x:c r="F22" s="43" t="str"/>
      <x:c r="G22" s="85" t="n">
        <x:v>38.25</x:v>
      </x:c>
      <x:c r="H22" s="75" t="n">
        <x:f>COUNTIFS('Warrant Ledger'!$B$6:$B$293,A22,'Warrant Ledger'!$S$6:$S$293,"ACCEPTED")</x:f>
        <x:v>0</x:v>
      </x:c>
      <x:c r="I22" s="75" t="n">
        <x:f>COUNTIFS('Warrant Ledger'!$B$6:$B$293,A22,'Warrant Ledger'!$S$6:$S$293,"ACCEPTED")</x:f>
        <x:v>0</x:v>
      </x:c>
      <x:c r="J22" s="85" t="n">
        <x:f>SUMIFS('Warrant Ledger'!$T$6:$T$293,'Warrant Ledger'!$B$6:$B$293,A22)</x:f>
        <x:v>0</x:v>
      </x:c>
      <x:c r="K22" s="89" t="str">
        <x:f>IF(AND(D22&lt;&gt;"",E22&lt;&gt;"",F22&lt;&gt;"",H22=12,I22=12),"COMPLETE","HOLD")</x:f>
        <x:v>HOLD</x:v>
      </x:c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20" customHeight="1">
      <x:c r="A23" s="75" t="str">
        <x:v>MS-HU-B</x:v>
      </x:c>
      <x:c r="B23" s="75" t="str">
        <x:v>MS-HU</x:v>
      </x:c>
      <x:c r="C23" s="86" t="str">
        <x:v>Neighborhood care fabric</x:v>
      </x:c>
      <x:c r="D23" s="43" t="str"/>
      <x:c r="E23" s="43" t="str"/>
      <x:c r="F23" s="43" t="str"/>
      <x:c r="G23" s="85" t="n">
        <x:v>38.25</x:v>
      </x:c>
      <x:c r="H23" s="75" t="n">
        <x:f>COUNTIFS('Warrant Ledger'!$B$6:$B$293,A23,'Warrant Ledger'!$S$6:$S$293,"ACCEPTED")</x:f>
        <x:v>0</x:v>
      </x:c>
      <x:c r="I23" s="75" t="n">
        <x:f>COUNTIFS('Warrant Ledger'!$B$6:$B$293,A23,'Warrant Ledger'!$S$6:$S$293,"ACCEPTED")</x:f>
        <x:v>0</x:v>
      </x:c>
      <x:c r="J23" s="85" t="n">
        <x:f>SUMIFS('Warrant Ledger'!$T$6:$T$293,'Warrant Ledger'!$B$6:$B$293,A23)</x:f>
        <x:v>0</x:v>
      </x:c>
      <x:c r="K23" s="89" t="str">
        <x:f>IF(AND(D23&lt;&gt;"",E23&lt;&gt;"",F23&lt;&gt;"",H23=12,I23=12),"COMPLETE","HOLD")</x:f>
        <x:v>HOLD</x:v>
      </x:c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20" customHeight="1">
      <x:c r="A24" s="75" t="str">
        <x:v>MS-HU-C</x:v>
      </x:c>
      <x:c r="B24" s="75" t="str">
        <x:v>MS-HU</x:v>
      </x:c>
      <x:c r="C24" s="86" t="str">
        <x:v>Mobile care network</x:v>
      </x:c>
      <x:c r="D24" s="43" t="str"/>
      <x:c r="E24" s="43" t="str"/>
      <x:c r="F24" s="43" t="str"/>
      <x:c r="G24" s="85" t="n">
        <x:v>38.25</x:v>
      </x:c>
      <x:c r="H24" s="75" t="n">
        <x:f>COUNTIFS('Warrant Ledger'!$B$6:$B$293,A24,'Warrant Ledger'!$S$6:$S$293,"ACCEPTED")</x:f>
        <x:v>0</x:v>
      </x:c>
      <x:c r="I24" s="75" t="n">
        <x:f>COUNTIFS('Warrant Ledger'!$B$6:$B$293,A24,'Warrant Ledger'!$S$6:$S$293,"ACCEPTED")</x:f>
        <x:v>0</x:v>
      </x:c>
      <x:c r="J24" s="85" t="n">
        <x:f>SUMIFS('Warrant Ledger'!$T$6:$T$293,'Warrant Ledger'!$B$6:$B$293,A24)</x:f>
        <x:v>0</x:v>
      </x:c>
      <x:c r="K24" s="89" t="str">
        <x:f>IF(AND(D24&lt;&gt;"",E24&lt;&gt;"",F24&lt;&gt;"",H24=12,I24=12),"COMPLETE","HOLD")</x:f>
        <x:v>HOLD</x:v>
      </x:c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20" customHeight="1">
      <x:c r="A25" s="75" t="str">
        <x:v>MS-HU-D</x:v>
      </x:c>
      <x:c r="B25" s="75" t="str">
        <x:v>MS-HU</x:v>
      </x:c>
      <x:c r="C25" s="86" t="str">
        <x:v>Host-building conversion system</x:v>
      </x:c>
      <x:c r="D25" s="43" t="str"/>
      <x:c r="E25" s="43" t="str"/>
      <x:c r="F25" s="43" t="str"/>
      <x:c r="G25" s="85" t="n">
        <x:v>38.25</x:v>
      </x:c>
      <x:c r="H25" s="75" t="n">
        <x:f>COUNTIFS('Warrant Ledger'!$B$6:$B$293,A25,'Warrant Ledger'!$S$6:$S$293,"ACCEPTED")</x:f>
        <x:v>0</x:v>
      </x:c>
      <x:c r="I25" s="75" t="n">
        <x:f>COUNTIFS('Warrant Ledger'!$B$6:$B$293,A25,'Warrant Ledger'!$S$6:$S$293,"ACCEPTED")</x:f>
        <x:v>0</x:v>
      </x:c>
      <x:c r="J25" s="85" t="n">
        <x:f>SUMIFS('Warrant Ledger'!$T$6:$T$293,'Warrant Ledger'!$B$6:$B$293,A25)</x:f>
        <x:v>0</x:v>
      </x:c>
      <x:c r="K25" s="89" t="str">
        <x:f>IF(AND(D25&lt;&gt;"",E25&lt;&gt;"",F25&lt;&gt;"",H25=12,I25=12),"COMPLETE","HOLD")</x:f>
        <x:v>HOLD</x:v>
      </x:c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 ht="20" customHeight="1">
      <x:c r="A26" s="75" t="str">
        <x:v>MS-RT-A</x:v>
      </x:c>
      <x:c r="B26" s="75" t="str">
        <x:v>MS-RT</x:v>
      </x:c>
      <x:c r="C26" s="86" t="str">
        <x:v>Heavy arsenal base</x:v>
      </x:c>
      <x:c r="D26" s="43" t="str"/>
      <x:c r="E26" s="43" t="str"/>
      <x:c r="F26" s="43" t="str"/>
      <x:c r="G26" s="85" t="n">
        <x:v>22.35</x:v>
      </x:c>
      <x:c r="H26" s="75" t="n">
        <x:f>COUNTIFS('Warrant Ledger'!$B$6:$B$293,A26,'Warrant Ledger'!$S$6:$S$293,"ACCEPTED")</x:f>
        <x:v>0</x:v>
      </x:c>
      <x:c r="I26" s="75" t="n">
        <x:f>COUNTIFS('Warrant Ledger'!$B$6:$B$293,A26,'Warrant Ledger'!$S$6:$S$293,"ACCEPTED")</x:f>
        <x:v>0</x:v>
      </x:c>
      <x:c r="J26" s="85" t="n">
        <x:f>SUMIFS('Warrant Ledger'!$T$6:$T$293,'Warrant Ledger'!$B$6:$B$293,A26)</x:f>
        <x:v>0</x:v>
      </x:c>
      <x:c r="K26" s="89" t="str">
        <x:f>IF(AND(D26&lt;&gt;"",E26&lt;&gt;"",F26&lt;&gt;"",H26=12,I26=12),"COMPLETE","HOLD")</x:f>
        <x:v>HOLD</x:v>
      </x:c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 ht="20" customHeight="1">
      <x:c r="A27" s="75" t="str">
        <x:v>MS-RT-B</x:v>
      </x:c>
      <x:c r="B27" s="75" t="str">
        <x:v>MS-RT</x:v>
      </x:c>
      <x:c r="C27" s="86" t="str">
        <x:v>Distributed microfactory mesh</x:v>
      </x:c>
      <x:c r="D27" s="43" t="str"/>
      <x:c r="E27" s="43" t="str"/>
      <x:c r="F27" s="43" t="str"/>
      <x:c r="G27" s="85" t="n">
        <x:v>22.35</x:v>
      </x:c>
      <x:c r="H27" s="75" t="n">
        <x:f>COUNTIFS('Warrant Ledger'!$B$6:$B$293,A27,'Warrant Ledger'!$S$6:$S$293,"ACCEPTED")</x:f>
        <x:v>0</x:v>
      </x:c>
      <x:c r="I27" s="75" t="n">
        <x:f>COUNTIFS('Warrant Ledger'!$B$6:$B$293,A27,'Warrant Ledger'!$S$6:$S$293,"ACCEPTED")</x:f>
        <x:v>0</x:v>
      </x:c>
      <x:c r="J27" s="85" t="n">
        <x:f>SUMIFS('Warrant Ledger'!$T$6:$T$293,'Warrant Ledger'!$B$6:$B$293,A27)</x:f>
        <x:v>0</x:v>
      </x:c>
      <x:c r="K27" s="89" t="str">
        <x:f>IF(AND(D27&lt;&gt;"",E27&lt;&gt;"",F27&lt;&gt;"",H27=12,I27=12),"COMPLETE","HOLD")</x:f>
        <x:v>HOLD</x:v>
      </x:c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 ht="20" customHeight="1">
      <x:c r="A28" s="75" t="str">
        <x:v>MS-RT-C</x:v>
      </x:c>
      <x:c r="B28" s="75" t="str">
        <x:v>MS-RT</x:v>
      </x:c>
      <x:c r="C28" s="86" t="str">
        <x:v>Exchange and remanufacture network</x:v>
      </x:c>
      <x:c r="D28" s="43" t="str"/>
      <x:c r="E28" s="43" t="str"/>
      <x:c r="F28" s="43" t="str"/>
      <x:c r="G28" s="85" t="n">
        <x:v>22.35</x:v>
      </x:c>
      <x:c r="H28" s="75" t="n">
        <x:f>COUNTIFS('Warrant Ledger'!$B$6:$B$293,A28,'Warrant Ledger'!$S$6:$S$293,"ACCEPTED")</x:f>
        <x:v>0</x:v>
      </x:c>
      <x:c r="I28" s="75" t="n">
        <x:f>COUNTIFS('Warrant Ledger'!$B$6:$B$293,A28,'Warrant Ledger'!$S$6:$S$293,"ACCEPTED")</x:f>
        <x:v>0</x:v>
      </x:c>
      <x:c r="J28" s="85" t="n">
        <x:f>SUMIFS('Warrant Ledger'!$T$6:$T$293,'Warrant Ledger'!$B$6:$B$293,A28)</x:f>
        <x:v>0</x:v>
      </x:c>
      <x:c r="K28" s="89" t="str">
        <x:f>IF(AND(D28&lt;&gt;"",E28&lt;&gt;"",F28&lt;&gt;"",H28=12,I28=12),"COMPLETE","HOLD")</x:f>
        <x:v>HOLD</x:v>
      </x:c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 ht="20" customHeight="1">
      <x:c r="A29" s="75" t="str">
        <x:v>MS-RT-D</x:v>
      </x:c>
      <x:c r="B29" s="75" t="str">
        <x:v>MS-RT</x:v>
      </x:c>
      <x:c r="C29" s="86" t="str">
        <x:v>Closed-loop sustainment fleet</x:v>
      </x:c>
      <x:c r="D29" s="43" t="str"/>
      <x:c r="E29" s="43" t="str"/>
      <x:c r="F29" s="43" t="str"/>
      <x:c r="G29" s="85" t="n">
        <x:v>22.35</x:v>
      </x:c>
      <x:c r="H29" s="75" t="n">
        <x:f>COUNTIFS('Warrant Ledger'!$B$6:$B$293,A29,'Warrant Ledger'!$S$6:$S$293,"ACCEPTED")</x:f>
        <x:v>0</x:v>
      </x:c>
      <x:c r="I29" s="75" t="n">
        <x:f>COUNTIFS('Warrant Ledger'!$B$6:$B$293,A29,'Warrant Ledger'!$S$6:$S$293,"ACCEPTED")</x:f>
        <x:v>0</x:v>
      </x:c>
      <x:c r="J29" s="85" t="n">
        <x:f>SUMIFS('Warrant Ledger'!$T$6:$T$293,'Warrant Ledger'!$B$6:$B$293,A29)</x:f>
        <x:v>0</x:v>
      </x:c>
      <x:c r="K29" s="89" t="str">
        <x:f>IF(AND(D29&lt;&gt;"",E29&lt;&gt;"",F29&lt;&gt;"",H29=12,I29=12),"COMPLETE","HOLD")</x:f>
        <x:v>HOLD</x:v>
      </x:c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8" hidden="0" customWidth="1"/>
    <x:col min="5" max="5" width="12" hidden="0" customWidth="1"/>
    <x:col min="6" max="6" width="28" hidden="0" customWidth="1"/>
    <x:col min="7" max="7" width="28" hidden="0" customWidth="1"/>
    <x:col min="8" max="8" width="16" hidden="0" customWidth="1"/>
    <x:col min="9" max="9" width="1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4" hidden="0" customWidth="1"/>
    <x:col min="16" max="16" width="20" hidden="0" customWidth="1"/>
    <x:col min="17" max="17" width="16" hidden="0" customWidth="1"/>
    <x:col min="18" max="18" width="18" hidden="0" customWidth="1"/>
    <x:col min="19" max="19" width="18" hidden="0" customWidth="1"/>
    <x:col min="20" max="20" width="22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Root capability-warrant ledger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Twelve serial warrants for each root; all issuer, co-signer, evidence, decision and adverse inputs begin empty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Record ID</x:v>
      </x:c>
      <x:c r="B5" s="38" t="str">
        <x:v>Root ID</x:v>
      </x:c>
      <x:c r="C5" s="38" t="str">
        <x:v>System</x:v>
      </x:c>
      <x:c r="D5" s="38" t="str">
        <x:v>Step</x:v>
      </x:c>
      <x:c r="E5" s="38" t="str">
        <x:v>Warrant</x:v>
      </x:c>
      <x:c r="F5" s="38" t="str">
        <x:v>Issuer class</x:v>
      </x:c>
      <x:c r="G5" s="38" t="str">
        <x:v>Co-signer class</x:v>
      </x:c>
      <x:c r="H5" s="38" t="str">
        <x:v>Authority share</x:v>
      </x:c>
      <x:c r="I5" s="38" t="str">
        <x:v>Root option (USD B)</x:v>
      </x:c>
      <x:c r="J5" s="38" t="str">
        <x:v>Root house ID</x:v>
      </x:c>
      <x:c r="K5" s="38" t="str">
        <x:v>Service bundle ID</x:v>
      </x:c>
      <x:c r="L5" s="38" t="str">
        <x:v>Issuer identity</x:v>
      </x:c>
      <x:c r="M5" s="38" t="str">
        <x:v>Co-signer identity</x:v>
      </x:c>
      <x:c r="N5" s="38" t="str">
        <x:v>Source record ID</x:v>
      </x:c>
      <x:c r="O5" s="38" t="str">
        <x:v>Decision</x:v>
      </x:c>
      <x:c r="P5" s="38" t="str">
        <x:v>Adverse class</x:v>
      </x:c>
      <x:c r="Q5" s="38" t="str">
        <x:v>Predecessor</x:v>
      </x:c>
      <x:c r="R5" s="38" t="str">
        <x:v>Independence</x:v>
      </x:c>
      <x:c r="S5" s="38" t="str">
        <x:v>Result</x:v>
      </x:c>
      <x:c r="T5" s="39" t="str">
        <x:v>Released authority (USD B)</x:v>
      </x:c>
      <x:c r="U5" s="75"/>
      <x:c r="V5" s="75"/>
      <x:c r="W5" s="75"/>
      <x:c r="X5" s="75"/>
      <x:c r="Y5" s="75"/>
      <x:c r="Z5" s="75"/>
    </x:row>
    <x:row r="6" ht="20" customHeight="1">
      <x:c r="A6" s="86" t="str">
        <x:v>MS-ET-A-PW-01</x:v>
      </x:c>
      <x:c r="B6" s="75" t="str">
        <x:v>MS-ET-A</x:v>
      </x:c>
      <x:c r="C6" s="75" t="str">
        <x:v>MS-ET</x:v>
      </x:c>
      <x:c r="D6" s="75" t="n">
        <x:v>1</x:v>
      </x:c>
      <x:c r="E6" s="75" t="str">
        <x:v>PW-01</x:v>
      </x:c>
      <x:c r="F6" s="86" t="str">
        <x:v>Civil Resilience Authority</x:v>
      </x:c>
      <x:c r="G6" s="86" t="str">
        <x:v>Public Effect College</x:v>
      </x:c>
      <x:c r="H6" s="88" t="n">
        <x:v>0.01</x:v>
      </x:c>
      <x:c r="I6" s="85" t="n">
        <x:f>INDEX('Root Registry'!$G$6:$G$29,MATCH(B6,'Root Registry'!$A$6:$A$29,0))</x:f>
        <x:v>22.25</x:v>
      </x:c>
      <x:c r="J6" s="75" t="str">
        <x:f>INDEX('Root Registry'!$D$6:$D$29,MATCH(B6,'Root Registry'!$A$6:$A$29,0))</x:f>
      </x:c>
      <x:c r="K6" s="75" t="str">
        <x:f>INDEX('Root Registry'!$F$6:$F$29,MATCH(B6,'Root Registry'!$A$6:$A$29,0))</x:f>
      </x:c>
      <x:c r="L6" s="43" t="str"/>
      <x:c r="M6" s="43" t="str"/>
      <x:c r="N6" s="43" t="str"/>
      <x:c r="O6" s="43" t="str"/>
      <x:c r="P6" s="43" t="str"/>
      <x:c r="Q6" s="75" t="str">
        <x:f>"ORIGIN"</x:f>
        <x:v>ORIGIN</x:v>
      </x:c>
      <x:c r="R6" s="75" t="str">
        <x:f>IF(L6="","SOURCE EMPTY",IF(L6=J6,"ROOT COLLISION",IF(AND(M6&lt;&gt;"",M6=L6),"DUAL-KEY COLLISION","CLEAR")))</x:f>
        <x:v>SOURCE EMPTY</x:v>
      </x:c>
      <x:c r="S6" s="75" t="str">
        <x:f>IF(OR(J6="",L6="",M6="",N6="",O6=""),"SOURCE EMPTY",IF(AND(OR(D6=4,D6=5,D6=8),K6=""),"SOURCE EMPTY",IF(R6&lt;&gt;"CLEAR","COLLISION",IF(P6&lt;&gt;"","ROLLBACK",IF(O6&lt;&gt;"ACCEPT","HOLD",IF(OR(D6=1,Q6="ACCEPTED"),"ACCEPTED","SEQUENCE HOLD"))))))</x:f>
        <x:v>SOURCE EMPTY</x:v>
      </x:c>
      <x:c r="T6" s="85" t="n">
        <x:f>IF(S6="ACCEPTED",H6*I6,0)</x:f>
        <x:v>0</x:v>
      </x:c>
      <x:c r="U6" s="75"/>
      <x:c r="V6" s="75"/>
      <x:c r="W6" s="75"/>
      <x:c r="X6" s="75"/>
      <x:c r="Y6" s="75"/>
      <x:c r="Z6" s="75"/>
    </x:row>
    <x:row r="7" ht="20" customHeight="1">
      <x:c r="A7" s="86" t="str">
        <x:v>MS-ET-A-MW-02</x:v>
      </x:c>
      <x:c r="B7" s="75" t="str">
        <x:v>MS-ET-A</x:v>
      </x:c>
      <x:c r="C7" s="75" t="str">
        <x:v>MS-ET</x:v>
      </x:c>
      <x:c r="D7" s="75" t="n">
        <x:v>2</x:v>
      </x:c>
      <x:c r="E7" s="75" t="str">
        <x:v>MW-02</x:v>
      </x:c>
      <x:c r="F7" s="86" t="str">
        <x:v>Mission System Command</x:v>
      </x:c>
      <x:c r="G7" s="86" t="str">
        <x:v>Civil Resilience Authority</x:v>
      </x:c>
      <x:c r="H7" s="88" t="n">
        <x:v>0.02</x:v>
      </x:c>
      <x:c r="I7" s="85" t="n">
        <x:f>INDEX('Root Registry'!$G$6:$G$29,MATCH(B7,'Root Registry'!$A$6:$A$29,0))</x:f>
        <x:v>22.25</x:v>
      </x:c>
      <x:c r="J7" s="75" t="str">
        <x:f>INDEX('Root Registry'!$D$6:$D$29,MATCH(B7,'Root Registry'!$A$6:$A$29,0))</x:f>
      </x:c>
      <x:c r="K7" s="75" t="str">
        <x:f>INDEX('Root Registry'!$F$6:$F$29,MATCH(B7,'Root Registry'!$A$6:$A$29,0))</x:f>
      </x:c>
      <x:c r="L7" s="43" t="str"/>
      <x:c r="M7" s="43" t="str"/>
      <x:c r="N7" s="43" t="str"/>
      <x:c r="O7" s="43" t="str"/>
      <x:c r="P7" s="43" t="str"/>
      <x:c r="Q7" s="75" t="str">
        <x:f>S6</x:f>
        <x:v>SOURCE EMPTY</x:v>
      </x:c>
      <x:c r="R7" s="75" t="str">
        <x:f>IF(L7="","SOURCE EMPTY",IF(L7=J7,"ROOT COLLISION",IF(AND(M7&lt;&gt;"",M7=L7),"DUAL-KEY COLLISION","CLEAR")))</x:f>
        <x:v>SOURCE EMPTY</x:v>
      </x:c>
      <x:c r="S7" s="75" t="str">
        <x:f>IF(OR(J7="",L7="",M7="",N7="",O7=""),"SOURCE EMPTY",IF(AND(OR(D7=4,D7=5,D7=8),K7=""),"SOURCE EMPTY",IF(R7&lt;&gt;"CLEAR","COLLISION",IF(P7&lt;&gt;"","ROLLBACK",IF(O7&lt;&gt;"ACCEPT","HOLD",IF(OR(D7=1,Q7="ACCEPTED"),"ACCEPTED","SEQUENCE HOLD"))))))</x:f>
        <x:v>SOURCE EMPTY</x:v>
      </x:c>
      <x:c r="T7" s="85" t="n">
        <x:f>IF(S7="ACCEPTED",H7*I7,0)</x:f>
        <x:v>0</x:v>
      </x:c>
      <x:c r="U7" s="75"/>
      <x:c r="V7" s="75"/>
      <x:c r="W7" s="75"/>
      <x:c r="X7" s="75"/>
      <x:c r="Y7" s="75"/>
      <x:c r="Z7" s="75"/>
    </x:row>
    <x:row r="8" ht="20" customHeight="1">
      <x:c r="A8" s="86" t="str">
        <x:v>MS-ET-A-FW-03</x:v>
      </x:c>
      <x:c r="B8" s="75" t="str">
        <x:v>MS-ET-A</x:v>
      </x:c>
      <x:c r="C8" s="75" t="str">
        <x:v>MS-ET</x:v>
      </x:c>
      <x:c r="D8" s="75" t="n">
        <x:v>3</x:v>
      </x:c>
      <x:c r="E8" s="75" t="str">
        <x:v>FW-03</x:v>
      </x:c>
      <x:c r="F8" s="86" t="str">
        <x:v>Department Capital Board</x:v>
      </x:c>
      <x:c r="G8" s="86" t="str">
        <x:v>Failure Reserve Trustee</x:v>
      </x:c>
      <x:c r="H8" s="88" t="n">
        <x:v>0.05</x:v>
      </x:c>
      <x:c r="I8" s="85" t="n">
        <x:f>INDEX('Root Registry'!$G$6:$G$29,MATCH(B8,'Root Registry'!$A$6:$A$29,0))</x:f>
        <x:v>22.25</x:v>
      </x:c>
      <x:c r="J8" s="75" t="str">
        <x:f>INDEX('Root Registry'!$D$6:$D$29,MATCH(B8,'Root Registry'!$A$6:$A$29,0))</x:f>
      </x:c>
      <x:c r="K8" s="75" t="str">
        <x:f>INDEX('Root Registry'!$F$6:$F$29,MATCH(B8,'Root Registry'!$A$6:$A$29,0))</x:f>
      </x:c>
      <x:c r="L8" s="43" t="str"/>
      <x:c r="M8" s="43" t="str"/>
      <x:c r="N8" s="43" t="str"/>
      <x:c r="O8" s="43" t="str"/>
      <x:c r="P8" s="43" t="str"/>
      <x:c r="Q8" s="75" t="str">
        <x:f>S7</x:f>
        <x:v>SOURCE EMPTY</x:v>
      </x:c>
      <x:c r="R8" s="75" t="str">
        <x:f>IF(L8="","SOURCE EMPTY",IF(L8=J8,"ROOT COLLISION",IF(AND(M8&lt;&gt;"",M8=L8),"DUAL-KEY COLLISION","CLEAR")))</x:f>
        <x:v>SOURCE EMPTY</x:v>
      </x:c>
      <x:c r="S8" s="75" t="str">
        <x:f>IF(OR(J8="",L8="",M8="",N8="",O8=""),"SOURCE EMPTY",IF(AND(OR(D8=4,D8=5,D8=8),K8=""),"SOURCE EMPTY",IF(R8&lt;&gt;"CLEAR","COLLISION",IF(P8&lt;&gt;"","ROLLBACK",IF(O8&lt;&gt;"ACCEPT","HOLD",IF(OR(D8=1,Q8="ACCEPTED"),"ACCEPTED","SEQUENCE HOLD"))))))</x:f>
        <x:v>SOURCE EMPTY</x:v>
      </x:c>
      <x:c r="T8" s="85" t="n">
        <x:f>IF(S8="ACCEPTED",H8*I8,0)</x:f>
        <x:v>0</x:v>
      </x:c>
      <x:c r="U8" s="75"/>
      <x:c r="V8" s="75"/>
      <x:c r="W8" s="75"/>
      <x:c r="X8" s="75"/>
      <x:c r="Y8" s="75"/>
      <x:c r="Z8" s="75"/>
    </x:row>
    <x:row r="9" ht="20" customHeight="1">
      <x:c r="A9" s="86" t="str">
        <x:v>MS-ET-A-CW-04</x:v>
      </x:c>
      <x:c r="B9" s="75" t="str">
        <x:v>MS-ET-A</x:v>
      </x:c>
      <x:c r="C9" s="75" t="str">
        <x:v>MS-ET</x:v>
      </x:c>
      <x:c r="D9" s="75" t="n">
        <x:v>4</x:v>
      </x:c>
      <x:c r="E9" s="75" t="str">
        <x:v>CW-04</x:v>
      </x:c>
      <x:c r="F9" s="86" t="str">
        <x:v>Service Technical College</x:v>
      </x:c>
      <x:c r="G9" s="86" t="str">
        <x:v>Independent Root House</x:v>
      </x:c>
      <x:c r="H9" s="88" t="n">
        <x:v>0.12</x:v>
      </x:c>
      <x:c r="I9" s="85" t="n">
        <x:f>INDEX('Root Registry'!$G$6:$G$29,MATCH(B9,'Root Registry'!$A$6:$A$29,0))</x:f>
        <x:v>22.25</x:v>
      </x:c>
      <x:c r="J9" s="75" t="str">
        <x:f>INDEX('Root Registry'!$D$6:$D$29,MATCH(B9,'Root Registry'!$A$6:$A$29,0))</x:f>
      </x:c>
      <x:c r="K9" s="75" t="str">
        <x:f>INDEX('Root Registry'!$F$6:$F$29,MATCH(B9,'Root Registry'!$A$6:$A$29,0))</x:f>
      </x:c>
      <x:c r="L9" s="43" t="str"/>
      <x:c r="M9" s="43" t="str"/>
      <x:c r="N9" s="43" t="str"/>
      <x:c r="O9" s="43" t="str"/>
      <x:c r="P9" s="43" t="str"/>
      <x:c r="Q9" s="75" t="str">
        <x:f>S8</x:f>
        <x:v>SOURCE EMPTY</x:v>
      </x:c>
      <x:c r="R9" s="75" t="str">
        <x:f>IF(L9="","SOURCE EMPTY",IF(L9=J9,"ROOT COLLISION",IF(AND(M9&lt;&gt;"",M9=L9),"DUAL-KEY COLLISION","CLEAR")))</x:f>
        <x:v>SOURCE EMPTY</x:v>
      </x:c>
      <x:c r="S9" s="75" t="str">
        <x:f>IF(OR(J9="",L9="",M9="",N9="",O9=""),"SOURCE EMPTY",IF(AND(OR(D9=4,D9=5,D9=8),K9=""),"SOURCE EMPTY",IF(R9&lt;&gt;"CLEAR","COLLISION",IF(P9&lt;&gt;"","ROLLBACK",IF(O9&lt;&gt;"ACCEPT","HOLD",IF(OR(D9=1,Q9="ACCEPTED"),"ACCEPTED","SEQUENCE HOLD"))))))</x:f>
        <x:v>SOURCE EMPTY</x:v>
      </x:c>
      <x:c r="T9" s="85" t="n">
        <x:f>IF(S9="ACCEPTED",H9*I9,0)</x:f>
        <x:v>0</x:v>
      </x:c>
      <x:c r="U9" s="75"/>
      <x:c r="V9" s="75"/>
      <x:c r="W9" s="75"/>
      <x:c r="X9" s="75"/>
      <x:c r="Y9" s="75"/>
      <x:c r="Z9" s="75"/>
    </x:row>
    <x:row r="10" ht="20" customHeight="1">
      <x:c r="A10" s="86" t="str">
        <x:v>MS-ET-A-TW-05</x:v>
      </x:c>
      <x:c r="B10" s="75" t="str">
        <x:v>MS-ET-A</x:v>
      </x:c>
      <x:c r="C10" s="75" t="str">
        <x:v>MS-ET</x:v>
      </x:c>
      <x:c r="D10" s="75" t="n">
        <x:v>5</x:v>
      </x:c>
      <x:c r="E10" s="75" t="str">
        <x:v>TW-05</x:v>
      </x:c>
      <x:c r="F10" s="86" t="str">
        <x:v>Service Technical College</x:v>
      </x:c>
      <x:c r="G10" s="86" t="str">
        <x:v>Public Protection Inspectorate</x:v>
      </x:c>
      <x:c r="H10" s="88" t="n">
        <x:v>0.08</x:v>
      </x:c>
      <x:c r="I10" s="85" t="n">
        <x:f>INDEX('Root Registry'!$G$6:$G$29,MATCH(B10,'Root Registry'!$A$6:$A$29,0))</x:f>
        <x:v>22.25</x:v>
      </x:c>
      <x:c r="J10" s="75" t="str">
        <x:f>INDEX('Root Registry'!$D$6:$D$29,MATCH(B10,'Root Registry'!$A$6:$A$29,0))</x:f>
      </x:c>
      <x:c r="K10" s="75" t="str">
        <x:f>INDEX('Root Registry'!$F$6:$F$29,MATCH(B10,'Root Registry'!$A$6:$A$29,0))</x:f>
      </x:c>
      <x:c r="L10" s="43" t="str"/>
      <x:c r="M10" s="43" t="str"/>
      <x:c r="N10" s="43" t="str"/>
      <x:c r="O10" s="43" t="str"/>
      <x:c r="P10" s="43" t="str"/>
      <x:c r="Q10" s="75" t="str">
        <x:f>S9</x:f>
        <x:v>SOURCE EMPTY</x:v>
      </x:c>
      <x:c r="R10" s="75" t="str">
        <x:f>IF(L10="","SOURCE EMPTY",IF(L10=J10,"ROOT COLLISION",IF(AND(M10&lt;&gt;"",M10=L10),"DUAL-KEY COLLISION","CLEAR")))</x:f>
        <x:v>SOURCE EMPTY</x:v>
      </x:c>
      <x:c r="S10" s="75" t="str">
        <x:f>IF(OR(J10="",L10="",M10="",N10="",O10=""),"SOURCE EMPTY",IF(AND(OR(D10=4,D10=5,D10=8),K10=""),"SOURCE EMPTY",IF(R10&lt;&gt;"CLEAR","COLLISION",IF(P10&lt;&gt;"","ROLLBACK",IF(O10&lt;&gt;"ACCEPT","HOLD",IF(OR(D10=1,Q10="ACCEPTED"),"ACCEPTED","SEQUENCE HOLD"))))))</x:f>
        <x:v>SOURCE EMPTY</x:v>
      </x:c>
      <x:c r="T10" s="85" t="n">
        <x:f>IF(S10="ACCEPTED",H10*I10,0)</x:f>
        <x:v>0</x:v>
      </x:c>
      <x:c r="U10" s="75"/>
      <x:c r="V10" s="75"/>
      <x:c r="W10" s="75"/>
      <x:c r="X10" s="75"/>
      <x:c r="Y10" s="75"/>
      <x:c r="Z10" s="75"/>
    </x:row>
    <x:row r="11" ht="20" customHeight="1">
      <x:c r="A11" s="86" t="str">
        <x:v>MS-ET-A-EW-06</x:v>
      </x:c>
      <x:c r="B11" s="75" t="str">
        <x:v>MS-ET-A</x:v>
      </x:c>
      <x:c r="C11" s="75" t="str">
        <x:v>MS-ET</x:v>
      </x:c>
      <x:c r="D11" s="75" t="n">
        <x:v>6</x:v>
      </x:c>
      <x:c r="E11" s="75" t="str">
        <x:v>EW-06</x:v>
      </x:c>
      <x:c r="F11" s="86" t="str">
        <x:v>Resilience Proving Service</x:v>
      </x:c>
      <x:c r="G11" s="86" t="str">
        <x:v>Public Effect College</x:v>
      </x:c>
      <x:c r="H11" s="88" t="n">
        <x:v>0.2</x:v>
      </x:c>
      <x:c r="I11" s="85" t="n">
        <x:f>INDEX('Root Registry'!$G$6:$G$29,MATCH(B11,'Root Registry'!$A$6:$A$29,0))</x:f>
        <x:v>22.25</x:v>
      </x:c>
      <x:c r="J11" s="75" t="str">
        <x:f>INDEX('Root Registry'!$D$6:$D$29,MATCH(B11,'Root Registry'!$A$6:$A$29,0))</x:f>
      </x:c>
      <x:c r="K11" s="75" t="str">
        <x:f>INDEX('Root Registry'!$F$6:$F$29,MATCH(B11,'Root Registry'!$A$6:$A$29,0))</x:f>
      </x:c>
      <x:c r="L11" s="43" t="str"/>
      <x:c r="M11" s="43" t="str"/>
      <x:c r="N11" s="43" t="str"/>
      <x:c r="O11" s="43" t="str"/>
      <x:c r="P11" s="43" t="str"/>
      <x:c r="Q11" s="75" t="str">
        <x:f>S10</x:f>
        <x:v>SOURCE EMPTY</x:v>
      </x:c>
      <x:c r="R11" s="75" t="str">
        <x:f>IF(L11="","SOURCE EMPTY",IF(L11=J11,"ROOT COLLISION",IF(AND(M11&lt;&gt;"",M11=L11),"DUAL-KEY COLLISION","CLEAR")))</x:f>
        <x:v>SOURCE EMPTY</x:v>
      </x:c>
      <x:c r="S11" s="75" t="str">
        <x:f>IF(OR(J11="",L11="",M11="",N11="",O11=""),"SOURCE EMPTY",IF(AND(OR(D11=4,D11=5,D11=8),K11=""),"SOURCE EMPTY",IF(R11&lt;&gt;"CLEAR","COLLISION",IF(P11&lt;&gt;"","ROLLBACK",IF(O11&lt;&gt;"ACCEPT","HOLD",IF(OR(D11=1,Q11="ACCEPTED"),"ACCEPTED","SEQUENCE HOLD"))))))</x:f>
        <x:v>SOURCE EMPTY</x:v>
      </x:c>
      <x:c r="T11" s="85" t="n">
        <x:f>IF(S11="ACCEPTED",H11*I11,0)</x:f>
        <x:v>0</x:v>
      </x:c>
      <x:c r="U11" s="75"/>
      <x:c r="V11" s="75"/>
      <x:c r="W11" s="75"/>
      <x:c r="X11" s="75"/>
      <x:c r="Y11" s="75"/>
      <x:c r="Z11" s="75"/>
    </x:row>
    <x:row r="12" ht="20" customHeight="1">
      <x:c r="A12" s="86" t="str">
        <x:v>MS-ET-A-IW-07</x:v>
      </x:c>
      <x:c r="B12" s="75" t="str">
        <x:v>MS-ET-A</x:v>
      </x:c>
      <x:c r="C12" s="75" t="str">
        <x:v>MS-ET</x:v>
      </x:c>
      <x:c r="D12" s="75" t="n">
        <x:v>7</x:v>
      </x:c>
      <x:c r="E12" s="75" t="str">
        <x:v>IW-07</x:v>
      </x:c>
      <x:c r="F12" s="86" t="str">
        <x:v>Industrial Mobilization Administration</x:v>
      </x:c>
      <x:c r="G12" s="86" t="str">
        <x:v>Reconstruction Command</x:v>
      </x:c>
      <x:c r="H12" s="88" t="n">
        <x:v>0.15</x:v>
      </x:c>
      <x:c r="I12" s="85" t="n">
        <x:f>INDEX('Root Registry'!$G$6:$G$29,MATCH(B12,'Root Registry'!$A$6:$A$29,0))</x:f>
        <x:v>22.25</x:v>
      </x:c>
      <x:c r="J12" s="75" t="str">
        <x:f>INDEX('Root Registry'!$D$6:$D$29,MATCH(B12,'Root Registry'!$A$6:$A$29,0))</x:f>
      </x:c>
      <x:c r="K12" s="75" t="str">
        <x:f>INDEX('Root Registry'!$F$6:$F$29,MATCH(B12,'Root Registry'!$A$6:$A$29,0))</x:f>
      </x:c>
      <x:c r="L12" s="43" t="str"/>
      <x:c r="M12" s="43" t="str"/>
      <x:c r="N12" s="43" t="str"/>
      <x:c r="O12" s="43" t="str"/>
      <x:c r="P12" s="43" t="str"/>
      <x:c r="Q12" s="75" t="str">
        <x:f>S11</x:f>
        <x:v>SOURCE EMPTY</x:v>
      </x:c>
      <x:c r="R12" s="75" t="str">
        <x:f>IF(L12="","SOURCE EMPTY",IF(L12=J12,"ROOT COLLISION",IF(AND(M12&lt;&gt;"",M12=L12),"DUAL-KEY COLLISION","CLEAR")))</x:f>
        <x:v>SOURCE EMPTY</x:v>
      </x:c>
      <x:c r="S12" s="75" t="str">
        <x:f>IF(OR(J12="",L12="",M12="",N12="",O12=""),"SOURCE EMPTY",IF(AND(OR(D12=4,D12=5,D12=8),K12=""),"SOURCE EMPTY",IF(R12&lt;&gt;"CLEAR","COLLISION",IF(P12&lt;&gt;"","ROLLBACK",IF(O12&lt;&gt;"ACCEPT","HOLD",IF(OR(D12=1,Q12="ACCEPTED"),"ACCEPTED","SEQUENCE HOLD"))))))</x:f>
        <x:v>SOURCE EMPTY</x:v>
      </x:c>
      <x:c r="T12" s="85" t="n">
        <x:f>IF(S12="ACCEPTED",H12*I12,0)</x:f>
        <x:v>0</x:v>
      </x:c>
      <x:c r="U12" s="75"/>
      <x:c r="V12" s="75"/>
      <x:c r="W12" s="75"/>
      <x:c r="X12" s="75"/>
      <x:c r="Y12" s="75"/>
      <x:c r="Z12" s="75"/>
    </x:row>
    <x:row r="13" ht="20" customHeight="1">
      <x:c r="A13" s="86" t="str">
        <x:v>MS-ET-A-CW-08</x:v>
      </x:c>
      <x:c r="B13" s="75" t="str">
        <x:v>MS-ET-A</x:v>
      </x:c>
      <x:c r="C13" s="75" t="str">
        <x:v>MS-ET</x:v>
      </x:c>
      <x:c r="D13" s="75" t="n">
        <x:v>8</x:v>
      </x:c>
      <x:c r="E13" s="75" t="str">
        <x:v>CW-08</x:v>
      </x:c>
      <x:c r="F13" s="86" t="str">
        <x:v>Operating Services</x:v>
      </x:c>
      <x:c r="G13" s="86" t="str">
        <x:v>Joint Capacity Authority</x:v>
      </x:c>
      <x:c r="H13" s="88" t="n">
        <x:v>0.12</x:v>
      </x:c>
      <x:c r="I13" s="85" t="n">
        <x:f>INDEX('Root Registry'!$G$6:$G$29,MATCH(B13,'Root Registry'!$A$6:$A$29,0))</x:f>
        <x:v>22.25</x:v>
      </x:c>
      <x:c r="J13" s="75" t="str">
        <x:f>INDEX('Root Registry'!$D$6:$D$29,MATCH(B13,'Root Registry'!$A$6:$A$29,0))</x:f>
      </x:c>
      <x:c r="K13" s="75" t="str">
        <x:f>INDEX('Root Registry'!$F$6:$F$29,MATCH(B13,'Root Registry'!$A$6:$A$29,0))</x:f>
      </x:c>
      <x:c r="L13" s="43" t="str"/>
      <x:c r="M13" s="43" t="str"/>
      <x:c r="N13" s="43" t="str"/>
      <x:c r="O13" s="43" t="str"/>
      <x:c r="P13" s="43" t="str"/>
      <x:c r="Q13" s="75" t="str">
        <x:f>S12</x:f>
        <x:v>SOURCE EMPTY</x:v>
      </x:c>
      <x:c r="R13" s="75" t="str">
        <x:f>IF(L13="","SOURCE EMPTY",IF(L13=J13,"ROOT COLLISION",IF(AND(M13&lt;&gt;"",M13=L13),"DUAL-KEY COLLISION","CLEAR")))</x:f>
        <x:v>SOURCE EMPTY</x:v>
      </x:c>
      <x:c r="S13" s="75" t="str">
        <x:f>IF(OR(J13="",L13="",M13="",N13="",O13=""),"SOURCE EMPTY",IF(AND(OR(D13=4,D13=5,D13=8),K13=""),"SOURCE EMPTY",IF(R13&lt;&gt;"CLEAR","COLLISION",IF(P13&lt;&gt;"","ROLLBACK",IF(O13&lt;&gt;"ACCEPT","HOLD",IF(OR(D13=1,Q13="ACCEPTED"),"ACCEPTED","SEQUENCE HOLD"))))))</x:f>
        <x:v>SOURCE EMPTY</x:v>
      </x:c>
      <x:c r="T13" s="85" t="n">
        <x:f>IF(S13="ACCEPTED",H13*I13,0)</x:f>
        <x:v>0</x:v>
      </x:c>
      <x:c r="U13" s="75"/>
      <x:c r="V13" s="75"/>
      <x:c r="W13" s="75"/>
      <x:c r="X13" s="75"/>
      <x:c r="Y13" s="75"/>
      <x:c r="Z13" s="75"/>
    </x:row>
    <x:row r="14" ht="20" customHeight="1">
      <x:c r="A14" s="86" t="str">
        <x:v>MS-ET-A-RW-09</x:v>
      </x:c>
      <x:c r="B14" s="75" t="str">
        <x:v>MS-ET-A</x:v>
      </x:c>
      <x:c r="C14" s="75" t="str">
        <x:v>MS-ET</x:v>
      </x:c>
      <x:c r="D14" s="75" t="n">
        <x:v>9</x:v>
      </x:c>
      <x:c r="E14" s="75" t="str">
        <x:v>RW-09</x:v>
      </x:c>
      <x:c r="F14" s="86" t="str">
        <x:v>Joint Capacity Authority</x:v>
      </x:c>
      <x:c r="G14" s="86" t="str">
        <x:v>Department Comptroller</x:v>
      </x:c>
      <x:c r="H14" s="88" t="n">
        <x:v>0.08</x:v>
      </x:c>
      <x:c r="I14" s="85" t="n">
        <x:f>INDEX('Root Registry'!$G$6:$G$29,MATCH(B14,'Root Registry'!$A$6:$A$29,0))</x:f>
        <x:v>22.25</x:v>
      </x:c>
      <x:c r="J14" s="75" t="str">
        <x:f>INDEX('Root Registry'!$D$6:$D$29,MATCH(B14,'Root Registry'!$A$6:$A$29,0))</x:f>
      </x:c>
      <x:c r="K14" s="75" t="str">
        <x:f>INDEX('Root Registry'!$F$6:$F$29,MATCH(B14,'Root Registry'!$A$6:$A$29,0))</x:f>
      </x:c>
      <x:c r="L14" s="43" t="str"/>
      <x:c r="M14" s="43" t="str"/>
      <x:c r="N14" s="43" t="str"/>
      <x:c r="O14" s="43" t="str"/>
      <x:c r="P14" s="43" t="str"/>
      <x:c r="Q14" s="75" t="str">
        <x:f>S13</x:f>
        <x:v>SOURCE EMPTY</x:v>
      </x:c>
      <x:c r="R14" s="75" t="str">
        <x:f>IF(L14="","SOURCE EMPTY",IF(L14=J14,"ROOT COLLISION",IF(AND(M14&lt;&gt;"",M14=L14),"DUAL-KEY COLLISION","CLEAR")))</x:f>
        <x:v>SOURCE EMPTY</x:v>
      </x:c>
      <x:c r="S14" s="75" t="str">
        <x:f>IF(OR(J14="",L14="",M14="",N14="",O14=""),"SOURCE EMPTY",IF(AND(OR(D14=4,D14=5,D14=8),K14=""),"SOURCE EMPTY",IF(R14&lt;&gt;"CLEAR","COLLISION",IF(P14&lt;&gt;"","ROLLBACK",IF(O14&lt;&gt;"ACCEPT","HOLD",IF(OR(D14=1,Q14="ACCEPTED"),"ACCEPTED","SEQUENCE HOLD"))))))</x:f>
        <x:v>SOURCE EMPTY</x:v>
      </x:c>
      <x:c r="T14" s="85" t="n">
        <x:f>IF(S14="ACCEPTED",H14*I14,0)</x:f>
        <x:v>0</x:v>
      </x:c>
      <x:c r="U14" s="75"/>
      <x:c r="V14" s="75"/>
      <x:c r="W14" s="75"/>
      <x:c r="X14" s="75"/>
      <x:c r="Y14" s="75"/>
      <x:c r="Z14" s="75"/>
    </x:row>
    <x:row r="15" ht="20" customHeight="1">
      <x:c r="A15" s="86" t="str">
        <x:v>MS-ET-A-OW-10</x:v>
      </x:c>
      <x:c r="B15" s="75" t="str">
        <x:v>MS-ET-A</x:v>
      </x:c>
      <x:c r="C15" s="75" t="str">
        <x:v>MS-ET</x:v>
      </x:c>
      <x:c r="D15" s="75" t="n">
        <x:v>10</x:v>
      </x:c>
      <x:c r="E15" s="75" t="str">
        <x:v>OW-10</x:v>
      </x:c>
      <x:c r="F15" s="86" t="str">
        <x:v>Operational Command</x:v>
      </x:c>
      <x:c r="G15" s="86" t="str">
        <x:v>Civil Resilience Authority</x:v>
      </x:c>
      <x:c r="H15" s="88" t="n">
        <x:v>0.05</x:v>
      </x:c>
      <x:c r="I15" s="85" t="n">
        <x:f>INDEX('Root Registry'!$G$6:$G$29,MATCH(B15,'Root Registry'!$A$6:$A$29,0))</x:f>
        <x:v>22.25</x:v>
      </x:c>
      <x:c r="J15" s="75" t="str">
        <x:f>INDEX('Root Registry'!$D$6:$D$29,MATCH(B15,'Root Registry'!$A$6:$A$29,0))</x:f>
      </x:c>
      <x:c r="K15" s="75" t="str">
        <x:f>INDEX('Root Registry'!$F$6:$F$29,MATCH(B15,'Root Registry'!$A$6:$A$29,0))</x:f>
      </x:c>
      <x:c r="L15" s="43" t="str"/>
      <x:c r="M15" s="43" t="str"/>
      <x:c r="N15" s="43" t="str"/>
      <x:c r="O15" s="43" t="str"/>
      <x:c r="P15" s="43" t="str"/>
      <x:c r="Q15" s="75" t="str">
        <x:f>S14</x:f>
        <x:v>SOURCE EMPTY</x:v>
      </x:c>
      <x:c r="R15" s="75" t="str">
        <x:f>IF(L15="","SOURCE EMPTY",IF(L15=J15,"ROOT COLLISION",IF(AND(M15&lt;&gt;"",M15=L15),"DUAL-KEY COLLISION","CLEAR")))</x:f>
        <x:v>SOURCE EMPTY</x:v>
      </x:c>
      <x:c r="S15" s="75" t="str">
        <x:f>IF(OR(J15="",L15="",M15="",N15="",O15=""),"SOURCE EMPTY",IF(AND(OR(D15=4,D15=5,D15=8),K15=""),"SOURCE EMPTY",IF(R15&lt;&gt;"CLEAR","COLLISION",IF(P15&lt;&gt;"","ROLLBACK",IF(O15&lt;&gt;"ACCEPT","HOLD",IF(OR(D15=1,Q15="ACCEPTED"),"ACCEPTED","SEQUENCE HOLD"))))))</x:f>
        <x:v>SOURCE EMPTY</x:v>
      </x:c>
      <x:c r="T15" s="85" t="n">
        <x:f>IF(S15="ACCEPTED",H15*I15,0)</x:f>
        <x:v>0</x:v>
      </x:c>
      <x:c r="U15" s="75"/>
      <x:c r="V15" s="75"/>
      <x:c r="W15" s="75"/>
      <x:c r="X15" s="75"/>
      <x:c r="Y15" s="75"/>
      <x:c r="Z15" s="75"/>
    </x:row>
    <x:row r="16" ht="20" customHeight="1">
      <x:c r="A16" s="86" t="str">
        <x:v>MS-ET-A-SW-11</x:v>
      </x:c>
      <x:c r="B16" s="75" t="str">
        <x:v>MS-ET-A</x:v>
      </x:c>
      <x:c r="C16" s="75" t="str">
        <x:v>MS-ET</x:v>
      </x:c>
      <x:c r="D16" s="75" t="n">
        <x:v>11</x:v>
      </x:c>
      <x:c r="E16" s="75" t="str">
        <x:v>SW-11</x:v>
      </x:c>
      <x:c r="F16" s="86" t="str">
        <x:v>Civil Resilience Authority</x:v>
      </x:c>
      <x:c r="G16" s="86" t="str">
        <x:v>Affected Civil Authority</x:v>
      </x:c>
      <x:c r="H16" s="88" t="n">
        <x:v>0.07</x:v>
      </x:c>
      <x:c r="I16" s="85" t="n">
        <x:f>INDEX('Root Registry'!$G$6:$G$29,MATCH(B16,'Root Registry'!$A$6:$A$29,0))</x:f>
        <x:v>22.25</x:v>
      </x:c>
      <x:c r="J16" s="75" t="str">
        <x:f>INDEX('Root Registry'!$D$6:$D$29,MATCH(B16,'Root Registry'!$A$6:$A$29,0))</x:f>
      </x:c>
      <x:c r="K16" s="75" t="str">
        <x:f>INDEX('Root Registry'!$F$6:$F$29,MATCH(B16,'Root Registry'!$A$6:$A$29,0))</x:f>
      </x:c>
      <x:c r="L16" s="43" t="str"/>
      <x:c r="M16" s="43" t="str"/>
      <x:c r="N16" s="43" t="str"/>
      <x:c r="O16" s="43" t="str"/>
      <x:c r="P16" s="43" t="str"/>
      <x:c r="Q16" s="75" t="str">
        <x:f>S15</x:f>
        <x:v>SOURCE EMPTY</x:v>
      </x:c>
      <x:c r="R16" s="75" t="str">
        <x:f>IF(L16="","SOURCE EMPTY",IF(L16=J16,"ROOT COLLISION",IF(AND(M16&lt;&gt;"",M16=L16),"DUAL-KEY COLLISION","CLEAR")))</x:f>
        <x:v>SOURCE EMPTY</x:v>
      </x:c>
      <x:c r="S16" s="75" t="str">
        <x:f>IF(OR(J16="",L16="",M16="",N16="",O16=""),"SOURCE EMPTY",IF(AND(OR(D16=4,D16=5,D16=8),K16=""),"SOURCE EMPTY",IF(R16&lt;&gt;"CLEAR","COLLISION",IF(P16&lt;&gt;"","ROLLBACK",IF(O16&lt;&gt;"ACCEPT","HOLD",IF(OR(D16=1,Q16="ACCEPTED"),"ACCEPTED","SEQUENCE HOLD"))))))</x:f>
        <x:v>SOURCE EMPTY</x:v>
      </x:c>
      <x:c r="T16" s="85" t="n">
        <x:f>IF(S16="ACCEPTED",H16*I16,0)</x:f>
        <x:v>0</x:v>
      </x:c>
      <x:c r="U16" s="75"/>
      <x:c r="V16" s="75"/>
      <x:c r="W16" s="75"/>
      <x:c r="X16" s="75"/>
      <x:c r="Y16" s="75"/>
      <x:c r="Z16" s="75"/>
    </x:row>
    <x:row r="17" ht="20" customHeight="1">
      <x:c r="A17" s="86" t="str">
        <x:v>MS-ET-A-GW-12</x:v>
      </x:c>
      <x:c r="B17" s="75" t="str">
        <x:v>MS-ET-A</x:v>
      </x:c>
      <x:c r="C17" s="75" t="str">
        <x:v>MS-ET</x:v>
      </x:c>
      <x:c r="D17" s="75" t="n">
        <x:v>12</x:v>
      </x:c>
      <x:c r="E17" s="75" t="str">
        <x:v>GW-12</x:v>
      </x:c>
      <x:c r="F17" s="86" t="str">
        <x:v>Strategic Sustainment Command</x:v>
      </x:c>
      <x:c r="G17" s="86" t="str">
        <x:v>Joint Capacity Authority</x:v>
      </x:c>
      <x:c r="H17" s="88" t="n">
        <x:v>0.05</x:v>
      </x:c>
      <x:c r="I17" s="85" t="n">
        <x:f>INDEX('Root Registry'!$G$6:$G$29,MATCH(B17,'Root Registry'!$A$6:$A$29,0))</x:f>
        <x:v>22.25</x:v>
      </x:c>
      <x:c r="J17" s="75" t="str">
        <x:f>INDEX('Root Registry'!$D$6:$D$29,MATCH(B17,'Root Registry'!$A$6:$A$29,0))</x:f>
      </x:c>
      <x:c r="K17" s="75" t="str">
        <x:f>INDEX('Root Registry'!$F$6:$F$29,MATCH(B17,'Root Registry'!$A$6:$A$29,0))</x:f>
      </x:c>
      <x:c r="L17" s="43" t="str"/>
      <x:c r="M17" s="43" t="str"/>
      <x:c r="N17" s="43" t="str"/>
      <x:c r="O17" s="43" t="str"/>
      <x:c r="P17" s="43" t="str"/>
      <x:c r="Q17" s="75" t="str">
        <x:f>S16</x:f>
        <x:v>SOURCE EMPTY</x:v>
      </x:c>
      <x:c r="R17" s="75" t="str">
        <x:f>IF(L17="","SOURCE EMPTY",IF(L17=J17,"ROOT COLLISION",IF(AND(M17&lt;&gt;"",M17=L17),"DUAL-KEY COLLISION","CLEAR")))</x:f>
        <x:v>SOURCE EMPTY</x:v>
      </x:c>
      <x:c r="S17" s="75" t="str">
        <x:f>IF(OR(J17="",L17="",M17="",N17="",O17=""),"SOURCE EMPTY",IF(AND(OR(D17=4,D17=5,D17=8),K17=""),"SOURCE EMPTY",IF(R17&lt;&gt;"CLEAR","COLLISION",IF(P17&lt;&gt;"","ROLLBACK",IF(O17&lt;&gt;"ACCEPT","HOLD",IF(OR(D17=1,Q17="ACCEPTED"),"ACCEPTED","SEQUENCE HOLD"))))))</x:f>
        <x:v>SOURCE EMPTY</x:v>
      </x:c>
      <x:c r="T17" s="85" t="n">
        <x:f>IF(S17="ACCEPTED",H17*I17,0)</x:f>
        <x:v>0</x:v>
      </x:c>
      <x:c r="U17" s="75"/>
      <x:c r="V17" s="75"/>
      <x:c r="W17" s="75"/>
      <x:c r="X17" s="75"/>
      <x:c r="Y17" s="75"/>
      <x:c r="Z17" s="75"/>
    </x:row>
    <x:row r="18" ht="20" customHeight="1">
      <x:c r="A18" s="86" t="str">
        <x:v>MS-ET-B-PW-01</x:v>
      </x:c>
      <x:c r="B18" s="75" t="str">
        <x:v>MS-ET-B</x:v>
      </x:c>
      <x:c r="C18" s="75" t="str">
        <x:v>MS-ET</x:v>
      </x:c>
      <x:c r="D18" s="75" t="n">
        <x:v>1</x:v>
      </x:c>
      <x:c r="E18" s="75" t="str">
        <x:v>PW-01</x:v>
      </x:c>
      <x:c r="F18" s="86" t="str">
        <x:v>Civil Resilience Authority</x:v>
      </x:c>
      <x:c r="G18" s="86" t="str">
        <x:v>Public Effect College</x:v>
      </x:c>
      <x:c r="H18" s="88" t="n">
        <x:v>0.01</x:v>
      </x:c>
      <x:c r="I18" s="85" t="n">
        <x:f>INDEX('Root Registry'!$G$6:$G$29,MATCH(B18,'Root Registry'!$A$6:$A$29,0))</x:f>
        <x:v>22.25</x:v>
      </x:c>
      <x:c r="J18" s="75" t="str">
        <x:f>INDEX('Root Registry'!$D$6:$D$29,MATCH(B18,'Root Registry'!$A$6:$A$29,0))</x:f>
      </x:c>
      <x:c r="K18" s="75" t="str">
        <x:f>INDEX('Root Registry'!$F$6:$F$29,MATCH(B18,'Root Registry'!$A$6:$A$29,0))</x:f>
      </x:c>
      <x:c r="L18" s="43" t="str"/>
      <x:c r="M18" s="43" t="str"/>
      <x:c r="N18" s="43" t="str"/>
      <x:c r="O18" s="43" t="str"/>
      <x:c r="P18" s="43" t="str"/>
      <x:c r="Q18" s="75" t="str">
        <x:f>"ORIGIN"</x:f>
        <x:v>ORIGIN</x:v>
      </x:c>
      <x:c r="R18" s="75" t="str">
        <x:f>IF(L18="","SOURCE EMPTY",IF(L18=J18,"ROOT COLLISION",IF(AND(M18&lt;&gt;"",M18=L18),"DUAL-KEY COLLISION","CLEAR")))</x:f>
        <x:v>SOURCE EMPTY</x:v>
      </x:c>
      <x:c r="S18" s="75" t="str">
        <x:f>IF(OR(J18="",L18="",M18="",N18="",O18=""),"SOURCE EMPTY",IF(AND(OR(D18=4,D18=5,D18=8),K18=""),"SOURCE EMPTY",IF(R18&lt;&gt;"CLEAR","COLLISION",IF(P18&lt;&gt;"","ROLLBACK",IF(O18&lt;&gt;"ACCEPT","HOLD",IF(OR(D18=1,Q18="ACCEPTED"),"ACCEPTED","SEQUENCE HOLD"))))))</x:f>
        <x:v>SOURCE EMPTY</x:v>
      </x:c>
      <x:c r="T18" s="85" t="n">
        <x:f>IF(S18="ACCEPTED",H18*I18,0)</x:f>
        <x:v>0</x:v>
      </x:c>
      <x:c r="U18" s="75"/>
      <x:c r="V18" s="75"/>
      <x:c r="W18" s="75"/>
      <x:c r="X18" s="75"/>
      <x:c r="Y18" s="75"/>
      <x:c r="Z18" s="75"/>
    </x:row>
    <x:row r="19" ht="20" customHeight="1">
      <x:c r="A19" s="86" t="str">
        <x:v>MS-ET-B-MW-02</x:v>
      </x:c>
      <x:c r="B19" s="75" t="str">
        <x:v>MS-ET-B</x:v>
      </x:c>
      <x:c r="C19" s="75" t="str">
        <x:v>MS-ET</x:v>
      </x:c>
      <x:c r="D19" s="75" t="n">
        <x:v>2</x:v>
      </x:c>
      <x:c r="E19" s="75" t="str">
        <x:v>MW-02</x:v>
      </x:c>
      <x:c r="F19" s="86" t="str">
        <x:v>Mission System Command</x:v>
      </x:c>
      <x:c r="G19" s="86" t="str">
        <x:v>Civil Resilience Authority</x:v>
      </x:c>
      <x:c r="H19" s="88" t="n">
        <x:v>0.02</x:v>
      </x:c>
      <x:c r="I19" s="85" t="n">
        <x:f>INDEX('Root Registry'!$G$6:$G$29,MATCH(B19,'Root Registry'!$A$6:$A$29,0))</x:f>
        <x:v>22.25</x:v>
      </x:c>
      <x:c r="J19" s="75" t="str">
        <x:f>INDEX('Root Registry'!$D$6:$D$29,MATCH(B19,'Root Registry'!$A$6:$A$29,0))</x:f>
      </x:c>
      <x:c r="K19" s="75" t="str">
        <x:f>INDEX('Root Registry'!$F$6:$F$29,MATCH(B19,'Root Registry'!$A$6:$A$29,0))</x:f>
      </x:c>
      <x:c r="L19" s="43" t="str"/>
      <x:c r="M19" s="43" t="str"/>
      <x:c r="N19" s="43" t="str"/>
      <x:c r="O19" s="43" t="str"/>
      <x:c r="P19" s="43" t="str"/>
      <x:c r="Q19" s="75" t="str">
        <x:f>S18</x:f>
        <x:v>SOURCE EMPTY</x:v>
      </x:c>
      <x:c r="R19" s="75" t="str">
        <x:f>IF(L19="","SOURCE EMPTY",IF(L19=J19,"ROOT COLLISION",IF(AND(M19&lt;&gt;"",M19=L19),"DUAL-KEY COLLISION","CLEAR")))</x:f>
        <x:v>SOURCE EMPTY</x:v>
      </x:c>
      <x:c r="S19" s="75" t="str">
        <x:f>IF(OR(J19="",L19="",M19="",N19="",O19=""),"SOURCE EMPTY",IF(AND(OR(D19=4,D19=5,D19=8),K19=""),"SOURCE EMPTY",IF(R19&lt;&gt;"CLEAR","COLLISION",IF(P19&lt;&gt;"","ROLLBACK",IF(O19&lt;&gt;"ACCEPT","HOLD",IF(OR(D19=1,Q19="ACCEPTED"),"ACCEPTED","SEQUENCE HOLD"))))))</x:f>
        <x:v>SOURCE EMPTY</x:v>
      </x:c>
      <x:c r="T19" s="85" t="n">
        <x:f>IF(S19="ACCEPTED",H19*I19,0)</x:f>
        <x:v>0</x:v>
      </x:c>
      <x:c r="U19" s="75"/>
      <x:c r="V19" s="75"/>
      <x:c r="W19" s="75"/>
      <x:c r="X19" s="75"/>
      <x:c r="Y19" s="75"/>
      <x:c r="Z19" s="75"/>
    </x:row>
    <x:row r="20" ht="20" customHeight="1">
      <x:c r="A20" s="86" t="str">
        <x:v>MS-ET-B-FW-03</x:v>
      </x:c>
      <x:c r="B20" s="75" t="str">
        <x:v>MS-ET-B</x:v>
      </x:c>
      <x:c r="C20" s="75" t="str">
        <x:v>MS-ET</x:v>
      </x:c>
      <x:c r="D20" s="75" t="n">
        <x:v>3</x:v>
      </x:c>
      <x:c r="E20" s="75" t="str">
        <x:v>FW-03</x:v>
      </x:c>
      <x:c r="F20" s="86" t="str">
        <x:v>Department Capital Board</x:v>
      </x:c>
      <x:c r="G20" s="86" t="str">
        <x:v>Failure Reserve Trustee</x:v>
      </x:c>
      <x:c r="H20" s="88" t="n">
        <x:v>0.05</x:v>
      </x:c>
      <x:c r="I20" s="85" t="n">
        <x:f>INDEX('Root Registry'!$G$6:$G$29,MATCH(B20,'Root Registry'!$A$6:$A$29,0))</x:f>
        <x:v>22.25</x:v>
      </x:c>
      <x:c r="J20" s="75" t="str">
        <x:f>INDEX('Root Registry'!$D$6:$D$29,MATCH(B20,'Root Registry'!$A$6:$A$29,0))</x:f>
      </x:c>
      <x:c r="K20" s="75" t="str">
        <x:f>INDEX('Root Registry'!$F$6:$F$29,MATCH(B20,'Root Registry'!$A$6:$A$29,0))</x:f>
      </x:c>
      <x:c r="L20" s="43" t="str"/>
      <x:c r="M20" s="43" t="str"/>
      <x:c r="N20" s="43" t="str"/>
      <x:c r="O20" s="43" t="str"/>
      <x:c r="P20" s="43" t="str"/>
      <x:c r="Q20" s="75" t="str">
        <x:f>S19</x:f>
        <x:v>SOURCE EMPTY</x:v>
      </x:c>
      <x:c r="R20" s="75" t="str">
        <x:f>IF(L20="","SOURCE EMPTY",IF(L20=J20,"ROOT COLLISION",IF(AND(M20&lt;&gt;"",M20=L20),"DUAL-KEY COLLISION","CLEAR")))</x:f>
        <x:v>SOURCE EMPTY</x:v>
      </x:c>
      <x:c r="S20" s="75" t="str">
        <x:f>IF(OR(J20="",L20="",M20="",N20="",O20=""),"SOURCE EMPTY",IF(AND(OR(D20=4,D20=5,D20=8),K20=""),"SOURCE EMPTY",IF(R20&lt;&gt;"CLEAR","COLLISION",IF(P20&lt;&gt;"","ROLLBACK",IF(O20&lt;&gt;"ACCEPT","HOLD",IF(OR(D20=1,Q20="ACCEPTED"),"ACCEPTED","SEQUENCE HOLD"))))))</x:f>
        <x:v>SOURCE EMPTY</x:v>
      </x:c>
      <x:c r="T20" s="85" t="n">
        <x:f>IF(S20="ACCEPTED",H20*I20,0)</x:f>
        <x:v>0</x:v>
      </x:c>
      <x:c r="U20" s="75"/>
      <x:c r="V20" s="75"/>
      <x:c r="W20" s="75"/>
      <x:c r="X20" s="75"/>
      <x:c r="Y20" s="75"/>
      <x:c r="Z20" s="75"/>
    </x:row>
    <x:row r="21" ht="20" customHeight="1">
      <x:c r="A21" s="86" t="str">
        <x:v>MS-ET-B-CW-04</x:v>
      </x:c>
      <x:c r="B21" s="75" t="str">
        <x:v>MS-ET-B</x:v>
      </x:c>
      <x:c r="C21" s="75" t="str">
        <x:v>MS-ET</x:v>
      </x:c>
      <x:c r="D21" s="75" t="n">
        <x:v>4</x:v>
      </x:c>
      <x:c r="E21" s="75" t="str">
        <x:v>CW-04</x:v>
      </x:c>
      <x:c r="F21" s="86" t="str">
        <x:v>Service Technical College</x:v>
      </x:c>
      <x:c r="G21" s="86" t="str">
        <x:v>Independent Root House</x:v>
      </x:c>
      <x:c r="H21" s="88" t="n">
        <x:v>0.12</x:v>
      </x:c>
      <x:c r="I21" s="85" t="n">
        <x:f>INDEX('Root Registry'!$G$6:$G$29,MATCH(B21,'Root Registry'!$A$6:$A$29,0))</x:f>
        <x:v>22.25</x:v>
      </x:c>
      <x:c r="J21" s="75" t="str">
        <x:f>INDEX('Root Registry'!$D$6:$D$29,MATCH(B21,'Root Registry'!$A$6:$A$29,0))</x:f>
      </x:c>
      <x:c r="K21" s="75" t="str">
        <x:f>INDEX('Root Registry'!$F$6:$F$29,MATCH(B21,'Root Registry'!$A$6:$A$29,0))</x:f>
      </x:c>
      <x:c r="L21" s="43" t="str"/>
      <x:c r="M21" s="43" t="str"/>
      <x:c r="N21" s="43" t="str"/>
      <x:c r="O21" s="43" t="str"/>
      <x:c r="P21" s="43" t="str"/>
      <x:c r="Q21" s="75" t="str">
        <x:f>S20</x:f>
        <x:v>SOURCE EMPTY</x:v>
      </x:c>
      <x:c r="R21" s="75" t="str">
        <x:f>IF(L21="","SOURCE EMPTY",IF(L21=J21,"ROOT COLLISION",IF(AND(M21&lt;&gt;"",M21=L21),"DUAL-KEY COLLISION","CLEAR")))</x:f>
        <x:v>SOURCE EMPTY</x:v>
      </x:c>
      <x:c r="S21" s="75" t="str">
        <x:f>IF(OR(J21="",L21="",M21="",N21="",O21=""),"SOURCE EMPTY",IF(AND(OR(D21=4,D21=5,D21=8),K21=""),"SOURCE EMPTY",IF(R21&lt;&gt;"CLEAR","COLLISION",IF(P21&lt;&gt;"","ROLLBACK",IF(O21&lt;&gt;"ACCEPT","HOLD",IF(OR(D21=1,Q21="ACCEPTED"),"ACCEPTED","SEQUENCE HOLD"))))))</x:f>
        <x:v>SOURCE EMPTY</x:v>
      </x:c>
      <x:c r="T21" s="85" t="n">
        <x:f>IF(S21="ACCEPTED",H21*I21,0)</x:f>
        <x:v>0</x:v>
      </x:c>
      <x:c r="U21" s="75"/>
      <x:c r="V21" s="75"/>
      <x:c r="W21" s="75"/>
      <x:c r="X21" s="75"/>
      <x:c r="Y21" s="75"/>
      <x:c r="Z21" s="75"/>
    </x:row>
    <x:row r="22" ht="20" customHeight="1">
      <x:c r="A22" s="86" t="str">
        <x:v>MS-ET-B-TW-05</x:v>
      </x:c>
      <x:c r="B22" s="75" t="str">
        <x:v>MS-ET-B</x:v>
      </x:c>
      <x:c r="C22" s="75" t="str">
        <x:v>MS-ET</x:v>
      </x:c>
      <x:c r="D22" s="75" t="n">
        <x:v>5</x:v>
      </x:c>
      <x:c r="E22" s="75" t="str">
        <x:v>TW-05</x:v>
      </x:c>
      <x:c r="F22" s="86" t="str">
        <x:v>Service Technical College</x:v>
      </x:c>
      <x:c r="G22" s="86" t="str">
        <x:v>Public Protection Inspectorate</x:v>
      </x:c>
      <x:c r="H22" s="88" t="n">
        <x:v>0.08</x:v>
      </x:c>
      <x:c r="I22" s="85" t="n">
        <x:f>INDEX('Root Registry'!$G$6:$G$29,MATCH(B22,'Root Registry'!$A$6:$A$29,0))</x:f>
        <x:v>22.25</x:v>
      </x:c>
      <x:c r="J22" s="75" t="str">
        <x:f>INDEX('Root Registry'!$D$6:$D$29,MATCH(B22,'Root Registry'!$A$6:$A$29,0))</x:f>
      </x:c>
      <x:c r="K22" s="75" t="str">
        <x:f>INDEX('Root Registry'!$F$6:$F$29,MATCH(B22,'Root Registry'!$A$6:$A$29,0))</x:f>
      </x:c>
      <x:c r="L22" s="43" t="str"/>
      <x:c r="M22" s="43" t="str"/>
      <x:c r="N22" s="43" t="str"/>
      <x:c r="O22" s="43" t="str"/>
      <x:c r="P22" s="43" t="str"/>
      <x:c r="Q22" s="75" t="str">
        <x:f>S21</x:f>
        <x:v>SOURCE EMPTY</x:v>
      </x:c>
      <x:c r="R22" s="75" t="str">
        <x:f>IF(L22="","SOURCE EMPTY",IF(L22=J22,"ROOT COLLISION",IF(AND(M22&lt;&gt;"",M22=L22),"DUAL-KEY COLLISION","CLEAR")))</x:f>
        <x:v>SOURCE EMPTY</x:v>
      </x:c>
      <x:c r="S22" s="75" t="str">
        <x:f>IF(OR(J22="",L22="",M22="",N22="",O22=""),"SOURCE EMPTY",IF(AND(OR(D22=4,D22=5,D22=8),K22=""),"SOURCE EMPTY",IF(R22&lt;&gt;"CLEAR","COLLISION",IF(P22&lt;&gt;"","ROLLBACK",IF(O22&lt;&gt;"ACCEPT","HOLD",IF(OR(D22=1,Q22="ACCEPTED"),"ACCEPTED","SEQUENCE HOLD"))))))</x:f>
        <x:v>SOURCE EMPTY</x:v>
      </x:c>
      <x:c r="T22" s="85" t="n">
        <x:f>IF(S22="ACCEPTED",H22*I22,0)</x:f>
        <x:v>0</x:v>
      </x:c>
      <x:c r="U22" s="75"/>
      <x:c r="V22" s="75"/>
      <x:c r="W22" s="75"/>
      <x:c r="X22" s="75"/>
      <x:c r="Y22" s="75"/>
      <x:c r="Z22" s="75"/>
    </x:row>
    <x:row r="23" ht="20" customHeight="1">
      <x:c r="A23" s="86" t="str">
        <x:v>MS-ET-B-EW-06</x:v>
      </x:c>
      <x:c r="B23" s="75" t="str">
        <x:v>MS-ET-B</x:v>
      </x:c>
      <x:c r="C23" s="75" t="str">
        <x:v>MS-ET</x:v>
      </x:c>
      <x:c r="D23" s="75" t="n">
        <x:v>6</x:v>
      </x:c>
      <x:c r="E23" s="75" t="str">
        <x:v>EW-06</x:v>
      </x:c>
      <x:c r="F23" s="86" t="str">
        <x:v>Resilience Proving Service</x:v>
      </x:c>
      <x:c r="G23" s="86" t="str">
        <x:v>Public Effect College</x:v>
      </x:c>
      <x:c r="H23" s="88" t="n">
        <x:v>0.2</x:v>
      </x:c>
      <x:c r="I23" s="85" t="n">
        <x:f>INDEX('Root Registry'!$G$6:$G$29,MATCH(B23,'Root Registry'!$A$6:$A$29,0))</x:f>
        <x:v>22.25</x:v>
      </x:c>
      <x:c r="J23" s="75" t="str">
        <x:f>INDEX('Root Registry'!$D$6:$D$29,MATCH(B23,'Root Registry'!$A$6:$A$29,0))</x:f>
      </x:c>
      <x:c r="K23" s="75" t="str">
        <x:f>INDEX('Root Registry'!$F$6:$F$29,MATCH(B23,'Root Registry'!$A$6:$A$29,0))</x:f>
      </x:c>
      <x:c r="L23" s="43" t="str"/>
      <x:c r="M23" s="43" t="str"/>
      <x:c r="N23" s="43" t="str"/>
      <x:c r="O23" s="43" t="str"/>
      <x:c r="P23" s="43" t="str"/>
      <x:c r="Q23" s="75" t="str">
        <x:f>S22</x:f>
        <x:v>SOURCE EMPTY</x:v>
      </x:c>
      <x:c r="R23" s="75" t="str">
        <x:f>IF(L23="","SOURCE EMPTY",IF(L23=J23,"ROOT COLLISION",IF(AND(M23&lt;&gt;"",M23=L23),"DUAL-KEY COLLISION","CLEAR")))</x:f>
        <x:v>SOURCE EMPTY</x:v>
      </x:c>
      <x:c r="S23" s="75" t="str">
        <x:f>IF(OR(J23="",L23="",M23="",N23="",O23=""),"SOURCE EMPTY",IF(AND(OR(D23=4,D23=5,D23=8),K23=""),"SOURCE EMPTY",IF(R23&lt;&gt;"CLEAR","COLLISION",IF(P23&lt;&gt;"","ROLLBACK",IF(O23&lt;&gt;"ACCEPT","HOLD",IF(OR(D23=1,Q23="ACCEPTED"),"ACCEPTED","SEQUENCE HOLD"))))))</x:f>
        <x:v>SOURCE EMPTY</x:v>
      </x:c>
      <x:c r="T23" s="85" t="n">
        <x:f>IF(S23="ACCEPTED",H23*I23,0)</x:f>
        <x:v>0</x:v>
      </x:c>
      <x:c r="U23" s="75"/>
      <x:c r="V23" s="75"/>
      <x:c r="W23" s="75"/>
      <x:c r="X23" s="75"/>
      <x:c r="Y23" s="75"/>
      <x:c r="Z23" s="75"/>
    </x:row>
    <x:row r="24" ht="20" customHeight="1">
      <x:c r="A24" s="86" t="str">
        <x:v>MS-ET-B-IW-07</x:v>
      </x:c>
      <x:c r="B24" s="75" t="str">
        <x:v>MS-ET-B</x:v>
      </x:c>
      <x:c r="C24" s="75" t="str">
        <x:v>MS-ET</x:v>
      </x:c>
      <x:c r="D24" s="75" t="n">
        <x:v>7</x:v>
      </x:c>
      <x:c r="E24" s="75" t="str">
        <x:v>IW-07</x:v>
      </x:c>
      <x:c r="F24" s="86" t="str">
        <x:v>Industrial Mobilization Administration</x:v>
      </x:c>
      <x:c r="G24" s="86" t="str">
        <x:v>Reconstruction Command</x:v>
      </x:c>
      <x:c r="H24" s="88" t="n">
        <x:v>0.15</x:v>
      </x:c>
      <x:c r="I24" s="85" t="n">
        <x:f>INDEX('Root Registry'!$G$6:$G$29,MATCH(B24,'Root Registry'!$A$6:$A$29,0))</x:f>
        <x:v>22.25</x:v>
      </x:c>
      <x:c r="J24" s="75" t="str">
        <x:f>INDEX('Root Registry'!$D$6:$D$29,MATCH(B24,'Root Registry'!$A$6:$A$29,0))</x:f>
      </x:c>
      <x:c r="K24" s="75" t="str">
        <x:f>INDEX('Root Registry'!$F$6:$F$29,MATCH(B24,'Root Registry'!$A$6:$A$29,0))</x:f>
      </x:c>
      <x:c r="L24" s="43" t="str"/>
      <x:c r="M24" s="43" t="str"/>
      <x:c r="N24" s="43" t="str"/>
      <x:c r="O24" s="43" t="str"/>
      <x:c r="P24" s="43" t="str"/>
      <x:c r="Q24" s="75" t="str">
        <x:f>S23</x:f>
        <x:v>SOURCE EMPTY</x:v>
      </x:c>
      <x:c r="R24" s="75" t="str">
        <x:f>IF(L24="","SOURCE EMPTY",IF(L24=J24,"ROOT COLLISION",IF(AND(M24&lt;&gt;"",M24=L24),"DUAL-KEY COLLISION","CLEAR")))</x:f>
        <x:v>SOURCE EMPTY</x:v>
      </x:c>
      <x:c r="S24" s="75" t="str">
        <x:f>IF(OR(J24="",L24="",M24="",N24="",O24=""),"SOURCE EMPTY",IF(AND(OR(D24=4,D24=5,D24=8),K24=""),"SOURCE EMPTY",IF(R24&lt;&gt;"CLEAR","COLLISION",IF(P24&lt;&gt;"","ROLLBACK",IF(O24&lt;&gt;"ACCEPT","HOLD",IF(OR(D24=1,Q24="ACCEPTED"),"ACCEPTED","SEQUENCE HOLD"))))))</x:f>
        <x:v>SOURCE EMPTY</x:v>
      </x:c>
      <x:c r="T24" s="85" t="n">
        <x:f>IF(S24="ACCEPTED",H24*I24,0)</x:f>
        <x:v>0</x:v>
      </x:c>
      <x:c r="U24" s="75"/>
      <x:c r="V24" s="75"/>
      <x:c r="W24" s="75"/>
      <x:c r="X24" s="75"/>
      <x:c r="Y24" s="75"/>
      <x:c r="Z24" s="75"/>
    </x:row>
    <x:row r="25" ht="20" customHeight="1">
      <x:c r="A25" s="86" t="str">
        <x:v>MS-ET-B-CW-08</x:v>
      </x:c>
      <x:c r="B25" s="75" t="str">
        <x:v>MS-ET-B</x:v>
      </x:c>
      <x:c r="C25" s="75" t="str">
        <x:v>MS-ET</x:v>
      </x:c>
      <x:c r="D25" s="75" t="n">
        <x:v>8</x:v>
      </x:c>
      <x:c r="E25" s="75" t="str">
        <x:v>CW-08</x:v>
      </x:c>
      <x:c r="F25" s="86" t="str">
        <x:v>Operating Services</x:v>
      </x:c>
      <x:c r="G25" s="86" t="str">
        <x:v>Joint Capacity Authority</x:v>
      </x:c>
      <x:c r="H25" s="88" t="n">
        <x:v>0.12</x:v>
      </x:c>
      <x:c r="I25" s="85" t="n">
        <x:f>INDEX('Root Registry'!$G$6:$G$29,MATCH(B25,'Root Registry'!$A$6:$A$29,0))</x:f>
        <x:v>22.25</x:v>
      </x:c>
      <x:c r="J25" s="75" t="str">
        <x:f>INDEX('Root Registry'!$D$6:$D$29,MATCH(B25,'Root Registry'!$A$6:$A$29,0))</x:f>
      </x:c>
      <x:c r="K25" s="75" t="str">
        <x:f>INDEX('Root Registry'!$F$6:$F$29,MATCH(B25,'Root Registry'!$A$6:$A$29,0))</x:f>
      </x:c>
      <x:c r="L25" s="43" t="str"/>
      <x:c r="M25" s="43" t="str"/>
      <x:c r="N25" s="43" t="str"/>
      <x:c r="O25" s="43" t="str"/>
      <x:c r="P25" s="43" t="str"/>
      <x:c r="Q25" s="75" t="str">
        <x:f>S24</x:f>
        <x:v>SOURCE EMPTY</x:v>
      </x:c>
      <x:c r="R25" s="75" t="str">
        <x:f>IF(L25="","SOURCE EMPTY",IF(L25=J25,"ROOT COLLISION",IF(AND(M25&lt;&gt;"",M25=L25),"DUAL-KEY COLLISION","CLEAR")))</x:f>
        <x:v>SOURCE EMPTY</x:v>
      </x:c>
      <x:c r="S25" s="75" t="str">
        <x:f>IF(OR(J25="",L25="",M25="",N25="",O25=""),"SOURCE EMPTY",IF(AND(OR(D25=4,D25=5,D25=8),K25=""),"SOURCE EMPTY",IF(R25&lt;&gt;"CLEAR","COLLISION",IF(P25&lt;&gt;"","ROLLBACK",IF(O25&lt;&gt;"ACCEPT","HOLD",IF(OR(D25=1,Q25="ACCEPTED"),"ACCEPTED","SEQUENCE HOLD"))))))</x:f>
        <x:v>SOURCE EMPTY</x:v>
      </x:c>
      <x:c r="T25" s="85" t="n">
        <x:f>IF(S25="ACCEPTED",H25*I25,0)</x:f>
        <x:v>0</x:v>
      </x:c>
      <x:c r="U25" s="75"/>
      <x:c r="V25" s="75"/>
      <x:c r="W25" s="75"/>
      <x:c r="X25" s="75"/>
      <x:c r="Y25" s="75"/>
      <x:c r="Z25" s="75"/>
    </x:row>
    <x:row r="26" ht="20" customHeight="1">
      <x:c r="A26" s="86" t="str">
        <x:v>MS-ET-B-RW-09</x:v>
      </x:c>
      <x:c r="B26" s="75" t="str">
        <x:v>MS-ET-B</x:v>
      </x:c>
      <x:c r="C26" s="75" t="str">
        <x:v>MS-ET</x:v>
      </x:c>
      <x:c r="D26" s="75" t="n">
        <x:v>9</x:v>
      </x:c>
      <x:c r="E26" s="75" t="str">
        <x:v>RW-09</x:v>
      </x:c>
      <x:c r="F26" s="86" t="str">
        <x:v>Joint Capacity Authority</x:v>
      </x:c>
      <x:c r="G26" s="86" t="str">
        <x:v>Department Comptroller</x:v>
      </x:c>
      <x:c r="H26" s="88" t="n">
        <x:v>0.08</x:v>
      </x:c>
      <x:c r="I26" s="85" t="n">
        <x:f>INDEX('Root Registry'!$G$6:$G$29,MATCH(B26,'Root Registry'!$A$6:$A$29,0))</x:f>
        <x:v>22.25</x:v>
      </x:c>
      <x:c r="J26" s="75" t="str">
        <x:f>INDEX('Root Registry'!$D$6:$D$29,MATCH(B26,'Root Registry'!$A$6:$A$29,0))</x:f>
      </x:c>
      <x:c r="K26" s="75" t="str">
        <x:f>INDEX('Root Registry'!$F$6:$F$29,MATCH(B26,'Root Registry'!$A$6:$A$29,0))</x:f>
      </x:c>
      <x:c r="L26" s="43" t="str"/>
      <x:c r="M26" s="43" t="str"/>
      <x:c r="N26" s="43" t="str"/>
      <x:c r="O26" s="43" t="str"/>
      <x:c r="P26" s="43" t="str"/>
      <x:c r="Q26" s="75" t="str">
        <x:f>S25</x:f>
        <x:v>SOURCE EMPTY</x:v>
      </x:c>
      <x:c r="R26" s="75" t="str">
        <x:f>IF(L26="","SOURCE EMPTY",IF(L26=J26,"ROOT COLLISION",IF(AND(M26&lt;&gt;"",M26=L26),"DUAL-KEY COLLISION","CLEAR")))</x:f>
        <x:v>SOURCE EMPTY</x:v>
      </x:c>
      <x:c r="S26" s="75" t="str">
        <x:f>IF(OR(J26="",L26="",M26="",N26="",O26=""),"SOURCE EMPTY",IF(AND(OR(D26=4,D26=5,D26=8),K26=""),"SOURCE EMPTY",IF(R26&lt;&gt;"CLEAR","COLLISION",IF(P26&lt;&gt;"","ROLLBACK",IF(O26&lt;&gt;"ACCEPT","HOLD",IF(OR(D26=1,Q26="ACCEPTED"),"ACCEPTED","SEQUENCE HOLD"))))))</x:f>
        <x:v>SOURCE EMPTY</x:v>
      </x:c>
      <x:c r="T26" s="85" t="n">
        <x:f>IF(S26="ACCEPTED",H26*I26,0)</x:f>
        <x:v>0</x:v>
      </x:c>
      <x:c r="U26" s="75"/>
      <x:c r="V26" s="75"/>
      <x:c r="W26" s="75"/>
      <x:c r="X26" s="75"/>
      <x:c r="Y26" s="75"/>
      <x:c r="Z26" s="75"/>
    </x:row>
    <x:row r="27" ht="20" customHeight="1">
      <x:c r="A27" s="86" t="str">
        <x:v>MS-ET-B-OW-10</x:v>
      </x:c>
      <x:c r="B27" s="75" t="str">
        <x:v>MS-ET-B</x:v>
      </x:c>
      <x:c r="C27" s="75" t="str">
        <x:v>MS-ET</x:v>
      </x:c>
      <x:c r="D27" s="75" t="n">
        <x:v>10</x:v>
      </x:c>
      <x:c r="E27" s="75" t="str">
        <x:v>OW-10</x:v>
      </x:c>
      <x:c r="F27" s="86" t="str">
        <x:v>Operational Command</x:v>
      </x:c>
      <x:c r="G27" s="86" t="str">
        <x:v>Civil Resilience Authority</x:v>
      </x:c>
      <x:c r="H27" s="88" t="n">
        <x:v>0.05</x:v>
      </x:c>
      <x:c r="I27" s="85" t="n">
        <x:f>INDEX('Root Registry'!$G$6:$G$29,MATCH(B27,'Root Registry'!$A$6:$A$29,0))</x:f>
        <x:v>22.25</x:v>
      </x:c>
      <x:c r="J27" s="75" t="str">
        <x:f>INDEX('Root Registry'!$D$6:$D$29,MATCH(B27,'Root Registry'!$A$6:$A$29,0))</x:f>
      </x:c>
      <x:c r="K27" s="75" t="str">
        <x:f>INDEX('Root Registry'!$F$6:$F$29,MATCH(B27,'Root Registry'!$A$6:$A$29,0))</x:f>
      </x:c>
      <x:c r="L27" s="43" t="str"/>
      <x:c r="M27" s="43" t="str"/>
      <x:c r="N27" s="43" t="str"/>
      <x:c r="O27" s="43" t="str"/>
      <x:c r="P27" s="43" t="str"/>
      <x:c r="Q27" s="75" t="str">
        <x:f>S26</x:f>
        <x:v>SOURCE EMPTY</x:v>
      </x:c>
      <x:c r="R27" s="75" t="str">
        <x:f>IF(L27="","SOURCE EMPTY",IF(L27=J27,"ROOT COLLISION",IF(AND(M27&lt;&gt;"",M27=L27),"DUAL-KEY COLLISION","CLEAR")))</x:f>
        <x:v>SOURCE EMPTY</x:v>
      </x:c>
      <x:c r="S27" s="75" t="str">
        <x:f>IF(OR(J27="",L27="",M27="",N27="",O27=""),"SOURCE EMPTY",IF(AND(OR(D27=4,D27=5,D27=8),K27=""),"SOURCE EMPTY",IF(R27&lt;&gt;"CLEAR","COLLISION",IF(P27&lt;&gt;"","ROLLBACK",IF(O27&lt;&gt;"ACCEPT","HOLD",IF(OR(D27=1,Q27="ACCEPTED"),"ACCEPTED","SEQUENCE HOLD"))))))</x:f>
        <x:v>SOURCE EMPTY</x:v>
      </x:c>
      <x:c r="T27" s="85" t="n">
        <x:f>IF(S27="ACCEPTED",H27*I27,0)</x:f>
        <x:v>0</x:v>
      </x:c>
      <x:c r="U27" s="75"/>
      <x:c r="V27" s="75"/>
      <x:c r="W27" s="75"/>
      <x:c r="X27" s="75"/>
      <x:c r="Y27" s="75"/>
      <x:c r="Z27" s="75"/>
    </x:row>
    <x:row r="28" ht="20" customHeight="1">
      <x:c r="A28" s="86" t="str">
        <x:v>MS-ET-B-SW-11</x:v>
      </x:c>
      <x:c r="B28" s="75" t="str">
        <x:v>MS-ET-B</x:v>
      </x:c>
      <x:c r="C28" s="75" t="str">
        <x:v>MS-ET</x:v>
      </x:c>
      <x:c r="D28" s="75" t="n">
        <x:v>11</x:v>
      </x:c>
      <x:c r="E28" s="75" t="str">
        <x:v>SW-11</x:v>
      </x:c>
      <x:c r="F28" s="86" t="str">
        <x:v>Civil Resilience Authority</x:v>
      </x:c>
      <x:c r="G28" s="86" t="str">
        <x:v>Affected Civil Authority</x:v>
      </x:c>
      <x:c r="H28" s="88" t="n">
        <x:v>0.07</x:v>
      </x:c>
      <x:c r="I28" s="85" t="n">
        <x:f>INDEX('Root Registry'!$G$6:$G$29,MATCH(B28,'Root Registry'!$A$6:$A$29,0))</x:f>
        <x:v>22.25</x:v>
      </x:c>
      <x:c r="J28" s="75" t="str">
        <x:f>INDEX('Root Registry'!$D$6:$D$29,MATCH(B28,'Root Registry'!$A$6:$A$29,0))</x:f>
      </x:c>
      <x:c r="K28" s="75" t="str">
        <x:f>INDEX('Root Registry'!$F$6:$F$29,MATCH(B28,'Root Registry'!$A$6:$A$29,0))</x:f>
      </x:c>
      <x:c r="L28" s="43" t="str"/>
      <x:c r="M28" s="43" t="str"/>
      <x:c r="N28" s="43" t="str"/>
      <x:c r="O28" s="43" t="str"/>
      <x:c r="P28" s="43" t="str"/>
      <x:c r="Q28" s="75" t="str">
        <x:f>S27</x:f>
        <x:v>SOURCE EMPTY</x:v>
      </x:c>
      <x:c r="R28" s="75" t="str">
        <x:f>IF(L28="","SOURCE EMPTY",IF(L28=J28,"ROOT COLLISION",IF(AND(M28&lt;&gt;"",M28=L28),"DUAL-KEY COLLISION","CLEAR")))</x:f>
        <x:v>SOURCE EMPTY</x:v>
      </x:c>
      <x:c r="S28" s="75" t="str">
        <x:f>IF(OR(J28="",L28="",M28="",N28="",O28=""),"SOURCE EMPTY",IF(AND(OR(D28=4,D28=5,D28=8),K28=""),"SOURCE EMPTY",IF(R28&lt;&gt;"CLEAR","COLLISION",IF(P28&lt;&gt;"","ROLLBACK",IF(O28&lt;&gt;"ACCEPT","HOLD",IF(OR(D28=1,Q28="ACCEPTED"),"ACCEPTED","SEQUENCE HOLD"))))))</x:f>
        <x:v>SOURCE EMPTY</x:v>
      </x:c>
      <x:c r="T28" s="85" t="n">
        <x:f>IF(S28="ACCEPTED",H28*I28,0)</x:f>
        <x:v>0</x:v>
      </x:c>
      <x:c r="U28" s="75"/>
      <x:c r="V28" s="75"/>
      <x:c r="W28" s="75"/>
      <x:c r="X28" s="75"/>
      <x:c r="Y28" s="75"/>
      <x:c r="Z28" s="75"/>
    </x:row>
    <x:row r="29" ht="20" customHeight="1">
      <x:c r="A29" s="86" t="str">
        <x:v>MS-ET-B-GW-12</x:v>
      </x:c>
      <x:c r="B29" s="75" t="str">
        <x:v>MS-ET-B</x:v>
      </x:c>
      <x:c r="C29" s="75" t="str">
        <x:v>MS-ET</x:v>
      </x:c>
      <x:c r="D29" s="75" t="n">
        <x:v>12</x:v>
      </x:c>
      <x:c r="E29" s="75" t="str">
        <x:v>GW-12</x:v>
      </x:c>
      <x:c r="F29" s="86" t="str">
        <x:v>Strategic Sustainment Command</x:v>
      </x:c>
      <x:c r="G29" s="86" t="str">
        <x:v>Joint Capacity Authority</x:v>
      </x:c>
      <x:c r="H29" s="88" t="n">
        <x:v>0.05</x:v>
      </x:c>
      <x:c r="I29" s="85" t="n">
        <x:f>INDEX('Root Registry'!$G$6:$G$29,MATCH(B29,'Root Registry'!$A$6:$A$29,0))</x:f>
        <x:v>22.25</x:v>
      </x:c>
      <x:c r="J29" s="75" t="str">
        <x:f>INDEX('Root Registry'!$D$6:$D$29,MATCH(B29,'Root Registry'!$A$6:$A$29,0))</x:f>
      </x:c>
      <x:c r="K29" s="75" t="str">
        <x:f>INDEX('Root Registry'!$F$6:$F$29,MATCH(B29,'Root Registry'!$A$6:$A$29,0))</x:f>
      </x:c>
      <x:c r="L29" s="43" t="str"/>
      <x:c r="M29" s="43" t="str"/>
      <x:c r="N29" s="43" t="str"/>
      <x:c r="O29" s="43" t="str"/>
      <x:c r="P29" s="43" t="str"/>
      <x:c r="Q29" s="75" t="str">
        <x:f>S28</x:f>
        <x:v>SOURCE EMPTY</x:v>
      </x:c>
      <x:c r="R29" s="75" t="str">
        <x:f>IF(L29="","SOURCE EMPTY",IF(L29=J29,"ROOT COLLISION",IF(AND(M29&lt;&gt;"",M29=L29),"DUAL-KEY COLLISION","CLEAR")))</x:f>
        <x:v>SOURCE EMPTY</x:v>
      </x:c>
      <x:c r="S29" s="75" t="str">
        <x:f>IF(OR(J29="",L29="",M29="",N29="",O29=""),"SOURCE EMPTY",IF(AND(OR(D29=4,D29=5,D29=8),K29=""),"SOURCE EMPTY",IF(R29&lt;&gt;"CLEAR","COLLISION",IF(P29&lt;&gt;"","ROLLBACK",IF(O29&lt;&gt;"ACCEPT","HOLD",IF(OR(D29=1,Q29="ACCEPTED"),"ACCEPTED","SEQUENCE HOLD"))))))</x:f>
        <x:v>SOURCE EMPTY</x:v>
      </x:c>
      <x:c r="T29" s="85" t="n">
        <x:f>IF(S29="ACCEPTED",H29*I29,0)</x:f>
        <x:v>0</x:v>
      </x:c>
      <x:c r="U29" s="75"/>
      <x:c r="V29" s="75"/>
      <x:c r="W29" s="75"/>
      <x:c r="X29" s="75"/>
      <x:c r="Y29" s="75"/>
      <x:c r="Z29" s="75"/>
    </x:row>
    <x:row r="30" ht="20" customHeight="1">
      <x:c r="A30" s="86" t="str">
        <x:v>MS-ET-C-PW-01</x:v>
      </x:c>
      <x:c r="B30" s="75" t="str">
        <x:v>MS-ET-C</x:v>
      </x:c>
      <x:c r="C30" s="75" t="str">
        <x:v>MS-ET</x:v>
      </x:c>
      <x:c r="D30" s="75" t="n">
        <x:v>1</x:v>
      </x:c>
      <x:c r="E30" s="75" t="str">
        <x:v>PW-01</x:v>
      </x:c>
      <x:c r="F30" s="86" t="str">
        <x:v>Civil Resilience Authority</x:v>
      </x:c>
      <x:c r="G30" s="86" t="str">
        <x:v>Public Effect College</x:v>
      </x:c>
      <x:c r="H30" s="88" t="n">
        <x:v>0.01</x:v>
      </x:c>
      <x:c r="I30" s="85" t="n">
        <x:f>INDEX('Root Registry'!$G$6:$G$29,MATCH(B30,'Root Registry'!$A$6:$A$29,0))</x:f>
        <x:v>22.25</x:v>
      </x:c>
      <x:c r="J30" s="75" t="str">
        <x:f>INDEX('Root Registry'!$D$6:$D$29,MATCH(B30,'Root Registry'!$A$6:$A$29,0))</x:f>
      </x:c>
      <x:c r="K30" s="75" t="str">
        <x:f>INDEX('Root Registry'!$F$6:$F$29,MATCH(B30,'Root Registry'!$A$6:$A$29,0))</x:f>
      </x:c>
      <x:c r="L30" s="43" t="str"/>
      <x:c r="M30" s="43" t="str"/>
      <x:c r="N30" s="43" t="str"/>
      <x:c r="O30" s="43" t="str"/>
      <x:c r="P30" s="43" t="str"/>
      <x:c r="Q30" s="75" t="str">
        <x:f>"ORIGIN"</x:f>
        <x:v>ORIGIN</x:v>
      </x:c>
      <x:c r="R30" s="75" t="str">
        <x:f>IF(L30="","SOURCE EMPTY",IF(L30=J30,"ROOT COLLISION",IF(AND(M30&lt;&gt;"",M30=L30),"DUAL-KEY COLLISION","CLEAR")))</x:f>
        <x:v>SOURCE EMPTY</x:v>
      </x:c>
      <x:c r="S30" s="75" t="str">
        <x:f>IF(OR(J30="",L30="",M30="",N30="",O30=""),"SOURCE EMPTY",IF(AND(OR(D30=4,D30=5,D30=8),K30=""),"SOURCE EMPTY",IF(R30&lt;&gt;"CLEAR","COLLISION",IF(P30&lt;&gt;"","ROLLBACK",IF(O30&lt;&gt;"ACCEPT","HOLD",IF(OR(D30=1,Q30="ACCEPTED"),"ACCEPTED","SEQUENCE HOLD"))))))</x:f>
        <x:v>SOURCE EMPTY</x:v>
      </x:c>
      <x:c r="T30" s="85" t="n">
        <x:f>IF(S30="ACCEPTED",H30*I30,0)</x:f>
        <x:v>0</x:v>
      </x:c>
      <x:c r="U30" s="75"/>
      <x:c r="V30" s="75"/>
      <x:c r="W30" s="75"/>
      <x:c r="X30" s="75"/>
      <x:c r="Y30" s="75"/>
      <x:c r="Z30" s="75"/>
    </x:row>
    <x:row r="31" ht="20" customHeight="1">
      <x:c r="A31" s="86" t="str">
        <x:v>MS-ET-C-MW-02</x:v>
      </x:c>
      <x:c r="B31" s="75" t="str">
        <x:v>MS-ET-C</x:v>
      </x:c>
      <x:c r="C31" s="75" t="str">
        <x:v>MS-ET</x:v>
      </x:c>
      <x:c r="D31" s="75" t="n">
        <x:v>2</x:v>
      </x:c>
      <x:c r="E31" s="75" t="str">
        <x:v>MW-02</x:v>
      </x:c>
      <x:c r="F31" s="86" t="str">
        <x:v>Mission System Command</x:v>
      </x:c>
      <x:c r="G31" s="86" t="str">
        <x:v>Civil Resilience Authority</x:v>
      </x:c>
      <x:c r="H31" s="88" t="n">
        <x:v>0.02</x:v>
      </x:c>
      <x:c r="I31" s="85" t="n">
        <x:f>INDEX('Root Registry'!$G$6:$G$29,MATCH(B31,'Root Registry'!$A$6:$A$29,0))</x:f>
        <x:v>22.25</x:v>
      </x:c>
      <x:c r="J31" s="75" t="str">
        <x:f>INDEX('Root Registry'!$D$6:$D$29,MATCH(B31,'Root Registry'!$A$6:$A$29,0))</x:f>
      </x:c>
      <x:c r="K31" s="75" t="str">
        <x:f>INDEX('Root Registry'!$F$6:$F$29,MATCH(B31,'Root Registry'!$A$6:$A$29,0))</x:f>
      </x:c>
      <x:c r="L31" s="43" t="str"/>
      <x:c r="M31" s="43" t="str"/>
      <x:c r="N31" s="43" t="str"/>
      <x:c r="O31" s="43" t="str"/>
      <x:c r="P31" s="43" t="str"/>
      <x:c r="Q31" s="75" t="str">
        <x:f>S30</x:f>
        <x:v>SOURCE EMPTY</x:v>
      </x:c>
      <x:c r="R31" s="75" t="str">
        <x:f>IF(L31="","SOURCE EMPTY",IF(L31=J31,"ROOT COLLISION",IF(AND(M31&lt;&gt;"",M31=L31),"DUAL-KEY COLLISION","CLEAR")))</x:f>
        <x:v>SOURCE EMPTY</x:v>
      </x:c>
      <x:c r="S31" s="75" t="str">
        <x:f>IF(OR(J31="",L31="",M31="",N31="",O31=""),"SOURCE EMPTY",IF(AND(OR(D31=4,D31=5,D31=8),K31=""),"SOURCE EMPTY",IF(R31&lt;&gt;"CLEAR","COLLISION",IF(P31&lt;&gt;"","ROLLBACK",IF(O31&lt;&gt;"ACCEPT","HOLD",IF(OR(D31=1,Q31="ACCEPTED"),"ACCEPTED","SEQUENCE HOLD"))))))</x:f>
        <x:v>SOURCE EMPTY</x:v>
      </x:c>
      <x:c r="T31" s="85" t="n">
        <x:f>IF(S31="ACCEPTED",H31*I31,0)</x:f>
        <x:v>0</x:v>
      </x:c>
      <x:c r="U31" s="75"/>
      <x:c r="V31" s="75"/>
      <x:c r="W31" s="75"/>
      <x:c r="X31" s="75"/>
      <x:c r="Y31" s="75"/>
      <x:c r="Z31" s="75"/>
    </x:row>
    <x:row r="32" ht="20" customHeight="1">
      <x:c r="A32" s="86" t="str">
        <x:v>MS-ET-C-FW-03</x:v>
      </x:c>
      <x:c r="B32" s="75" t="str">
        <x:v>MS-ET-C</x:v>
      </x:c>
      <x:c r="C32" s="75" t="str">
        <x:v>MS-ET</x:v>
      </x:c>
      <x:c r="D32" s="75" t="n">
        <x:v>3</x:v>
      </x:c>
      <x:c r="E32" s="75" t="str">
        <x:v>FW-03</x:v>
      </x:c>
      <x:c r="F32" s="86" t="str">
        <x:v>Department Capital Board</x:v>
      </x:c>
      <x:c r="G32" s="86" t="str">
        <x:v>Failure Reserve Trustee</x:v>
      </x:c>
      <x:c r="H32" s="88" t="n">
        <x:v>0.05</x:v>
      </x:c>
      <x:c r="I32" s="85" t="n">
        <x:f>INDEX('Root Registry'!$G$6:$G$29,MATCH(B32,'Root Registry'!$A$6:$A$29,0))</x:f>
        <x:v>22.25</x:v>
      </x:c>
      <x:c r="J32" s="75" t="str">
        <x:f>INDEX('Root Registry'!$D$6:$D$29,MATCH(B32,'Root Registry'!$A$6:$A$29,0))</x:f>
      </x:c>
      <x:c r="K32" s="75" t="str">
        <x:f>INDEX('Root Registry'!$F$6:$F$29,MATCH(B32,'Root Registry'!$A$6:$A$29,0))</x:f>
      </x:c>
      <x:c r="L32" s="43" t="str"/>
      <x:c r="M32" s="43" t="str"/>
      <x:c r="N32" s="43" t="str"/>
      <x:c r="O32" s="43" t="str"/>
      <x:c r="P32" s="43" t="str"/>
      <x:c r="Q32" s="75" t="str">
        <x:f>S31</x:f>
        <x:v>SOURCE EMPTY</x:v>
      </x:c>
      <x:c r="R32" s="75" t="str">
        <x:f>IF(L32="","SOURCE EMPTY",IF(L32=J32,"ROOT COLLISION",IF(AND(M32&lt;&gt;"",M32=L32),"DUAL-KEY COLLISION","CLEAR")))</x:f>
        <x:v>SOURCE EMPTY</x:v>
      </x:c>
      <x:c r="S32" s="75" t="str">
        <x:f>IF(OR(J32="",L32="",M32="",N32="",O32=""),"SOURCE EMPTY",IF(AND(OR(D32=4,D32=5,D32=8),K32=""),"SOURCE EMPTY",IF(R32&lt;&gt;"CLEAR","COLLISION",IF(P32&lt;&gt;"","ROLLBACK",IF(O32&lt;&gt;"ACCEPT","HOLD",IF(OR(D32=1,Q32="ACCEPTED"),"ACCEPTED","SEQUENCE HOLD"))))))</x:f>
        <x:v>SOURCE EMPTY</x:v>
      </x:c>
      <x:c r="T32" s="85" t="n">
        <x:f>IF(S32="ACCEPTED",H32*I32,0)</x:f>
        <x:v>0</x:v>
      </x:c>
      <x:c r="U32" s="75"/>
      <x:c r="V32" s="75"/>
      <x:c r="W32" s="75"/>
      <x:c r="X32" s="75"/>
      <x:c r="Y32" s="75"/>
      <x:c r="Z32" s="75"/>
    </x:row>
    <x:row r="33" ht="20" customHeight="1">
      <x:c r="A33" s="86" t="str">
        <x:v>MS-ET-C-CW-04</x:v>
      </x:c>
      <x:c r="B33" s="75" t="str">
        <x:v>MS-ET-C</x:v>
      </x:c>
      <x:c r="C33" s="75" t="str">
        <x:v>MS-ET</x:v>
      </x:c>
      <x:c r="D33" s="75" t="n">
        <x:v>4</x:v>
      </x:c>
      <x:c r="E33" s="75" t="str">
        <x:v>CW-04</x:v>
      </x:c>
      <x:c r="F33" s="86" t="str">
        <x:v>Service Technical College</x:v>
      </x:c>
      <x:c r="G33" s="86" t="str">
        <x:v>Independent Root House</x:v>
      </x:c>
      <x:c r="H33" s="88" t="n">
        <x:v>0.12</x:v>
      </x:c>
      <x:c r="I33" s="85" t="n">
        <x:f>INDEX('Root Registry'!$G$6:$G$29,MATCH(B33,'Root Registry'!$A$6:$A$29,0))</x:f>
        <x:v>22.25</x:v>
      </x:c>
      <x:c r="J33" s="75" t="str">
        <x:f>INDEX('Root Registry'!$D$6:$D$29,MATCH(B33,'Root Registry'!$A$6:$A$29,0))</x:f>
      </x:c>
      <x:c r="K33" s="75" t="str">
        <x:f>INDEX('Root Registry'!$F$6:$F$29,MATCH(B33,'Root Registry'!$A$6:$A$29,0))</x:f>
      </x:c>
      <x:c r="L33" s="43" t="str"/>
      <x:c r="M33" s="43" t="str"/>
      <x:c r="N33" s="43" t="str"/>
      <x:c r="O33" s="43" t="str"/>
      <x:c r="P33" s="43" t="str"/>
      <x:c r="Q33" s="75" t="str">
        <x:f>S32</x:f>
        <x:v>SOURCE EMPTY</x:v>
      </x:c>
      <x:c r="R33" s="75" t="str">
        <x:f>IF(L33="","SOURCE EMPTY",IF(L33=J33,"ROOT COLLISION",IF(AND(M33&lt;&gt;"",M33=L33),"DUAL-KEY COLLISION","CLEAR")))</x:f>
        <x:v>SOURCE EMPTY</x:v>
      </x:c>
      <x:c r="S33" s="75" t="str">
        <x:f>IF(OR(J33="",L33="",M33="",N33="",O33=""),"SOURCE EMPTY",IF(AND(OR(D33=4,D33=5,D33=8),K33=""),"SOURCE EMPTY",IF(R33&lt;&gt;"CLEAR","COLLISION",IF(P33&lt;&gt;"","ROLLBACK",IF(O33&lt;&gt;"ACCEPT","HOLD",IF(OR(D33=1,Q33="ACCEPTED"),"ACCEPTED","SEQUENCE HOLD"))))))</x:f>
        <x:v>SOURCE EMPTY</x:v>
      </x:c>
      <x:c r="T33" s="85" t="n">
        <x:f>IF(S33="ACCEPTED",H33*I33,0)</x:f>
        <x:v>0</x:v>
      </x:c>
      <x:c r="U33" s="75"/>
      <x:c r="V33" s="75"/>
      <x:c r="W33" s="75"/>
      <x:c r="X33" s="75"/>
      <x:c r="Y33" s="75"/>
      <x:c r="Z33" s="75"/>
    </x:row>
    <x:row r="34" ht="20" customHeight="1">
      <x:c r="A34" s="86" t="str">
        <x:v>MS-ET-C-TW-05</x:v>
      </x:c>
      <x:c r="B34" s="75" t="str">
        <x:v>MS-ET-C</x:v>
      </x:c>
      <x:c r="C34" s="75" t="str">
        <x:v>MS-ET</x:v>
      </x:c>
      <x:c r="D34" s="75" t="n">
        <x:v>5</x:v>
      </x:c>
      <x:c r="E34" s="75" t="str">
        <x:v>TW-05</x:v>
      </x:c>
      <x:c r="F34" s="86" t="str">
        <x:v>Service Technical College</x:v>
      </x:c>
      <x:c r="G34" s="86" t="str">
        <x:v>Public Protection Inspectorate</x:v>
      </x:c>
      <x:c r="H34" s="88" t="n">
        <x:v>0.08</x:v>
      </x:c>
      <x:c r="I34" s="85" t="n">
        <x:f>INDEX('Root Registry'!$G$6:$G$29,MATCH(B34,'Root Registry'!$A$6:$A$29,0))</x:f>
        <x:v>22.25</x:v>
      </x:c>
      <x:c r="J34" s="75" t="str">
        <x:f>INDEX('Root Registry'!$D$6:$D$29,MATCH(B34,'Root Registry'!$A$6:$A$29,0))</x:f>
      </x:c>
      <x:c r="K34" s="75" t="str">
        <x:f>INDEX('Root Registry'!$F$6:$F$29,MATCH(B34,'Root Registry'!$A$6:$A$29,0))</x:f>
      </x:c>
      <x:c r="L34" s="43" t="str"/>
      <x:c r="M34" s="43" t="str"/>
      <x:c r="N34" s="43" t="str"/>
      <x:c r="O34" s="43" t="str"/>
      <x:c r="P34" s="43" t="str"/>
      <x:c r="Q34" s="75" t="str">
        <x:f>S33</x:f>
        <x:v>SOURCE EMPTY</x:v>
      </x:c>
      <x:c r="R34" s="75" t="str">
        <x:f>IF(L34="","SOURCE EMPTY",IF(L34=J34,"ROOT COLLISION",IF(AND(M34&lt;&gt;"",M34=L34),"DUAL-KEY COLLISION","CLEAR")))</x:f>
        <x:v>SOURCE EMPTY</x:v>
      </x:c>
      <x:c r="S34" s="75" t="str">
        <x:f>IF(OR(J34="",L34="",M34="",N34="",O34=""),"SOURCE EMPTY",IF(AND(OR(D34=4,D34=5,D34=8),K34=""),"SOURCE EMPTY",IF(R34&lt;&gt;"CLEAR","COLLISION",IF(P34&lt;&gt;"","ROLLBACK",IF(O34&lt;&gt;"ACCEPT","HOLD",IF(OR(D34=1,Q34="ACCEPTED"),"ACCEPTED","SEQUENCE HOLD"))))))</x:f>
        <x:v>SOURCE EMPTY</x:v>
      </x:c>
      <x:c r="T34" s="85" t="n">
        <x:f>IF(S34="ACCEPTED",H34*I34,0)</x:f>
        <x:v>0</x:v>
      </x:c>
      <x:c r="U34" s="75"/>
      <x:c r="V34" s="75"/>
      <x:c r="W34" s="75"/>
      <x:c r="X34" s="75"/>
      <x:c r="Y34" s="75"/>
      <x:c r="Z34" s="75"/>
    </x:row>
    <x:row r="35" ht="20" customHeight="1">
      <x:c r="A35" s="86" t="str">
        <x:v>MS-ET-C-EW-06</x:v>
      </x:c>
      <x:c r="B35" s="75" t="str">
        <x:v>MS-ET-C</x:v>
      </x:c>
      <x:c r="C35" s="75" t="str">
        <x:v>MS-ET</x:v>
      </x:c>
      <x:c r="D35" s="75" t="n">
        <x:v>6</x:v>
      </x:c>
      <x:c r="E35" s="75" t="str">
        <x:v>EW-06</x:v>
      </x:c>
      <x:c r="F35" s="86" t="str">
        <x:v>Resilience Proving Service</x:v>
      </x:c>
      <x:c r="G35" s="86" t="str">
        <x:v>Public Effect College</x:v>
      </x:c>
      <x:c r="H35" s="88" t="n">
        <x:v>0.2</x:v>
      </x:c>
      <x:c r="I35" s="85" t="n">
        <x:f>INDEX('Root Registry'!$G$6:$G$29,MATCH(B35,'Root Registry'!$A$6:$A$29,0))</x:f>
        <x:v>22.25</x:v>
      </x:c>
      <x:c r="J35" s="75" t="str">
        <x:f>INDEX('Root Registry'!$D$6:$D$29,MATCH(B35,'Root Registry'!$A$6:$A$29,0))</x:f>
      </x:c>
      <x:c r="K35" s="75" t="str">
        <x:f>INDEX('Root Registry'!$F$6:$F$29,MATCH(B35,'Root Registry'!$A$6:$A$29,0))</x:f>
      </x:c>
      <x:c r="L35" s="43" t="str"/>
      <x:c r="M35" s="43" t="str"/>
      <x:c r="N35" s="43" t="str"/>
      <x:c r="O35" s="43" t="str"/>
      <x:c r="P35" s="43" t="str"/>
      <x:c r="Q35" s="75" t="str">
        <x:f>S34</x:f>
        <x:v>SOURCE EMPTY</x:v>
      </x:c>
      <x:c r="R35" s="75" t="str">
        <x:f>IF(L35="","SOURCE EMPTY",IF(L35=J35,"ROOT COLLISION",IF(AND(M35&lt;&gt;"",M35=L35),"DUAL-KEY COLLISION","CLEAR")))</x:f>
        <x:v>SOURCE EMPTY</x:v>
      </x:c>
      <x:c r="S35" s="75" t="str">
        <x:f>IF(OR(J35="",L35="",M35="",N35="",O35=""),"SOURCE EMPTY",IF(AND(OR(D35=4,D35=5,D35=8),K35=""),"SOURCE EMPTY",IF(R35&lt;&gt;"CLEAR","COLLISION",IF(P35&lt;&gt;"","ROLLBACK",IF(O35&lt;&gt;"ACCEPT","HOLD",IF(OR(D35=1,Q35="ACCEPTED"),"ACCEPTED","SEQUENCE HOLD"))))))</x:f>
        <x:v>SOURCE EMPTY</x:v>
      </x:c>
      <x:c r="T35" s="85" t="n">
        <x:f>IF(S35="ACCEPTED",H35*I35,0)</x:f>
        <x:v>0</x:v>
      </x:c>
      <x:c r="U35" s="75"/>
      <x:c r="V35" s="75"/>
      <x:c r="W35" s="75"/>
      <x:c r="X35" s="75"/>
      <x:c r="Y35" s="75"/>
      <x:c r="Z35" s="75"/>
    </x:row>
    <x:row r="36" ht="20" customHeight="1">
      <x:c r="A36" s="86" t="str">
        <x:v>MS-ET-C-IW-07</x:v>
      </x:c>
      <x:c r="B36" s="75" t="str">
        <x:v>MS-ET-C</x:v>
      </x:c>
      <x:c r="C36" s="75" t="str">
        <x:v>MS-ET</x:v>
      </x:c>
      <x:c r="D36" s="75" t="n">
        <x:v>7</x:v>
      </x:c>
      <x:c r="E36" s="75" t="str">
        <x:v>IW-07</x:v>
      </x:c>
      <x:c r="F36" s="86" t="str">
        <x:v>Industrial Mobilization Administration</x:v>
      </x:c>
      <x:c r="G36" s="86" t="str">
        <x:v>Reconstruction Command</x:v>
      </x:c>
      <x:c r="H36" s="88" t="n">
        <x:v>0.15</x:v>
      </x:c>
      <x:c r="I36" s="85" t="n">
        <x:f>INDEX('Root Registry'!$G$6:$G$29,MATCH(B36,'Root Registry'!$A$6:$A$29,0))</x:f>
        <x:v>22.25</x:v>
      </x:c>
      <x:c r="J36" s="75" t="str">
        <x:f>INDEX('Root Registry'!$D$6:$D$29,MATCH(B36,'Root Registry'!$A$6:$A$29,0))</x:f>
      </x:c>
      <x:c r="K36" s="75" t="str">
        <x:f>INDEX('Root Registry'!$F$6:$F$29,MATCH(B36,'Root Registry'!$A$6:$A$29,0))</x:f>
      </x:c>
      <x:c r="L36" s="43" t="str"/>
      <x:c r="M36" s="43" t="str"/>
      <x:c r="N36" s="43" t="str"/>
      <x:c r="O36" s="43" t="str"/>
      <x:c r="P36" s="43" t="str"/>
      <x:c r="Q36" s="75" t="str">
        <x:f>S35</x:f>
        <x:v>SOURCE EMPTY</x:v>
      </x:c>
      <x:c r="R36" s="75" t="str">
        <x:f>IF(L36="","SOURCE EMPTY",IF(L36=J36,"ROOT COLLISION",IF(AND(M36&lt;&gt;"",M36=L36),"DUAL-KEY COLLISION","CLEAR")))</x:f>
        <x:v>SOURCE EMPTY</x:v>
      </x:c>
      <x:c r="S36" s="75" t="str">
        <x:f>IF(OR(J36="",L36="",M36="",N36="",O36=""),"SOURCE EMPTY",IF(AND(OR(D36=4,D36=5,D36=8),K36=""),"SOURCE EMPTY",IF(R36&lt;&gt;"CLEAR","COLLISION",IF(P36&lt;&gt;"","ROLLBACK",IF(O36&lt;&gt;"ACCEPT","HOLD",IF(OR(D36=1,Q36="ACCEPTED"),"ACCEPTED","SEQUENCE HOLD"))))))</x:f>
        <x:v>SOURCE EMPTY</x:v>
      </x:c>
      <x:c r="T36" s="85" t="n">
        <x:f>IF(S36="ACCEPTED",H36*I36,0)</x:f>
        <x:v>0</x:v>
      </x:c>
      <x:c r="U36" s="75"/>
      <x:c r="V36" s="75"/>
      <x:c r="W36" s="75"/>
      <x:c r="X36" s="75"/>
      <x:c r="Y36" s="75"/>
      <x:c r="Z36" s="75"/>
    </x:row>
    <x:row r="37" ht="20" customHeight="1">
      <x:c r="A37" s="86" t="str">
        <x:v>MS-ET-C-CW-08</x:v>
      </x:c>
      <x:c r="B37" s="75" t="str">
        <x:v>MS-ET-C</x:v>
      </x:c>
      <x:c r="C37" s="75" t="str">
        <x:v>MS-ET</x:v>
      </x:c>
      <x:c r="D37" s="75" t="n">
        <x:v>8</x:v>
      </x:c>
      <x:c r="E37" s="75" t="str">
        <x:v>CW-08</x:v>
      </x:c>
      <x:c r="F37" s="86" t="str">
        <x:v>Operating Services</x:v>
      </x:c>
      <x:c r="G37" s="86" t="str">
        <x:v>Joint Capacity Authority</x:v>
      </x:c>
      <x:c r="H37" s="88" t="n">
        <x:v>0.12</x:v>
      </x:c>
      <x:c r="I37" s="85" t="n">
        <x:f>INDEX('Root Registry'!$G$6:$G$29,MATCH(B37,'Root Registry'!$A$6:$A$29,0))</x:f>
        <x:v>22.25</x:v>
      </x:c>
      <x:c r="J37" s="75" t="str">
        <x:f>INDEX('Root Registry'!$D$6:$D$29,MATCH(B37,'Root Registry'!$A$6:$A$29,0))</x:f>
      </x:c>
      <x:c r="K37" s="75" t="str">
        <x:f>INDEX('Root Registry'!$F$6:$F$29,MATCH(B37,'Root Registry'!$A$6:$A$29,0))</x:f>
      </x:c>
      <x:c r="L37" s="43" t="str"/>
      <x:c r="M37" s="43" t="str"/>
      <x:c r="N37" s="43" t="str"/>
      <x:c r="O37" s="43" t="str"/>
      <x:c r="P37" s="43" t="str"/>
      <x:c r="Q37" s="75" t="str">
        <x:f>S36</x:f>
        <x:v>SOURCE EMPTY</x:v>
      </x:c>
      <x:c r="R37" s="75" t="str">
        <x:f>IF(L37="","SOURCE EMPTY",IF(L37=J37,"ROOT COLLISION",IF(AND(M37&lt;&gt;"",M37=L37),"DUAL-KEY COLLISION","CLEAR")))</x:f>
        <x:v>SOURCE EMPTY</x:v>
      </x:c>
      <x:c r="S37" s="75" t="str">
        <x:f>IF(OR(J37="",L37="",M37="",N37="",O37=""),"SOURCE EMPTY",IF(AND(OR(D37=4,D37=5,D37=8),K37=""),"SOURCE EMPTY",IF(R37&lt;&gt;"CLEAR","COLLISION",IF(P37&lt;&gt;"","ROLLBACK",IF(O37&lt;&gt;"ACCEPT","HOLD",IF(OR(D37=1,Q37="ACCEPTED"),"ACCEPTED","SEQUENCE HOLD"))))))</x:f>
        <x:v>SOURCE EMPTY</x:v>
      </x:c>
      <x:c r="T37" s="85" t="n">
        <x:f>IF(S37="ACCEPTED",H37*I37,0)</x:f>
        <x:v>0</x:v>
      </x:c>
      <x:c r="U37" s="75"/>
      <x:c r="V37" s="75"/>
      <x:c r="W37" s="75"/>
      <x:c r="X37" s="75"/>
      <x:c r="Y37" s="75"/>
      <x:c r="Z37" s="75"/>
    </x:row>
    <x:row r="38" ht="20" customHeight="1">
      <x:c r="A38" s="86" t="str">
        <x:v>MS-ET-C-RW-09</x:v>
      </x:c>
      <x:c r="B38" s="75" t="str">
        <x:v>MS-ET-C</x:v>
      </x:c>
      <x:c r="C38" s="75" t="str">
        <x:v>MS-ET</x:v>
      </x:c>
      <x:c r="D38" s="75" t="n">
        <x:v>9</x:v>
      </x:c>
      <x:c r="E38" s="75" t="str">
        <x:v>RW-09</x:v>
      </x:c>
      <x:c r="F38" s="86" t="str">
        <x:v>Joint Capacity Authority</x:v>
      </x:c>
      <x:c r="G38" s="86" t="str">
        <x:v>Department Comptroller</x:v>
      </x:c>
      <x:c r="H38" s="88" t="n">
        <x:v>0.08</x:v>
      </x:c>
      <x:c r="I38" s="85" t="n">
        <x:f>INDEX('Root Registry'!$G$6:$G$29,MATCH(B38,'Root Registry'!$A$6:$A$29,0))</x:f>
        <x:v>22.25</x:v>
      </x:c>
      <x:c r="J38" s="75" t="str">
        <x:f>INDEX('Root Registry'!$D$6:$D$29,MATCH(B38,'Root Registry'!$A$6:$A$29,0))</x:f>
      </x:c>
      <x:c r="K38" s="75" t="str">
        <x:f>INDEX('Root Registry'!$F$6:$F$29,MATCH(B38,'Root Registry'!$A$6:$A$29,0))</x:f>
      </x:c>
      <x:c r="L38" s="43" t="str"/>
      <x:c r="M38" s="43" t="str"/>
      <x:c r="N38" s="43" t="str"/>
      <x:c r="O38" s="43" t="str"/>
      <x:c r="P38" s="43" t="str"/>
      <x:c r="Q38" s="75" t="str">
        <x:f>S37</x:f>
        <x:v>SOURCE EMPTY</x:v>
      </x:c>
      <x:c r="R38" s="75" t="str">
        <x:f>IF(L38="","SOURCE EMPTY",IF(L38=J38,"ROOT COLLISION",IF(AND(M38&lt;&gt;"",M38=L38),"DUAL-KEY COLLISION","CLEAR")))</x:f>
        <x:v>SOURCE EMPTY</x:v>
      </x:c>
      <x:c r="S38" s="75" t="str">
        <x:f>IF(OR(J38="",L38="",M38="",N38="",O38=""),"SOURCE EMPTY",IF(AND(OR(D38=4,D38=5,D38=8),K38=""),"SOURCE EMPTY",IF(R38&lt;&gt;"CLEAR","COLLISION",IF(P38&lt;&gt;"","ROLLBACK",IF(O38&lt;&gt;"ACCEPT","HOLD",IF(OR(D38=1,Q38="ACCEPTED"),"ACCEPTED","SEQUENCE HOLD"))))))</x:f>
        <x:v>SOURCE EMPTY</x:v>
      </x:c>
      <x:c r="T38" s="85" t="n">
        <x:f>IF(S38="ACCEPTED",H38*I38,0)</x:f>
        <x:v>0</x:v>
      </x:c>
      <x:c r="U38" s="75"/>
      <x:c r="V38" s="75"/>
      <x:c r="W38" s="75"/>
      <x:c r="X38" s="75"/>
      <x:c r="Y38" s="75"/>
      <x:c r="Z38" s="75"/>
    </x:row>
    <x:row r="39" ht="20" customHeight="1">
      <x:c r="A39" s="86" t="str">
        <x:v>MS-ET-C-OW-10</x:v>
      </x:c>
      <x:c r="B39" s="75" t="str">
        <x:v>MS-ET-C</x:v>
      </x:c>
      <x:c r="C39" s="75" t="str">
        <x:v>MS-ET</x:v>
      </x:c>
      <x:c r="D39" s="75" t="n">
        <x:v>10</x:v>
      </x:c>
      <x:c r="E39" s="75" t="str">
        <x:v>OW-10</x:v>
      </x:c>
      <x:c r="F39" s="86" t="str">
        <x:v>Operational Command</x:v>
      </x:c>
      <x:c r="G39" s="86" t="str">
        <x:v>Civil Resilience Authority</x:v>
      </x:c>
      <x:c r="H39" s="88" t="n">
        <x:v>0.05</x:v>
      </x:c>
      <x:c r="I39" s="85" t="n">
        <x:f>INDEX('Root Registry'!$G$6:$G$29,MATCH(B39,'Root Registry'!$A$6:$A$29,0))</x:f>
        <x:v>22.25</x:v>
      </x:c>
      <x:c r="J39" s="75" t="str">
        <x:f>INDEX('Root Registry'!$D$6:$D$29,MATCH(B39,'Root Registry'!$A$6:$A$29,0))</x:f>
      </x:c>
      <x:c r="K39" s="75" t="str">
        <x:f>INDEX('Root Registry'!$F$6:$F$29,MATCH(B39,'Root Registry'!$A$6:$A$29,0))</x:f>
      </x:c>
      <x:c r="L39" s="43" t="str"/>
      <x:c r="M39" s="43" t="str"/>
      <x:c r="N39" s="43" t="str"/>
      <x:c r="O39" s="43" t="str"/>
      <x:c r="P39" s="43" t="str"/>
      <x:c r="Q39" s="75" t="str">
        <x:f>S38</x:f>
        <x:v>SOURCE EMPTY</x:v>
      </x:c>
      <x:c r="R39" s="75" t="str">
        <x:f>IF(L39="","SOURCE EMPTY",IF(L39=J39,"ROOT COLLISION",IF(AND(M39&lt;&gt;"",M39=L39),"DUAL-KEY COLLISION","CLEAR")))</x:f>
        <x:v>SOURCE EMPTY</x:v>
      </x:c>
      <x:c r="S39" s="75" t="str">
        <x:f>IF(OR(J39="",L39="",M39="",N39="",O39=""),"SOURCE EMPTY",IF(AND(OR(D39=4,D39=5,D39=8),K39=""),"SOURCE EMPTY",IF(R39&lt;&gt;"CLEAR","COLLISION",IF(P39&lt;&gt;"","ROLLBACK",IF(O39&lt;&gt;"ACCEPT","HOLD",IF(OR(D39=1,Q39="ACCEPTED"),"ACCEPTED","SEQUENCE HOLD"))))))</x:f>
        <x:v>SOURCE EMPTY</x:v>
      </x:c>
      <x:c r="T39" s="85" t="n">
        <x:f>IF(S39="ACCEPTED",H39*I39,0)</x:f>
        <x:v>0</x:v>
      </x:c>
      <x:c r="U39" s="75"/>
      <x:c r="V39" s="75"/>
      <x:c r="W39" s="75"/>
      <x:c r="X39" s="75"/>
      <x:c r="Y39" s="75"/>
      <x:c r="Z39" s="75"/>
    </x:row>
    <x:row r="40" ht="20" customHeight="1">
      <x:c r="A40" s="86" t="str">
        <x:v>MS-ET-C-SW-11</x:v>
      </x:c>
      <x:c r="B40" s="75" t="str">
        <x:v>MS-ET-C</x:v>
      </x:c>
      <x:c r="C40" s="75" t="str">
        <x:v>MS-ET</x:v>
      </x:c>
      <x:c r="D40" s="75" t="n">
        <x:v>11</x:v>
      </x:c>
      <x:c r="E40" s="75" t="str">
        <x:v>SW-11</x:v>
      </x:c>
      <x:c r="F40" s="86" t="str">
        <x:v>Civil Resilience Authority</x:v>
      </x:c>
      <x:c r="G40" s="86" t="str">
        <x:v>Affected Civil Authority</x:v>
      </x:c>
      <x:c r="H40" s="88" t="n">
        <x:v>0.07</x:v>
      </x:c>
      <x:c r="I40" s="85" t="n">
        <x:f>INDEX('Root Registry'!$G$6:$G$29,MATCH(B40,'Root Registry'!$A$6:$A$29,0))</x:f>
        <x:v>22.25</x:v>
      </x:c>
      <x:c r="J40" s="75" t="str">
        <x:f>INDEX('Root Registry'!$D$6:$D$29,MATCH(B40,'Root Registry'!$A$6:$A$29,0))</x:f>
      </x:c>
      <x:c r="K40" s="75" t="str">
        <x:f>INDEX('Root Registry'!$F$6:$F$29,MATCH(B40,'Root Registry'!$A$6:$A$29,0))</x:f>
      </x:c>
      <x:c r="L40" s="43" t="str"/>
      <x:c r="M40" s="43" t="str"/>
      <x:c r="N40" s="43" t="str"/>
      <x:c r="O40" s="43" t="str"/>
      <x:c r="P40" s="43" t="str"/>
      <x:c r="Q40" s="75" t="str">
        <x:f>S39</x:f>
        <x:v>SOURCE EMPTY</x:v>
      </x:c>
      <x:c r="R40" s="75" t="str">
        <x:f>IF(L40="","SOURCE EMPTY",IF(L40=J40,"ROOT COLLISION",IF(AND(M40&lt;&gt;"",M40=L40),"DUAL-KEY COLLISION","CLEAR")))</x:f>
        <x:v>SOURCE EMPTY</x:v>
      </x:c>
      <x:c r="S40" s="75" t="str">
        <x:f>IF(OR(J40="",L40="",M40="",N40="",O40=""),"SOURCE EMPTY",IF(AND(OR(D40=4,D40=5,D40=8),K40=""),"SOURCE EMPTY",IF(R40&lt;&gt;"CLEAR","COLLISION",IF(P40&lt;&gt;"","ROLLBACK",IF(O40&lt;&gt;"ACCEPT","HOLD",IF(OR(D40=1,Q40="ACCEPTED"),"ACCEPTED","SEQUENCE HOLD"))))))</x:f>
        <x:v>SOURCE EMPTY</x:v>
      </x:c>
      <x:c r="T40" s="85" t="n">
        <x:f>IF(S40="ACCEPTED",H40*I40,0)</x:f>
        <x:v>0</x:v>
      </x:c>
      <x:c r="U40" s="75"/>
      <x:c r="V40" s="75"/>
      <x:c r="W40" s="75"/>
      <x:c r="X40" s="75"/>
      <x:c r="Y40" s="75"/>
      <x:c r="Z40" s="75"/>
    </x:row>
    <x:row r="41" ht="20" customHeight="1">
      <x:c r="A41" s="86" t="str">
        <x:v>MS-ET-C-GW-12</x:v>
      </x:c>
      <x:c r="B41" s="75" t="str">
        <x:v>MS-ET-C</x:v>
      </x:c>
      <x:c r="C41" s="75" t="str">
        <x:v>MS-ET</x:v>
      </x:c>
      <x:c r="D41" s="75" t="n">
        <x:v>12</x:v>
      </x:c>
      <x:c r="E41" s="75" t="str">
        <x:v>GW-12</x:v>
      </x:c>
      <x:c r="F41" s="86" t="str">
        <x:v>Strategic Sustainment Command</x:v>
      </x:c>
      <x:c r="G41" s="86" t="str">
        <x:v>Joint Capacity Authority</x:v>
      </x:c>
      <x:c r="H41" s="88" t="n">
        <x:v>0.05</x:v>
      </x:c>
      <x:c r="I41" s="85" t="n">
        <x:f>INDEX('Root Registry'!$G$6:$G$29,MATCH(B41,'Root Registry'!$A$6:$A$29,0))</x:f>
        <x:v>22.25</x:v>
      </x:c>
      <x:c r="J41" s="75" t="str">
        <x:f>INDEX('Root Registry'!$D$6:$D$29,MATCH(B41,'Root Registry'!$A$6:$A$29,0))</x:f>
      </x:c>
      <x:c r="K41" s="75" t="str">
        <x:f>INDEX('Root Registry'!$F$6:$F$29,MATCH(B41,'Root Registry'!$A$6:$A$29,0))</x:f>
      </x:c>
      <x:c r="L41" s="43" t="str"/>
      <x:c r="M41" s="43" t="str"/>
      <x:c r="N41" s="43" t="str"/>
      <x:c r="O41" s="43" t="str"/>
      <x:c r="P41" s="43" t="str"/>
      <x:c r="Q41" s="75" t="str">
        <x:f>S40</x:f>
        <x:v>SOURCE EMPTY</x:v>
      </x:c>
      <x:c r="R41" s="75" t="str">
        <x:f>IF(L41="","SOURCE EMPTY",IF(L41=J41,"ROOT COLLISION",IF(AND(M41&lt;&gt;"",M41=L41),"DUAL-KEY COLLISION","CLEAR")))</x:f>
        <x:v>SOURCE EMPTY</x:v>
      </x:c>
      <x:c r="S41" s="75" t="str">
        <x:f>IF(OR(J41="",L41="",M41="",N41="",O41=""),"SOURCE EMPTY",IF(AND(OR(D41=4,D41=5,D41=8),K41=""),"SOURCE EMPTY",IF(R41&lt;&gt;"CLEAR","COLLISION",IF(P41&lt;&gt;"","ROLLBACK",IF(O41&lt;&gt;"ACCEPT","HOLD",IF(OR(D41=1,Q41="ACCEPTED"),"ACCEPTED","SEQUENCE HOLD"))))))</x:f>
        <x:v>SOURCE EMPTY</x:v>
      </x:c>
      <x:c r="T41" s="85" t="n">
        <x:f>IF(S41="ACCEPTED",H41*I41,0)</x:f>
        <x:v>0</x:v>
      </x:c>
      <x:c r="U41" s="75"/>
      <x:c r="V41" s="75"/>
      <x:c r="W41" s="75"/>
      <x:c r="X41" s="75"/>
      <x:c r="Y41" s="75"/>
      <x:c r="Z41" s="75"/>
    </x:row>
    <x:row r="42" ht="20" customHeight="1">
      <x:c r="A42" s="86" t="str">
        <x:v>MS-ET-D-PW-01</x:v>
      </x:c>
      <x:c r="B42" s="75" t="str">
        <x:v>MS-ET-D</x:v>
      </x:c>
      <x:c r="C42" s="75" t="str">
        <x:v>MS-ET</x:v>
      </x:c>
      <x:c r="D42" s="75" t="n">
        <x:v>1</x:v>
      </x:c>
      <x:c r="E42" s="75" t="str">
        <x:v>PW-01</x:v>
      </x:c>
      <x:c r="F42" s="86" t="str">
        <x:v>Civil Resilience Authority</x:v>
      </x:c>
      <x:c r="G42" s="86" t="str">
        <x:v>Public Effect College</x:v>
      </x:c>
      <x:c r="H42" s="88" t="n">
        <x:v>0.01</x:v>
      </x:c>
      <x:c r="I42" s="85" t="n">
        <x:f>INDEX('Root Registry'!$G$6:$G$29,MATCH(B42,'Root Registry'!$A$6:$A$29,0))</x:f>
        <x:v>22.25</x:v>
      </x:c>
      <x:c r="J42" s="75" t="str">
        <x:f>INDEX('Root Registry'!$D$6:$D$29,MATCH(B42,'Root Registry'!$A$6:$A$29,0))</x:f>
      </x:c>
      <x:c r="K42" s="75" t="str">
        <x:f>INDEX('Root Registry'!$F$6:$F$29,MATCH(B42,'Root Registry'!$A$6:$A$29,0))</x:f>
      </x:c>
      <x:c r="L42" s="43" t="str"/>
      <x:c r="M42" s="43" t="str"/>
      <x:c r="N42" s="43" t="str"/>
      <x:c r="O42" s="43" t="str"/>
      <x:c r="P42" s="43" t="str"/>
      <x:c r="Q42" s="75" t="str">
        <x:f>"ORIGIN"</x:f>
        <x:v>ORIGIN</x:v>
      </x:c>
      <x:c r="R42" s="75" t="str">
        <x:f>IF(L42="","SOURCE EMPTY",IF(L42=J42,"ROOT COLLISION",IF(AND(M42&lt;&gt;"",M42=L42),"DUAL-KEY COLLISION","CLEAR")))</x:f>
        <x:v>SOURCE EMPTY</x:v>
      </x:c>
      <x:c r="S42" s="75" t="str">
        <x:f>IF(OR(J42="",L42="",M42="",N42="",O42=""),"SOURCE EMPTY",IF(AND(OR(D42=4,D42=5,D42=8),K42=""),"SOURCE EMPTY",IF(R42&lt;&gt;"CLEAR","COLLISION",IF(P42&lt;&gt;"","ROLLBACK",IF(O42&lt;&gt;"ACCEPT","HOLD",IF(OR(D42=1,Q42="ACCEPTED"),"ACCEPTED","SEQUENCE HOLD"))))))</x:f>
        <x:v>SOURCE EMPTY</x:v>
      </x:c>
      <x:c r="T42" s="85" t="n">
        <x:f>IF(S42="ACCEPTED",H42*I42,0)</x:f>
        <x:v>0</x:v>
      </x:c>
      <x:c r="U42" s="75"/>
      <x:c r="V42" s="75"/>
      <x:c r="W42" s="75"/>
      <x:c r="X42" s="75"/>
      <x:c r="Y42" s="75"/>
      <x:c r="Z42" s="75"/>
    </x:row>
    <x:row r="43" ht="20" customHeight="1">
      <x:c r="A43" s="86" t="str">
        <x:v>MS-ET-D-MW-02</x:v>
      </x:c>
      <x:c r="B43" s="75" t="str">
        <x:v>MS-ET-D</x:v>
      </x:c>
      <x:c r="C43" s="75" t="str">
        <x:v>MS-ET</x:v>
      </x:c>
      <x:c r="D43" s="75" t="n">
        <x:v>2</x:v>
      </x:c>
      <x:c r="E43" s="75" t="str">
        <x:v>MW-02</x:v>
      </x:c>
      <x:c r="F43" s="86" t="str">
        <x:v>Mission System Command</x:v>
      </x:c>
      <x:c r="G43" s="86" t="str">
        <x:v>Civil Resilience Authority</x:v>
      </x:c>
      <x:c r="H43" s="88" t="n">
        <x:v>0.02</x:v>
      </x:c>
      <x:c r="I43" s="85" t="n">
        <x:f>INDEX('Root Registry'!$G$6:$G$29,MATCH(B43,'Root Registry'!$A$6:$A$29,0))</x:f>
        <x:v>22.25</x:v>
      </x:c>
      <x:c r="J43" s="75" t="str">
        <x:f>INDEX('Root Registry'!$D$6:$D$29,MATCH(B43,'Root Registry'!$A$6:$A$29,0))</x:f>
      </x:c>
      <x:c r="K43" s="75" t="str">
        <x:f>INDEX('Root Registry'!$F$6:$F$29,MATCH(B43,'Root Registry'!$A$6:$A$29,0))</x:f>
      </x:c>
      <x:c r="L43" s="43" t="str"/>
      <x:c r="M43" s="43" t="str"/>
      <x:c r="N43" s="43" t="str"/>
      <x:c r="O43" s="43" t="str"/>
      <x:c r="P43" s="43" t="str"/>
      <x:c r="Q43" s="75" t="str">
        <x:f>S42</x:f>
        <x:v>SOURCE EMPTY</x:v>
      </x:c>
      <x:c r="R43" s="75" t="str">
        <x:f>IF(L43="","SOURCE EMPTY",IF(L43=J43,"ROOT COLLISION",IF(AND(M43&lt;&gt;"",M43=L43),"DUAL-KEY COLLISION","CLEAR")))</x:f>
        <x:v>SOURCE EMPTY</x:v>
      </x:c>
      <x:c r="S43" s="75" t="str">
        <x:f>IF(OR(J43="",L43="",M43="",N43="",O43=""),"SOURCE EMPTY",IF(AND(OR(D43=4,D43=5,D43=8),K43=""),"SOURCE EMPTY",IF(R43&lt;&gt;"CLEAR","COLLISION",IF(P43&lt;&gt;"","ROLLBACK",IF(O43&lt;&gt;"ACCEPT","HOLD",IF(OR(D43=1,Q43="ACCEPTED"),"ACCEPTED","SEQUENCE HOLD"))))))</x:f>
        <x:v>SOURCE EMPTY</x:v>
      </x:c>
      <x:c r="T43" s="85" t="n">
        <x:f>IF(S43="ACCEPTED",H43*I43,0)</x:f>
        <x:v>0</x:v>
      </x:c>
      <x:c r="U43" s="75"/>
      <x:c r="V43" s="75"/>
      <x:c r="W43" s="75"/>
      <x:c r="X43" s="75"/>
      <x:c r="Y43" s="75"/>
      <x:c r="Z43" s="75"/>
    </x:row>
    <x:row r="44" ht="20" customHeight="1">
      <x:c r="A44" s="86" t="str">
        <x:v>MS-ET-D-FW-03</x:v>
      </x:c>
      <x:c r="B44" s="75" t="str">
        <x:v>MS-ET-D</x:v>
      </x:c>
      <x:c r="C44" s="75" t="str">
        <x:v>MS-ET</x:v>
      </x:c>
      <x:c r="D44" s="75" t="n">
        <x:v>3</x:v>
      </x:c>
      <x:c r="E44" s="75" t="str">
        <x:v>FW-03</x:v>
      </x:c>
      <x:c r="F44" s="86" t="str">
        <x:v>Department Capital Board</x:v>
      </x:c>
      <x:c r="G44" s="86" t="str">
        <x:v>Failure Reserve Trustee</x:v>
      </x:c>
      <x:c r="H44" s="88" t="n">
        <x:v>0.05</x:v>
      </x:c>
      <x:c r="I44" s="85" t="n">
        <x:f>INDEX('Root Registry'!$G$6:$G$29,MATCH(B44,'Root Registry'!$A$6:$A$29,0))</x:f>
        <x:v>22.25</x:v>
      </x:c>
      <x:c r="J44" s="75" t="str">
        <x:f>INDEX('Root Registry'!$D$6:$D$29,MATCH(B44,'Root Registry'!$A$6:$A$29,0))</x:f>
      </x:c>
      <x:c r="K44" s="75" t="str">
        <x:f>INDEX('Root Registry'!$F$6:$F$29,MATCH(B44,'Root Registry'!$A$6:$A$29,0))</x:f>
      </x:c>
      <x:c r="L44" s="43" t="str"/>
      <x:c r="M44" s="43" t="str"/>
      <x:c r="N44" s="43" t="str"/>
      <x:c r="O44" s="43" t="str"/>
      <x:c r="P44" s="43" t="str"/>
      <x:c r="Q44" s="75" t="str">
        <x:f>S43</x:f>
        <x:v>SOURCE EMPTY</x:v>
      </x:c>
      <x:c r="R44" s="75" t="str">
        <x:f>IF(L44="","SOURCE EMPTY",IF(L44=J44,"ROOT COLLISION",IF(AND(M44&lt;&gt;"",M44=L44),"DUAL-KEY COLLISION","CLEAR")))</x:f>
        <x:v>SOURCE EMPTY</x:v>
      </x:c>
      <x:c r="S44" s="75" t="str">
        <x:f>IF(OR(J44="",L44="",M44="",N44="",O44=""),"SOURCE EMPTY",IF(AND(OR(D44=4,D44=5,D44=8),K44=""),"SOURCE EMPTY",IF(R44&lt;&gt;"CLEAR","COLLISION",IF(P44&lt;&gt;"","ROLLBACK",IF(O44&lt;&gt;"ACCEPT","HOLD",IF(OR(D44=1,Q44="ACCEPTED"),"ACCEPTED","SEQUENCE HOLD"))))))</x:f>
        <x:v>SOURCE EMPTY</x:v>
      </x:c>
      <x:c r="T44" s="85" t="n">
        <x:f>IF(S44="ACCEPTED",H44*I44,0)</x:f>
        <x:v>0</x:v>
      </x:c>
      <x:c r="U44" s="75"/>
      <x:c r="V44" s="75"/>
      <x:c r="W44" s="75"/>
      <x:c r="X44" s="75"/>
      <x:c r="Y44" s="75"/>
      <x:c r="Z44" s="75"/>
    </x:row>
    <x:row r="45" ht="20" customHeight="1">
      <x:c r="A45" s="86" t="str">
        <x:v>MS-ET-D-CW-04</x:v>
      </x:c>
      <x:c r="B45" s="75" t="str">
        <x:v>MS-ET-D</x:v>
      </x:c>
      <x:c r="C45" s="75" t="str">
        <x:v>MS-ET</x:v>
      </x:c>
      <x:c r="D45" s="75" t="n">
        <x:v>4</x:v>
      </x:c>
      <x:c r="E45" s="75" t="str">
        <x:v>CW-04</x:v>
      </x:c>
      <x:c r="F45" s="86" t="str">
        <x:v>Service Technical College</x:v>
      </x:c>
      <x:c r="G45" s="86" t="str">
        <x:v>Independent Root House</x:v>
      </x:c>
      <x:c r="H45" s="88" t="n">
        <x:v>0.12</x:v>
      </x:c>
      <x:c r="I45" s="85" t="n">
        <x:f>INDEX('Root Registry'!$G$6:$G$29,MATCH(B45,'Root Registry'!$A$6:$A$29,0))</x:f>
        <x:v>22.25</x:v>
      </x:c>
      <x:c r="J45" s="75" t="str">
        <x:f>INDEX('Root Registry'!$D$6:$D$29,MATCH(B45,'Root Registry'!$A$6:$A$29,0))</x:f>
      </x:c>
      <x:c r="K45" s="75" t="str">
        <x:f>INDEX('Root Registry'!$F$6:$F$29,MATCH(B45,'Root Registry'!$A$6:$A$29,0))</x:f>
      </x:c>
      <x:c r="L45" s="43" t="str"/>
      <x:c r="M45" s="43" t="str"/>
      <x:c r="N45" s="43" t="str"/>
      <x:c r="O45" s="43" t="str"/>
      <x:c r="P45" s="43" t="str"/>
      <x:c r="Q45" s="75" t="str">
        <x:f>S44</x:f>
        <x:v>SOURCE EMPTY</x:v>
      </x:c>
      <x:c r="R45" s="75" t="str">
        <x:f>IF(L45="","SOURCE EMPTY",IF(L45=J45,"ROOT COLLISION",IF(AND(M45&lt;&gt;"",M45=L45),"DUAL-KEY COLLISION","CLEAR")))</x:f>
        <x:v>SOURCE EMPTY</x:v>
      </x:c>
      <x:c r="S45" s="75" t="str">
        <x:f>IF(OR(J45="",L45="",M45="",N45="",O45=""),"SOURCE EMPTY",IF(AND(OR(D45=4,D45=5,D45=8),K45=""),"SOURCE EMPTY",IF(R45&lt;&gt;"CLEAR","COLLISION",IF(P45&lt;&gt;"","ROLLBACK",IF(O45&lt;&gt;"ACCEPT","HOLD",IF(OR(D45=1,Q45="ACCEPTED"),"ACCEPTED","SEQUENCE HOLD"))))))</x:f>
        <x:v>SOURCE EMPTY</x:v>
      </x:c>
      <x:c r="T45" s="85" t="n">
        <x:f>IF(S45="ACCEPTED",H45*I45,0)</x:f>
        <x:v>0</x:v>
      </x:c>
      <x:c r="U45" s="75"/>
      <x:c r="V45" s="75"/>
      <x:c r="W45" s="75"/>
      <x:c r="X45" s="75"/>
      <x:c r="Y45" s="75"/>
      <x:c r="Z45" s="75"/>
    </x:row>
    <x:row r="46" ht="20" customHeight="1">
      <x:c r="A46" s="86" t="str">
        <x:v>MS-ET-D-TW-05</x:v>
      </x:c>
      <x:c r="B46" s="75" t="str">
        <x:v>MS-ET-D</x:v>
      </x:c>
      <x:c r="C46" s="75" t="str">
        <x:v>MS-ET</x:v>
      </x:c>
      <x:c r="D46" s="75" t="n">
        <x:v>5</x:v>
      </x:c>
      <x:c r="E46" s="75" t="str">
        <x:v>TW-05</x:v>
      </x:c>
      <x:c r="F46" s="86" t="str">
        <x:v>Service Technical College</x:v>
      </x:c>
      <x:c r="G46" s="86" t="str">
        <x:v>Public Protection Inspectorate</x:v>
      </x:c>
      <x:c r="H46" s="88" t="n">
        <x:v>0.08</x:v>
      </x:c>
      <x:c r="I46" s="85" t="n">
        <x:f>INDEX('Root Registry'!$G$6:$G$29,MATCH(B46,'Root Registry'!$A$6:$A$29,0))</x:f>
        <x:v>22.25</x:v>
      </x:c>
      <x:c r="J46" s="75" t="str">
        <x:f>INDEX('Root Registry'!$D$6:$D$29,MATCH(B46,'Root Registry'!$A$6:$A$29,0))</x:f>
      </x:c>
      <x:c r="K46" s="75" t="str">
        <x:f>INDEX('Root Registry'!$F$6:$F$29,MATCH(B46,'Root Registry'!$A$6:$A$29,0))</x:f>
      </x:c>
      <x:c r="L46" s="43" t="str"/>
      <x:c r="M46" s="43" t="str"/>
      <x:c r="N46" s="43" t="str"/>
      <x:c r="O46" s="43" t="str"/>
      <x:c r="P46" s="43" t="str"/>
      <x:c r="Q46" s="75" t="str">
        <x:f>S45</x:f>
        <x:v>SOURCE EMPTY</x:v>
      </x:c>
      <x:c r="R46" s="75" t="str">
        <x:f>IF(L46="","SOURCE EMPTY",IF(L46=J46,"ROOT COLLISION",IF(AND(M46&lt;&gt;"",M46=L46),"DUAL-KEY COLLISION","CLEAR")))</x:f>
        <x:v>SOURCE EMPTY</x:v>
      </x:c>
      <x:c r="S46" s="75" t="str">
        <x:f>IF(OR(J46="",L46="",M46="",N46="",O46=""),"SOURCE EMPTY",IF(AND(OR(D46=4,D46=5,D46=8),K46=""),"SOURCE EMPTY",IF(R46&lt;&gt;"CLEAR","COLLISION",IF(P46&lt;&gt;"","ROLLBACK",IF(O46&lt;&gt;"ACCEPT","HOLD",IF(OR(D46=1,Q46="ACCEPTED"),"ACCEPTED","SEQUENCE HOLD"))))))</x:f>
        <x:v>SOURCE EMPTY</x:v>
      </x:c>
      <x:c r="T46" s="85" t="n">
        <x:f>IF(S46="ACCEPTED",H46*I46,0)</x:f>
        <x:v>0</x:v>
      </x:c>
      <x:c r="U46" s="75"/>
      <x:c r="V46" s="75"/>
      <x:c r="W46" s="75"/>
      <x:c r="X46" s="75"/>
      <x:c r="Y46" s="75"/>
      <x:c r="Z46" s="75"/>
    </x:row>
    <x:row r="47" ht="20" customHeight="1">
      <x:c r="A47" s="86" t="str">
        <x:v>MS-ET-D-EW-06</x:v>
      </x:c>
      <x:c r="B47" s="75" t="str">
        <x:v>MS-ET-D</x:v>
      </x:c>
      <x:c r="C47" s="75" t="str">
        <x:v>MS-ET</x:v>
      </x:c>
      <x:c r="D47" s="75" t="n">
        <x:v>6</x:v>
      </x:c>
      <x:c r="E47" s="75" t="str">
        <x:v>EW-06</x:v>
      </x:c>
      <x:c r="F47" s="86" t="str">
        <x:v>Resilience Proving Service</x:v>
      </x:c>
      <x:c r="G47" s="86" t="str">
        <x:v>Public Effect College</x:v>
      </x:c>
      <x:c r="H47" s="88" t="n">
        <x:v>0.2</x:v>
      </x:c>
      <x:c r="I47" s="85" t="n">
        <x:f>INDEX('Root Registry'!$G$6:$G$29,MATCH(B47,'Root Registry'!$A$6:$A$29,0))</x:f>
        <x:v>22.25</x:v>
      </x:c>
      <x:c r="J47" s="75" t="str">
        <x:f>INDEX('Root Registry'!$D$6:$D$29,MATCH(B47,'Root Registry'!$A$6:$A$29,0))</x:f>
      </x:c>
      <x:c r="K47" s="75" t="str">
        <x:f>INDEX('Root Registry'!$F$6:$F$29,MATCH(B47,'Root Registry'!$A$6:$A$29,0))</x:f>
      </x:c>
      <x:c r="L47" s="43" t="str"/>
      <x:c r="M47" s="43" t="str"/>
      <x:c r="N47" s="43" t="str"/>
      <x:c r="O47" s="43" t="str"/>
      <x:c r="P47" s="43" t="str"/>
      <x:c r="Q47" s="75" t="str">
        <x:f>S46</x:f>
        <x:v>SOURCE EMPTY</x:v>
      </x:c>
      <x:c r="R47" s="75" t="str">
        <x:f>IF(L47="","SOURCE EMPTY",IF(L47=J47,"ROOT COLLISION",IF(AND(M47&lt;&gt;"",M47=L47),"DUAL-KEY COLLISION","CLEAR")))</x:f>
        <x:v>SOURCE EMPTY</x:v>
      </x:c>
      <x:c r="S47" s="75" t="str">
        <x:f>IF(OR(J47="",L47="",M47="",N47="",O47=""),"SOURCE EMPTY",IF(AND(OR(D47=4,D47=5,D47=8),K47=""),"SOURCE EMPTY",IF(R47&lt;&gt;"CLEAR","COLLISION",IF(P47&lt;&gt;"","ROLLBACK",IF(O47&lt;&gt;"ACCEPT","HOLD",IF(OR(D47=1,Q47="ACCEPTED"),"ACCEPTED","SEQUENCE HOLD"))))))</x:f>
        <x:v>SOURCE EMPTY</x:v>
      </x:c>
      <x:c r="T47" s="85" t="n">
        <x:f>IF(S47="ACCEPTED",H47*I47,0)</x:f>
        <x:v>0</x:v>
      </x:c>
      <x:c r="U47" s="75"/>
      <x:c r="V47" s="75"/>
      <x:c r="W47" s="75"/>
      <x:c r="X47" s="75"/>
      <x:c r="Y47" s="75"/>
      <x:c r="Z47" s="75"/>
    </x:row>
    <x:row r="48" ht="20" customHeight="1">
      <x:c r="A48" s="86" t="str">
        <x:v>MS-ET-D-IW-07</x:v>
      </x:c>
      <x:c r="B48" s="75" t="str">
        <x:v>MS-ET-D</x:v>
      </x:c>
      <x:c r="C48" s="75" t="str">
        <x:v>MS-ET</x:v>
      </x:c>
      <x:c r="D48" s="75" t="n">
        <x:v>7</x:v>
      </x:c>
      <x:c r="E48" s="75" t="str">
        <x:v>IW-07</x:v>
      </x:c>
      <x:c r="F48" s="86" t="str">
        <x:v>Industrial Mobilization Administration</x:v>
      </x:c>
      <x:c r="G48" s="86" t="str">
        <x:v>Reconstruction Command</x:v>
      </x:c>
      <x:c r="H48" s="88" t="n">
        <x:v>0.15</x:v>
      </x:c>
      <x:c r="I48" s="85" t="n">
        <x:f>INDEX('Root Registry'!$G$6:$G$29,MATCH(B48,'Root Registry'!$A$6:$A$29,0))</x:f>
        <x:v>22.25</x:v>
      </x:c>
      <x:c r="J48" s="75" t="str">
        <x:f>INDEX('Root Registry'!$D$6:$D$29,MATCH(B48,'Root Registry'!$A$6:$A$29,0))</x:f>
      </x:c>
      <x:c r="K48" s="75" t="str">
        <x:f>INDEX('Root Registry'!$F$6:$F$29,MATCH(B48,'Root Registry'!$A$6:$A$29,0))</x:f>
      </x:c>
      <x:c r="L48" s="43" t="str"/>
      <x:c r="M48" s="43" t="str"/>
      <x:c r="N48" s="43" t="str"/>
      <x:c r="O48" s="43" t="str"/>
      <x:c r="P48" s="43" t="str"/>
      <x:c r="Q48" s="75" t="str">
        <x:f>S47</x:f>
        <x:v>SOURCE EMPTY</x:v>
      </x:c>
      <x:c r="R48" s="75" t="str">
        <x:f>IF(L48="","SOURCE EMPTY",IF(L48=J48,"ROOT COLLISION",IF(AND(M48&lt;&gt;"",M48=L48),"DUAL-KEY COLLISION","CLEAR")))</x:f>
        <x:v>SOURCE EMPTY</x:v>
      </x:c>
      <x:c r="S48" s="75" t="str">
        <x:f>IF(OR(J48="",L48="",M48="",N48="",O48=""),"SOURCE EMPTY",IF(AND(OR(D48=4,D48=5,D48=8),K48=""),"SOURCE EMPTY",IF(R48&lt;&gt;"CLEAR","COLLISION",IF(P48&lt;&gt;"","ROLLBACK",IF(O48&lt;&gt;"ACCEPT","HOLD",IF(OR(D48=1,Q48="ACCEPTED"),"ACCEPTED","SEQUENCE HOLD"))))))</x:f>
        <x:v>SOURCE EMPTY</x:v>
      </x:c>
      <x:c r="T48" s="85" t="n">
        <x:f>IF(S48="ACCEPTED",H48*I48,0)</x:f>
        <x:v>0</x:v>
      </x:c>
      <x:c r="U48" s="75"/>
      <x:c r="V48" s="75"/>
      <x:c r="W48" s="75"/>
      <x:c r="X48" s="75"/>
      <x:c r="Y48" s="75"/>
      <x:c r="Z48" s="75"/>
    </x:row>
    <x:row r="49" ht="20" customHeight="1">
      <x:c r="A49" s="86" t="str">
        <x:v>MS-ET-D-CW-08</x:v>
      </x:c>
      <x:c r="B49" s="75" t="str">
        <x:v>MS-ET-D</x:v>
      </x:c>
      <x:c r="C49" s="75" t="str">
        <x:v>MS-ET</x:v>
      </x:c>
      <x:c r="D49" s="75" t="n">
        <x:v>8</x:v>
      </x:c>
      <x:c r="E49" s="75" t="str">
        <x:v>CW-08</x:v>
      </x:c>
      <x:c r="F49" s="86" t="str">
        <x:v>Operating Services</x:v>
      </x:c>
      <x:c r="G49" s="86" t="str">
        <x:v>Joint Capacity Authority</x:v>
      </x:c>
      <x:c r="H49" s="88" t="n">
        <x:v>0.12</x:v>
      </x:c>
      <x:c r="I49" s="85" t="n">
        <x:f>INDEX('Root Registry'!$G$6:$G$29,MATCH(B49,'Root Registry'!$A$6:$A$29,0))</x:f>
        <x:v>22.25</x:v>
      </x:c>
      <x:c r="J49" s="75" t="str">
        <x:f>INDEX('Root Registry'!$D$6:$D$29,MATCH(B49,'Root Registry'!$A$6:$A$29,0))</x:f>
      </x:c>
      <x:c r="K49" s="75" t="str">
        <x:f>INDEX('Root Registry'!$F$6:$F$29,MATCH(B49,'Root Registry'!$A$6:$A$29,0))</x:f>
      </x:c>
      <x:c r="L49" s="43" t="str"/>
      <x:c r="M49" s="43" t="str"/>
      <x:c r="N49" s="43" t="str"/>
      <x:c r="O49" s="43" t="str"/>
      <x:c r="P49" s="43" t="str"/>
      <x:c r="Q49" s="75" t="str">
        <x:f>S48</x:f>
        <x:v>SOURCE EMPTY</x:v>
      </x:c>
      <x:c r="R49" s="75" t="str">
        <x:f>IF(L49="","SOURCE EMPTY",IF(L49=J49,"ROOT COLLISION",IF(AND(M49&lt;&gt;"",M49=L49),"DUAL-KEY COLLISION","CLEAR")))</x:f>
        <x:v>SOURCE EMPTY</x:v>
      </x:c>
      <x:c r="S49" s="75" t="str">
        <x:f>IF(OR(J49="",L49="",M49="",N49="",O49=""),"SOURCE EMPTY",IF(AND(OR(D49=4,D49=5,D49=8),K49=""),"SOURCE EMPTY",IF(R49&lt;&gt;"CLEAR","COLLISION",IF(P49&lt;&gt;"","ROLLBACK",IF(O49&lt;&gt;"ACCEPT","HOLD",IF(OR(D49=1,Q49="ACCEPTED"),"ACCEPTED","SEQUENCE HOLD"))))))</x:f>
        <x:v>SOURCE EMPTY</x:v>
      </x:c>
      <x:c r="T49" s="85" t="n">
        <x:f>IF(S49="ACCEPTED",H49*I49,0)</x:f>
        <x:v>0</x:v>
      </x:c>
      <x:c r="U49" s="75"/>
      <x:c r="V49" s="75"/>
      <x:c r="W49" s="75"/>
      <x:c r="X49" s="75"/>
      <x:c r="Y49" s="75"/>
      <x:c r="Z49" s="75"/>
    </x:row>
    <x:row r="50" ht="20" customHeight="1">
      <x:c r="A50" s="86" t="str">
        <x:v>MS-ET-D-RW-09</x:v>
      </x:c>
      <x:c r="B50" s="75" t="str">
        <x:v>MS-ET-D</x:v>
      </x:c>
      <x:c r="C50" s="75" t="str">
        <x:v>MS-ET</x:v>
      </x:c>
      <x:c r="D50" s="75" t="n">
        <x:v>9</x:v>
      </x:c>
      <x:c r="E50" s="75" t="str">
        <x:v>RW-09</x:v>
      </x:c>
      <x:c r="F50" s="86" t="str">
        <x:v>Joint Capacity Authority</x:v>
      </x:c>
      <x:c r="G50" s="86" t="str">
        <x:v>Department Comptroller</x:v>
      </x:c>
      <x:c r="H50" s="88" t="n">
        <x:v>0.08</x:v>
      </x:c>
      <x:c r="I50" s="85" t="n">
        <x:f>INDEX('Root Registry'!$G$6:$G$29,MATCH(B50,'Root Registry'!$A$6:$A$29,0))</x:f>
        <x:v>22.25</x:v>
      </x:c>
      <x:c r="J50" s="75" t="str">
        <x:f>INDEX('Root Registry'!$D$6:$D$29,MATCH(B50,'Root Registry'!$A$6:$A$29,0))</x:f>
      </x:c>
      <x:c r="K50" s="75" t="str">
        <x:f>INDEX('Root Registry'!$F$6:$F$29,MATCH(B50,'Root Registry'!$A$6:$A$29,0))</x:f>
      </x:c>
      <x:c r="L50" s="43" t="str"/>
      <x:c r="M50" s="43" t="str"/>
      <x:c r="N50" s="43" t="str"/>
      <x:c r="O50" s="43" t="str"/>
      <x:c r="P50" s="43" t="str"/>
      <x:c r="Q50" s="75" t="str">
        <x:f>S49</x:f>
        <x:v>SOURCE EMPTY</x:v>
      </x:c>
      <x:c r="R50" s="75" t="str">
        <x:f>IF(L50="","SOURCE EMPTY",IF(L50=J50,"ROOT COLLISION",IF(AND(M50&lt;&gt;"",M50=L50),"DUAL-KEY COLLISION","CLEAR")))</x:f>
        <x:v>SOURCE EMPTY</x:v>
      </x:c>
      <x:c r="S50" s="75" t="str">
        <x:f>IF(OR(J50="",L50="",M50="",N50="",O50=""),"SOURCE EMPTY",IF(AND(OR(D50=4,D50=5,D50=8),K50=""),"SOURCE EMPTY",IF(R50&lt;&gt;"CLEAR","COLLISION",IF(P50&lt;&gt;"","ROLLBACK",IF(O50&lt;&gt;"ACCEPT","HOLD",IF(OR(D50=1,Q50="ACCEPTED"),"ACCEPTED","SEQUENCE HOLD"))))))</x:f>
        <x:v>SOURCE EMPTY</x:v>
      </x:c>
      <x:c r="T50" s="85" t="n">
        <x:f>IF(S50="ACCEPTED",H50*I50,0)</x:f>
        <x:v>0</x:v>
      </x:c>
      <x:c r="U50" s="75"/>
      <x:c r="V50" s="75"/>
      <x:c r="W50" s="75"/>
      <x:c r="X50" s="75"/>
      <x:c r="Y50" s="75"/>
      <x:c r="Z50" s="75"/>
    </x:row>
    <x:row r="51" ht="20" customHeight="1">
      <x:c r="A51" s="86" t="str">
        <x:v>MS-ET-D-OW-10</x:v>
      </x:c>
      <x:c r="B51" s="75" t="str">
        <x:v>MS-ET-D</x:v>
      </x:c>
      <x:c r="C51" s="75" t="str">
        <x:v>MS-ET</x:v>
      </x:c>
      <x:c r="D51" s="75" t="n">
        <x:v>10</x:v>
      </x:c>
      <x:c r="E51" s="75" t="str">
        <x:v>OW-10</x:v>
      </x:c>
      <x:c r="F51" s="86" t="str">
        <x:v>Operational Command</x:v>
      </x:c>
      <x:c r="G51" s="86" t="str">
        <x:v>Civil Resilience Authority</x:v>
      </x:c>
      <x:c r="H51" s="88" t="n">
        <x:v>0.05</x:v>
      </x:c>
      <x:c r="I51" s="85" t="n">
        <x:f>INDEX('Root Registry'!$G$6:$G$29,MATCH(B51,'Root Registry'!$A$6:$A$29,0))</x:f>
        <x:v>22.25</x:v>
      </x:c>
      <x:c r="J51" s="75" t="str">
        <x:f>INDEX('Root Registry'!$D$6:$D$29,MATCH(B51,'Root Registry'!$A$6:$A$29,0))</x:f>
      </x:c>
      <x:c r="K51" s="75" t="str">
        <x:f>INDEX('Root Registry'!$F$6:$F$29,MATCH(B51,'Root Registry'!$A$6:$A$29,0))</x:f>
      </x:c>
      <x:c r="L51" s="43" t="str"/>
      <x:c r="M51" s="43" t="str"/>
      <x:c r="N51" s="43" t="str"/>
      <x:c r="O51" s="43" t="str"/>
      <x:c r="P51" s="43" t="str"/>
      <x:c r="Q51" s="75" t="str">
        <x:f>S50</x:f>
        <x:v>SOURCE EMPTY</x:v>
      </x:c>
      <x:c r="R51" s="75" t="str">
        <x:f>IF(L51="","SOURCE EMPTY",IF(L51=J51,"ROOT COLLISION",IF(AND(M51&lt;&gt;"",M51=L51),"DUAL-KEY COLLISION","CLEAR")))</x:f>
        <x:v>SOURCE EMPTY</x:v>
      </x:c>
      <x:c r="S51" s="75" t="str">
        <x:f>IF(OR(J51="",L51="",M51="",N51="",O51=""),"SOURCE EMPTY",IF(AND(OR(D51=4,D51=5,D51=8),K51=""),"SOURCE EMPTY",IF(R51&lt;&gt;"CLEAR","COLLISION",IF(P51&lt;&gt;"","ROLLBACK",IF(O51&lt;&gt;"ACCEPT","HOLD",IF(OR(D51=1,Q51="ACCEPTED"),"ACCEPTED","SEQUENCE HOLD"))))))</x:f>
        <x:v>SOURCE EMPTY</x:v>
      </x:c>
      <x:c r="T51" s="85" t="n">
        <x:f>IF(S51="ACCEPTED",H51*I51,0)</x:f>
        <x:v>0</x:v>
      </x:c>
      <x:c r="U51" s="75"/>
      <x:c r="V51" s="75"/>
      <x:c r="W51" s="75"/>
      <x:c r="X51" s="75"/>
      <x:c r="Y51" s="75"/>
      <x:c r="Z51" s="75"/>
    </x:row>
    <x:row r="52" ht="20" customHeight="1">
      <x:c r="A52" s="86" t="str">
        <x:v>MS-ET-D-SW-11</x:v>
      </x:c>
      <x:c r="B52" s="75" t="str">
        <x:v>MS-ET-D</x:v>
      </x:c>
      <x:c r="C52" s="75" t="str">
        <x:v>MS-ET</x:v>
      </x:c>
      <x:c r="D52" s="75" t="n">
        <x:v>11</x:v>
      </x:c>
      <x:c r="E52" s="75" t="str">
        <x:v>SW-11</x:v>
      </x:c>
      <x:c r="F52" s="86" t="str">
        <x:v>Civil Resilience Authority</x:v>
      </x:c>
      <x:c r="G52" s="86" t="str">
        <x:v>Affected Civil Authority</x:v>
      </x:c>
      <x:c r="H52" s="88" t="n">
        <x:v>0.07</x:v>
      </x:c>
      <x:c r="I52" s="85" t="n">
        <x:f>INDEX('Root Registry'!$G$6:$G$29,MATCH(B52,'Root Registry'!$A$6:$A$29,0))</x:f>
        <x:v>22.25</x:v>
      </x:c>
      <x:c r="J52" s="75" t="str">
        <x:f>INDEX('Root Registry'!$D$6:$D$29,MATCH(B52,'Root Registry'!$A$6:$A$29,0))</x:f>
      </x:c>
      <x:c r="K52" s="75" t="str">
        <x:f>INDEX('Root Registry'!$F$6:$F$29,MATCH(B52,'Root Registry'!$A$6:$A$29,0))</x:f>
      </x:c>
      <x:c r="L52" s="43" t="str"/>
      <x:c r="M52" s="43" t="str"/>
      <x:c r="N52" s="43" t="str"/>
      <x:c r="O52" s="43" t="str"/>
      <x:c r="P52" s="43" t="str"/>
      <x:c r="Q52" s="75" t="str">
        <x:f>S51</x:f>
        <x:v>SOURCE EMPTY</x:v>
      </x:c>
      <x:c r="R52" s="75" t="str">
        <x:f>IF(L52="","SOURCE EMPTY",IF(L52=J52,"ROOT COLLISION",IF(AND(M52&lt;&gt;"",M52=L52),"DUAL-KEY COLLISION","CLEAR")))</x:f>
        <x:v>SOURCE EMPTY</x:v>
      </x:c>
      <x:c r="S52" s="75" t="str">
        <x:f>IF(OR(J52="",L52="",M52="",N52="",O52=""),"SOURCE EMPTY",IF(AND(OR(D52=4,D52=5,D52=8),K52=""),"SOURCE EMPTY",IF(R52&lt;&gt;"CLEAR","COLLISION",IF(P52&lt;&gt;"","ROLLBACK",IF(O52&lt;&gt;"ACCEPT","HOLD",IF(OR(D52=1,Q52="ACCEPTED"),"ACCEPTED","SEQUENCE HOLD"))))))</x:f>
        <x:v>SOURCE EMPTY</x:v>
      </x:c>
      <x:c r="T52" s="85" t="n">
        <x:f>IF(S52="ACCEPTED",H52*I52,0)</x:f>
        <x:v>0</x:v>
      </x:c>
      <x:c r="U52" s="75"/>
      <x:c r="V52" s="75"/>
      <x:c r="W52" s="75"/>
      <x:c r="X52" s="75"/>
      <x:c r="Y52" s="75"/>
      <x:c r="Z52" s="75"/>
    </x:row>
    <x:row r="53" ht="20" customHeight="1">
      <x:c r="A53" s="86" t="str">
        <x:v>MS-ET-D-GW-12</x:v>
      </x:c>
      <x:c r="B53" s="75" t="str">
        <x:v>MS-ET-D</x:v>
      </x:c>
      <x:c r="C53" s="75" t="str">
        <x:v>MS-ET</x:v>
      </x:c>
      <x:c r="D53" s="75" t="n">
        <x:v>12</x:v>
      </x:c>
      <x:c r="E53" s="75" t="str">
        <x:v>GW-12</x:v>
      </x:c>
      <x:c r="F53" s="86" t="str">
        <x:v>Strategic Sustainment Command</x:v>
      </x:c>
      <x:c r="G53" s="86" t="str">
        <x:v>Joint Capacity Authority</x:v>
      </x:c>
      <x:c r="H53" s="88" t="n">
        <x:v>0.05</x:v>
      </x:c>
      <x:c r="I53" s="85" t="n">
        <x:f>INDEX('Root Registry'!$G$6:$G$29,MATCH(B53,'Root Registry'!$A$6:$A$29,0))</x:f>
        <x:v>22.25</x:v>
      </x:c>
      <x:c r="J53" s="75" t="str">
        <x:f>INDEX('Root Registry'!$D$6:$D$29,MATCH(B53,'Root Registry'!$A$6:$A$29,0))</x:f>
      </x:c>
      <x:c r="K53" s="75" t="str">
        <x:f>INDEX('Root Registry'!$F$6:$F$29,MATCH(B53,'Root Registry'!$A$6:$A$29,0))</x:f>
      </x:c>
      <x:c r="L53" s="43" t="str"/>
      <x:c r="M53" s="43" t="str"/>
      <x:c r="N53" s="43" t="str"/>
      <x:c r="O53" s="43" t="str"/>
      <x:c r="P53" s="43" t="str"/>
      <x:c r="Q53" s="75" t="str">
        <x:f>S52</x:f>
        <x:v>SOURCE EMPTY</x:v>
      </x:c>
      <x:c r="R53" s="75" t="str">
        <x:f>IF(L53="","SOURCE EMPTY",IF(L53=J53,"ROOT COLLISION",IF(AND(M53&lt;&gt;"",M53=L53),"DUAL-KEY COLLISION","CLEAR")))</x:f>
        <x:v>SOURCE EMPTY</x:v>
      </x:c>
      <x:c r="S53" s="75" t="str">
        <x:f>IF(OR(J53="",L53="",M53="",N53="",O53=""),"SOURCE EMPTY",IF(AND(OR(D53=4,D53=5,D53=8),K53=""),"SOURCE EMPTY",IF(R53&lt;&gt;"CLEAR","COLLISION",IF(P53&lt;&gt;"","ROLLBACK",IF(O53&lt;&gt;"ACCEPT","HOLD",IF(OR(D53=1,Q53="ACCEPTED"),"ACCEPTED","SEQUENCE HOLD"))))))</x:f>
        <x:v>SOURCE EMPTY</x:v>
      </x:c>
      <x:c r="T53" s="85" t="n">
        <x:f>IF(S53="ACCEPTED",H53*I53,0)</x:f>
        <x:v>0</x:v>
      </x:c>
      <x:c r="U53" s="75"/>
      <x:c r="V53" s="75"/>
      <x:c r="W53" s="75"/>
      <x:c r="X53" s="75"/>
      <x:c r="Y53" s="75"/>
      <x:c r="Z53" s="75"/>
    </x:row>
    <x:row r="54" ht="20" customHeight="1">
      <x:c r="A54" s="86" t="str">
        <x:v>MS-CT-A-PW-01</x:v>
      </x:c>
      <x:c r="B54" s="75" t="str">
        <x:v>MS-CT-A</x:v>
      </x:c>
      <x:c r="C54" s="75" t="str">
        <x:v>MS-CT</x:v>
      </x:c>
      <x:c r="D54" s="75" t="n">
        <x:v>1</x:v>
      </x:c>
      <x:c r="E54" s="75" t="str">
        <x:v>PW-01</x:v>
      </x:c>
      <x:c r="F54" s="86" t="str">
        <x:v>Civil Resilience Authority</x:v>
      </x:c>
      <x:c r="G54" s="86" t="str">
        <x:v>Public Effect College</x:v>
      </x:c>
      <x:c r="H54" s="88" t="n">
        <x:v>0.01</x:v>
      </x:c>
      <x:c r="I54" s="85" t="n">
        <x:f>INDEX('Root Registry'!$G$6:$G$29,MATCH(B54,'Root Registry'!$A$6:$A$29,0))</x:f>
        <x:v>22.975</x:v>
      </x:c>
      <x:c r="J54" s="75" t="str">
        <x:f>INDEX('Root Registry'!$D$6:$D$29,MATCH(B54,'Root Registry'!$A$6:$A$29,0))</x:f>
      </x:c>
      <x:c r="K54" s="75" t="str">
        <x:f>INDEX('Root Registry'!$F$6:$F$29,MATCH(B54,'Root Registry'!$A$6:$A$29,0))</x:f>
      </x:c>
      <x:c r="L54" s="43" t="str"/>
      <x:c r="M54" s="43" t="str"/>
      <x:c r="N54" s="43" t="str"/>
      <x:c r="O54" s="43" t="str"/>
      <x:c r="P54" s="43" t="str"/>
      <x:c r="Q54" s="75" t="str">
        <x:f>"ORIGIN"</x:f>
        <x:v>ORIGIN</x:v>
      </x:c>
      <x:c r="R54" s="75" t="str">
        <x:f>IF(L54="","SOURCE EMPTY",IF(L54=J54,"ROOT COLLISION",IF(AND(M54&lt;&gt;"",M54=L54),"DUAL-KEY COLLISION","CLEAR")))</x:f>
        <x:v>SOURCE EMPTY</x:v>
      </x:c>
      <x:c r="S54" s="75" t="str">
        <x:f>IF(OR(J54="",L54="",M54="",N54="",O54=""),"SOURCE EMPTY",IF(AND(OR(D54=4,D54=5,D54=8),K54=""),"SOURCE EMPTY",IF(R54&lt;&gt;"CLEAR","COLLISION",IF(P54&lt;&gt;"","ROLLBACK",IF(O54&lt;&gt;"ACCEPT","HOLD",IF(OR(D54=1,Q54="ACCEPTED"),"ACCEPTED","SEQUENCE HOLD"))))))</x:f>
        <x:v>SOURCE EMPTY</x:v>
      </x:c>
      <x:c r="T54" s="85" t="n">
        <x:f>IF(S54="ACCEPTED",H54*I54,0)</x:f>
        <x:v>0</x:v>
      </x:c>
      <x:c r="U54" s="75"/>
      <x:c r="V54" s="75"/>
      <x:c r="W54" s="75"/>
      <x:c r="X54" s="75"/>
      <x:c r="Y54" s="75"/>
      <x:c r="Z54" s="75"/>
    </x:row>
    <x:row r="55" ht="20" customHeight="1">
      <x:c r="A55" s="86" t="str">
        <x:v>MS-CT-A-MW-02</x:v>
      </x:c>
      <x:c r="B55" s="75" t="str">
        <x:v>MS-CT-A</x:v>
      </x:c>
      <x:c r="C55" s="75" t="str">
        <x:v>MS-CT</x:v>
      </x:c>
      <x:c r="D55" s="75" t="n">
        <x:v>2</x:v>
      </x:c>
      <x:c r="E55" s="75" t="str">
        <x:v>MW-02</x:v>
      </x:c>
      <x:c r="F55" s="86" t="str">
        <x:v>Mission System Command</x:v>
      </x:c>
      <x:c r="G55" s="86" t="str">
        <x:v>Civil Resilience Authority</x:v>
      </x:c>
      <x:c r="H55" s="88" t="n">
        <x:v>0.02</x:v>
      </x:c>
      <x:c r="I55" s="85" t="n">
        <x:f>INDEX('Root Registry'!$G$6:$G$29,MATCH(B55,'Root Registry'!$A$6:$A$29,0))</x:f>
        <x:v>22.975</x:v>
      </x:c>
      <x:c r="J55" s="75" t="str">
        <x:f>INDEX('Root Registry'!$D$6:$D$29,MATCH(B55,'Root Registry'!$A$6:$A$29,0))</x:f>
      </x:c>
      <x:c r="K55" s="75" t="str">
        <x:f>INDEX('Root Registry'!$F$6:$F$29,MATCH(B55,'Root Registry'!$A$6:$A$29,0))</x:f>
      </x:c>
      <x:c r="L55" s="43" t="str"/>
      <x:c r="M55" s="43" t="str"/>
      <x:c r="N55" s="43" t="str"/>
      <x:c r="O55" s="43" t="str"/>
      <x:c r="P55" s="43" t="str"/>
      <x:c r="Q55" s="75" t="str">
        <x:f>S54</x:f>
        <x:v>SOURCE EMPTY</x:v>
      </x:c>
      <x:c r="R55" s="75" t="str">
        <x:f>IF(L55="","SOURCE EMPTY",IF(L55=J55,"ROOT COLLISION",IF(AND(M55&lt;&gt;"",M55=L55),"DUAL-KEY COLLISION","CLEAR")))</x:f>
        <x:v>SOURCE EMPTY</x:v>
      </x:c>
      <x:c r="S55" s="75" t="str">
        <x:f>IF(OR(J55="",L55="",M55="",N55="",O55=""),"SOURCE EMPTY",IF(AND(OR(D55=4,D55=5,D55=8),K55=""),"SOURCE EMPTY",IF(R55&lt;&gt;"CLEAR","COLLISION",IF(P55&lt;&gt;"","ROLLBACK",IF(O55&lt;&gt;"ACCEPT","HOLD",IF(OR(D55=1,Q55="ACCEPTED"),"ACCEPTED","SEQUENCE HOLD"))))))</x:f>
        <x:v>SOURCE EMPTY</x:v>
      </x:c>
      <x:c r="T55" s="85" t="n">
        <x:f>IF(S55="ACCEPTED",H55*I55,0)</x:f>
        <x:v>0</x:v>
      </x:c>
      <x:c r="U55" s="75"/>
      <x:c r="V55" s="75"/>
      <x:c r="W55" s="75"/>
      <x:c r="X55" s="75"/>
      <x:c r="Y55" s="75"/>
      <x:c r="Z55" s="75"/>
    </x:row>
    <x:row r="56" ht="20" customHeight="1">
      <x:c r="A56" s="86" t="str">
        <x:v>MS-CT-A-FW-03</x:v>
      </x:c>
      <x:c r="B56" s="75" t="str">
        <x:v>MS-CT-A</x:v>
      </x:c>
      <x:c r="C56" s="75" t="str">
        <x:v>MS-CT</x:v>
      </x:c>
      <x:c r="D56" s="75" t="n">
        <x:v>3</x:v>
      </x:c>
      <x:c r="E56" s="75" t="str">
        <x:v>FW-03</x:v>
      </x:c>
      <x:c r="F56" s="86" t="str">
        <x:v>Department Capital Board</x:v>
      </x:c>
      <x:c r="G56" s="86" t="str">
        <x:v>Failure Reserve Trustee</x:v>
      </x:c>
      <x:c r="H56" s="88" t="n">
        <x:v>0.05</x:v>
      </x:c>
      <x:c r="I56" s="85" t="n">
        <x:f>INDEX('Root Registry'!$G$6:$G$29,MATCH(B56,'Root Registry'!$A$6:$A$29,0))</x:f>
        <x:v>22.975</x:v>
      </x:c>
      <x:c r="J56" s="75" t="str">
        <x:f>INDEX('Root Registry'!$D$6:$D$29,MATCH(B56,'Root Registry'!$A$6:$A$29,0))</x:f>
      </x:c>
      <x:c r="K56" s="75" t="str">
        <x:f>INDEX('Root Registry'!$F$6:$F$29,MATCH(B56,'Root Registry'!$A$6:$A$29,0))</x:f>
      </x:c>
      <x:c r="L56" s="43" t="str"/>
      <x:c r="M56" s="43" t="str"/>
      <x:c r="N56" s="43" t="str"/>
      <x:c r="O56" s="43" t="str"/>
      <x:c r="P56" s="43" t="str"/>
      <x:c r="Q56" s="75" t="str">
        <x:f>S55</x:f>
        <x:v>SOURCE EMPTY</x:v>
      </x:c>
      <x:c r="R56" s="75" t="str">
        <x:f>IF(L56="","SOURCE EMPTY",IF(L56=J56,"ROOT COLLISION",IF(AND(M56&lt;&gt;"",M56=L56),"DUAL-KEY COLLISION","CLEAR")))</x:f>
        <x:v>SOURCE EMPTY</x:v>
      </x:c>
      <x:c r="S56" s="75" t="str">
        <x:f>IF(OR(J56="",L56="",M56="",N56="",O56=""),"SOURCE EMPTY",IF(AND(OR(D56=4,D56=5,D56=8),K56=""),"SOURCE EMPTY",IF(R56&lt;&gt;"CLEAR","COLLISION",IF(P56&lt;&gt;"","ROLLBACK",IF(O56&lt;&gt;"ACCEPT","HOLD",IF(OR(D56=1,Q56="ACCEPTED"),"ACCEPTED","SEQUENCE HOLD"))))))</x:f>
        <x:v>SOURCE EMPTY</x:v>
      </x:c>
      <x:c r="T56" s="85" t="n">
        <x:f>IF(S56="ACCEPTED",H56*I56,0)</x:f>
        <x:v>0</x:v>
      </x:c>
      <x:c r="U56" s="75"/>
      <x:c r="V56" s="75"/>
      <x:c r="W56" s="75"/>
      <x:c r="X56" s="75"/>
      <x:c r="Y56" s="75"/>
      <x:c r="Z56" s="75"/>
    </x:row>
    <x:row r="57" ht="20" customHeight="1">
      <x:c r="A57" s="86" t="str">
        <x:v>MS-CT-A-CW-04</x:v>
      </x:c>
      <x:c r="B57" s="75" t="str">
        <x:v>MS-CT-A</x:v>
      </x:c>
      <x:c r="C57" s="75" t="str">
        <x:v>MS-CT</x:v>
      </x:c>
      <x:c r="D57" s="75" t="n">
        <x:v>4</x:v>
      </x:c>
      <x:c r="E57" s="75" t="str">
        <x:v>CW-04</x:v>
      </x:c>
      <x:c r="F57" s="86" t="str">
        <x:v>Service Technical College</x:v>
      </x:c>
      <x:c r="G57" s="86" t="str">
        <x:v>Independent Root House</x:v>
      </x:c>
      <x:c r="H57" s="88" t="n">
        <x:v>0.12</x:v>
      </x:c>
      <x:c r="I57" s="85" t="n">
        <x:f>INDEX('Root Registry'!$G$6:$G$29,MATCH(B57,'Root Registry'!$A$6:$A$29,0))</x:f>
        <x:v>22.975</x:v>
      </x:c>
      <x:c r="J57" s="75" t="str">
        <x:f>INDEX('Root Registry'!$D$6:$D$29,MATCH(B57,'Root Registry'!$A$6:$A$29,0))</x:f>
      </x:c>
      <x:c r="K57" s="75" t="str">
        <x:f>INDEX('Root Registry'!$F$6:$F$29,MATCH(B57,'Root Registry'!$A$6:$A$29,0))</x:f>
      </x:c>
      <x:c r="L57" s="43" t="str"/>
      <x:c r="M57" s="43" t="str"/>
      <x:c r="N57" s="43" t="str"/>
      <x:c r="O57" s="43" t="str"/>
      <x:c r="P57" s="43" t="str"/>
      <x:c r="Q57" s="75" t="str">
        <x:f>S56</x:f>
        <x:v>SOURCE EMPTY</x:v>
      </x:c>
      <x:c r="R57" s="75" t="str">
        <x:f>IF(L57="","SOURCE EMPTY",IF(L57=J57,"ROOT COLLISION",IF(AND(M57&lt;&gt;"",M57=L57),"DUAL-KEY COLLISION","CLEAR")))</x:f>
        <x:v>SOURCE EMPTY</x:v>
      </x:c>
      <x:c r="S57" s="75" t="str">
        <x:f>IF(OR(J57="",L57="",M57="",N57="",O57=""),"SOURCE EMPTY",IF(AND(OR(D57=4,D57=5,D57=8),K57=""),"SOURCE EMPTY",IF(R57&lt;&gt;"CLEAR","COLLISION",IF(P57&lt;&gt;"","ROLLBACK",IF(O57&lt;&gt;"ACCEPT","HOLD",IF(OR(D57=1,Q57="ACCEPTED"),"ACCEPTED","SEQUENCE HOLD"))))))</x:f>
        <x:v>SOURCE EMPTY</x:v>
      </x:c>
      <x:c r="T57" s="85" t="n">
        <x:f>IF(S57="ACCEPTED",H57*I57,0)</x:f>
        <x:v>0</x:v>
      </x:c>
      <x:c r="U57" s="75"/>
      <x:c r="V57" s="75"/>
      <x:c r="W57" s="75"/>
      <x:c r="X57" s="75"/>
      <x:c r="Y57" s="75"/>
      <x:c r="Z57" s="75"/>
    </x:row>
    <x:row r="58" ht="20" customHeight="1">
      <x:c r="A58" s="86" t="str">
        <x:v>MS-CT-A-TW-05</x:v>
      </x:c>
      <x:c r="B58" s="75" t="str">
        <x:v>MS-CT-A</x:v>
      </x:c>
      <x:c r="C58" s="75" t="str">
        <x:v>MS-CT</x:v>
      </x:c>
      <x:c r="D58" s="75" t="n">
        <x:v>5</x:v>
      </x:c>
      <x:c r="E58" s="75" t="str">
        <x:v>TW-05</x:v>
      </x:c>
      <x:c r="F58" s="86" t="str">
        <x:v>Service Technical College</x:v>
      </x:c>
      <x:c r="G58" s="86" t="str">
        <x:v>Public Protection Inspectorate</x:v>
      </x:c>
      <x:c r="H58" s="88" t="n">
        <x:v>0.08</x:v>
      </x:c>
      <x:c r="I58" s="85" t="n">
        <x:f>INDEX('Root Registry'!$G$6:$G$29,MATCH(B58,'Root Registry'!$A$6:$A$29,0))</x:f>
        <x:v>22.975</x:v>
      </x:c>
      <x:c r="J58" s="75" t="str">
        <x:f>INDEX('Root Registry'!$D$6:$D$29,MATCH(B58,'Root Registry'!$A$6:$A$29,0))</x:f>
      </x:c>
      <x:c r="K58" s="75" t="str">
        <x:f>INDEX('Root Registry'!$F$6:$F$29,MATCH(B58,'Root Registry'!$A$6:$A$29,0))</x:f>
      </x:c>
      <x:c r="L58" s="43" t="str"/>
      <x:c r="M58" s="43" t="str"/>
      <x:c r="N58" s="43" t="str"/>
      <x:c r="O58" s="43" t="str"/>
      <x:c r="P58" s="43" t="str"/>
      <x:c r="Q58" s="75" t="str">
        <x:f>S57</x:f>
        <x:v>SOURCE EMPTY</x:v>
      </x:c>
      <x:c r="R58" s="75" t="str">
        <x:f>IF(L58="","SOURCE EMPTY",IF(L58=J58,"ROOT COLLISION",IF(AND(M58&lt;&gt;"",M58=L58),"DUAL-KEY COLLISION","CLEAR")))</x:f>
        <x:v>SOURCE EMPTY</x:v>
      </x:c>
      <x:c r="S58" s="75" t="str">
        <x:f>IF(OR(J58="",L58="",M58="",N58="",O58=""),"SOURCE EMPTY",IF(AND(OR(D58=4,D58=5,D58=8),K58=""),"SOURCE EMPTY",IF(R58&lt;&gt;"CLEAR","COLLISION",IF(P58&lt;&gt;"","ROLLBACK",IF(O58&lt;&gt;"ACCEPT","HOLD",IF(OR(D58=1,Q58="ACCEPTED"),"ACCEPTED","SEQUENCE HOLD"))))))</x:f>
        <x:v>SOURCE EMPTY</x:v>
      </x:c>
      <x:c r="T58" s="85" t="n">
        <x:f>IF(S58="ACCEPTED",H58*I58,0)</x:f>
        <x:v>0</x:v>
      </x:c>
      <x:c r="U58" s="75"/>
      <x:c r="V58" s="75"/>
      <x:c r="W58" s="75"/>
      <x:c r="X58" s="75"/>
      <x:c r="Y58" s="75"/>
      <x:c r="Z58" s="75"/>
    </x:row>
    <x:row r="59" ht="20" customHeight="1">
      <x:c r="A59" s="86" t="str">
        <x:v>MS-CT-A-EW-06</x:v>
      </x:c>
      <x:c r="B59" s="75" t="str">
        <x:v>MS-CT-A</x:v>
      </x:c>
      <x:c r="C59" s="75" t="str">
        <x:v>MS-CT</x:v>
      </x:c>
      <x:c r="D59" s="75" t="n">
        <x:v>6</x:v>
      </x:c>
      <x:c r="E59" s="75" t="str">
        <x:v>EW-06</x:v>
      </x:c>
      <x:c r="F59" s="86" t="str">
        <x:v>Resilience Proving Service</x:v>
      </x:c>
      <x:c r="G59" s="86" t="str">
        <x:v>Public Effect College</x:v>
      </x:c>
      <x:c r="H59" s="88" t="n">
        <x:v>0.2</x:v>
      </x:c>
      <x:c r="I59" s="85" t="n">
        <x:f>INDEX('Root Registry'!$G$6:$G$29,MATCH(B59,'Root Registry'!$A$6:$A$29,0))</x:f>
        <x:v>22.975</x:v>
      </x:c>
      <x:c r="J59" s="75" t="str">
        <x:f>INDEX('Root Registry'!$D$6:$D$29,MATCH(B59,'Root Registry'!$A$6:$A$29,0))</x:f>
      </x:c>
      <x:c r="K59" s="75" t="str">
        <x:f>INDEX('Root Registry'!$F$6:$F$29,MATCH(B59,'Root Registry'!$A$6:$A$29,0))</x:f>
      </x:c>
      <x:c r="L59" s="43" t="str"/>
      <x:c r="M59" s="43" t="str"/>
      <x:c r="N59" s="43" t="str"/>
      <x:c r="O59" s="43" t="str"/>
      <x:c r="P59" s="43" t="str"/>
      <x:c r="Q59" s="75" t="str">
        <x:f>S58</x:f>
        <x:v>SOURCE EMPTY</x:v>
      </x:c>
      <x:c r="R59" s="75" t="str">
        <x:f>IF(L59="","SOURCE EMPTY",IF(L59=J59,"ROOT COLLISION",IF(AND(M59&lt;&gt;"",M59=L59),"DUAL-KEY COLLISION","CLEAR")))</x:f>
        <x:v>SOURCE EMPTY</x:v>
      </x:c>
      <x:c r="S59" s="75" t="str">
        <x:f>IF(OR(J59="",L59="",M59="",N59="",O59=""),"SOURCE EMPTY",IF(AND(OR(D59=4,D59=5,D59=8),K59=""),"SOURCE EMPTY",IF(R59&lt;&gt;"CLEAR","COLLISION",IF(P59&lt;&gt;"","ROLLBACK",IF(O59&lt;&gt;"ACCEPT","HOLD",IF(OR(D59=1,Q59="ACCEPTED"),"ACCEPTED","SEQUENCE HOLD"))))))</x:f>
        <x:v>SOURCE EMPTY</x:v>
      </x:c>
      <x:c r="T59" s="85" t="n">
        <x:f>IF(S59="ACCEPTED",H59*I59,0)</x:f>
        <x:v>0</x:v>
      </x:c>
      <x:c r="U59" s="75"/>
      <x:c r="V59" s="75"/>
      <x:c r="W59" s="75"/>
      <x:c r="X59" s="75"/>
      <x:c r="Y59" s="75"/>
      <x:c r="Z59" s="75"/>
    </x:row>
    <x:row r="60" ht="20" customHeight="1">
      <x:c r="A60" s="86" t="str">
        <x:v>MS-CT-A-IW-07</x:v>
      </x:c>
      <x:c r="B60" s="75" t="str">
        <x:v>MS-CT-A</x:v>
      </x:c>
      <x:c r="C60" s="75" t="str">
        <x:v>MS-CT</x:v>
      </x:c>
      <x:c r="D60" s="75" t="n">
        <x:v>7</x:v>
      </x:c>
      <x:c r="E60" s="75" t="str">
        <x:v>IW-07</x:v>
      </x:c>
      <x:c r="F60" s="86" t="str">
        <x:v>Industrial Mobilization Administration</x:v>
      </x:c>
      <x:c r="G60" s="86" t="str">
        <x:v>Reconstruction Command</x:v>
      </x:c>
      <x:c r="H60" s="88" t="n">
        <x:v>0.15</x:v>
      </x:c>
      <x:c r="I60" s="85" t="n">
        <x:f>INDEX('Root Registry'!$G$6:$G$29,MATCH(B60,'Root Registry'!$A$6:$A$29,0))</x:f>
        <x:v>22.975</x:v>
      </x:c>
      <x:c r="J60" s="75" t="str">
        <x:f>INDEX('Root Registry'!$D$6:$D$29,MATCH(B60,'Root Registry'!$A$6:$A$29,0))</x:f>
      </x:c>
      <x:c r="K60" s="75" t="str">
        <x:f>INDEX('Root Registry'!$F$6:$F$29,MATCH(B60,'Root Registry'!$A$6:$A$29,0))</x:f>
      </x:c>
      <x:c r="L60" s="43" t="str"/>
      <x:c r="M60" s="43" t="str"/>
      <x:c r="N60" s="43" t="str"/>
      <x:c r="O60" s="43" t="str"/>
      <x:c r="P60" s="43" t="str"/>
      <x:c r="Q60" s="75" t="str">
        <x:f>S59</x:f>
        <x:v>SOURCE EMPTY</x:v>
      </x:c>
      <x:c r="R60" s="75" t="str">
        <x:f>IF(L60="","SOURCE EMPTY",IF(L60=J60,"ROOT COLLISION",IF(AND(M60&lt;&gt;"",M60=L60),"DUAL-KEY COLLISION","CLEAR")))</x:f>
        <x:v>SOURCE EMPTY</x:v>
      </x:c>
      <x:c r="S60" s="75" t="str">
        <x:f>IF(OR(J60="",L60="",M60="",N60="",O60=""),"SOURCE EMPTY",IF(AND(OR(D60=4,D60=5,D60=8),K60=""),"SOURCE EMPTY",IF(R60&lt;&gt;"CLEAR","COLLISION",IF(P60&lt;&gt;"","ROLLBACK",IF(O60&lt;&gt;"ACCEPT","HOLD",IF(OR(D60=1,Q60="ACCEPTED"),"ACCEPTED","SEQUENCE HOLD"))))))</x:f>
        <x:v>SOURCE EMPTY</x:v>
      </x:c>
      <x:c r="T60" s="85" t="n">
        <x:f>IF(S60="ACCEPTED",H60*I60,0)</x:f>
        <x:v>0</x:v>
      </x:c>
      <x:c r="U60" s="75"/>
      <x:c r="V60" s="75"/>
      <x:c r="W60" s="75"/>
      <x:c r="X60" s="75"/>
      <x:c r="Y60" s="75"/>
      <x:c r="Z60" s="75"/>
    </x:row>
    <x:row r="61" ht="20" customHeight="1">
      <x:c r="A61" s="86" t="str">
        <x:v>MS-CT-A-CW-08</x:v>
      </x:c>
      <x:c r="B61" s="75" t="str">
        <x:v>MS-CT-A</x:v>
      </x:c>
      <x:c r="C61" s="75" t="str">
        <x:v>MS-CT</x:v>
      </x:c>
      <x:c r="D61" s="75" t="n">
        <x:v>8</x:v>
      </x:c>
      <x:c r="E61" s="75" t="str">
        <x:v>CW-08</x:v>
      </x:c>
      <x:c r="F61" s="86" t="str">
        <x:v>Operating Services</x:v>
      </x:c>
      <x:c r="G61" s="86" t="str">
        <x:v>Joint Capacity Authority</x:v>
      </x:c>
      <x:c r="H61" s="88" t="n">
        <x:v>0.12</x:v>
      </x:c>
      <x:c r="I61" s="85" t="n">
        <x:f>INDEX('Root Registry'!$G$6:$G$29,MATCH(B61,'Root Registry'!$A$6:$A$29,0))</x:f>
        <x:v>22.975</x:v>
      </x:c>
      <x:c r="J61" s="75" t="str">
        <x:f>INDEX('Root Registry'!$D$6:$D$29,MATCH(B61,'Root Registry'!$A$6:$A$29,0))</x:f>
      </x:c>
      <x:c r="K61" s="75" t="str">
        <x:f>INDEX('Root Registry'!$F$6:$F$29,MATCH(B61,'Root Registry'!$A$6:$A$29,0))</x:f>
      </x:c>
      <x:c r="L61" s="43" t="str"/>
      <x:c r="M61" s="43" t="str"/>
      <x:c r="N61" s="43" t="str"/>
      <x:c r="O61" s="43" t="str"/>
      <x:c r="P61" s="43" t="str"/>
      <x:c r="Q61" s="75" t="str">
        <x:f>S60</x:f>
        <x:v>SOURCE EMPTY</x:v>
      </x:c>
      <x:c r="R61" s="75" t="str">
        <x:f>IF(L61="","SOURCE EMPTY",IF(L61=J61,"ROOT COLLISION",IF(AND(M61&lt;&gt;"",M61=L61),"DUAL-KEY COLLISION","CLEAR")))</x:f>
        <x:v>SOURCE EMPTY</x:v>
      </x:c>
      <x:c r="S61" s="75" t="str">
        <x:f>IF(OR(J61="",L61="",M61="",N61="",O61=""),"SOURCE EMPTY",IF(AND(OR(D61=4,D61=5,D61=8),K61=""),"SOURCE EMPTY",IF(R61&lt;&gt;"CLEAR","COLLISION",IF(P61&lt;&gt;"","ROLLBACK",IF(O61&lt;&gt;"ACCEPT","HOLD",IF(OR(D61=1,Q61="ACCEPTED"),"ACCEPTED","SEQUENCE HOLD"))))))</x:f>
        <x:v>SOURCE EMPTY</x:v>
      </x:c>
      <x:c r="T61" s="85" t="n">
        <x:f>IF(S61="ACCEPTED",H61*I61,0)</x:f>
        <x:v>0</x:v>
      </x:c>
      <x:c r="U61" s="75"/>
      <x:c r="V61" s="75"/>
      <x:c r="W61" s="75"/>
      <x:c r="X61" s="75"/>
      <x:c r="Y61" s="75"/>
      <x:c r="Z61" s="75"/>
    </x:row>
    <x:row r="62" ht="20" customHeight="1">
      <x:c r="A62" s="86" t="str">
        <x:v>MS-CT-A-RW-09</x:v>
      </x:c>
      <x:c r="B62" s="75" t="str">
        <x:v>MS-CT-A</x:v>
      </x:c>
      <x:c r="C62" s="75" t="str">
        <x:v>MS-CT</x:v>
      </x:c>
      <x:c r="D62" s="75" t="n">
        <x:v>9</x:v>
      </x:c>
      <x:c r="E62" s="75" t="str">
        <x:v>RW-09</x:v>
      </x:c>
      <x:c r="F62" s="86" t="str">
        <x:v>Joint Capacity Authority</x:v>
      </x:c>
      <x:c r="G62" s="86" t="str">
        <x:v>Department Comptroller</x:v>
      </x:c>
      <x:c r="H62" s="88" t="n">
        <x:v>0.08</x:v>
      </x:c>
      <x:c r="I62" s="85" t="n">
        <x:f>INDEX('Root Registry'!$G$6:$G$29,MATCH(B62,'Root Registry'!$A$6:$A$29,0))</x:f>
        <x:v>22.975</x:v>
      </x:c>
      <x:c r="J62" s="75" t="str">
        <x:f>INDEX('Root Registry'!$D$6:$D$29,MATCH(B62,'Root Registry'!$A$6:$A$29,0))</x:f>
      </x:c>
      <x:c r="K62" s="75" t="str">
        <x:f>INDEX('Root Registry'!$F$6:$F$29,MATCH(B62,'Root Registry'!$A$6:$A$29,0))</x:f>
      </x:c>
      <x:c r="L62" s="43" t="str"/>
      <x:c r="M62" s="43" t="str"/>
      <x:c r="N62" s="43" t="str"/>
      <x:c r="O62" s="43" t="str"/>
      <x:c r="P62" s="43" t="str"/>
      <x:c r="Q62" s="75" t="str">
        <x:f>S61</x:f>
        <x:v>SOURCE EMPTY</x:v>
      </x:c>
      <x:c r="R62" s="75" t="str">
        <x:f>IF(L62="","SOURCE EMPTY",IF(L62=J62,"ROOT COLLISION",IF(AND(M62&lt;&gt;"",M62=L62),"DUAL-KEY COLLISION","CLEAR")))</x:f>
        <x:v>SOURCE EMPTY</x:v>
      </x:c>
      <x:c r="S62" s="75" t="str">
        <x:f>IF(OR(J62="",L62="",M62="",N62="",O62=""),"SOURCE EMPTY",IF(AND(OR(D62=4,D62=5,D62=8),K62=""),"SOURCE EMPTY",IF(R62&lt;&gt;"CLEAR","COLLISION",IF(P62&lt;&gt;"","ROLLBACK",IF(O62&lt;&gt;"ACCEPT","HOLD",IF(OR(D62=1,Q62="ACCEPTED"),"ACCEPTED","SEQUENCE HOLD"))))))</x:f>
        <x:v>SOURCE EMPTY</x:v>
      </x:c>
      <x:c r="T62" s="85" t="n">
        <x:f>IF(S62="ACCEPTED",H62*I62,0)</x:f>
        <x:v>0</x:v>
      </x:c>
      <x:c r="U62" s="75"/>
      <x:c r="V62" s="75"/>
      <x:c r="W62" s="75"/>
      <x:c r="X62" s="75"/>
      <x:c r="Y62" s="75"/>
      <x:c r="Z62" s="75"/>
    </x:row>
    <x:row r="63" ht="20" customHeight="1">
      <x:c r="A63" s="86" t="str">
        <x:v>MS-CT-A-OW-10</x:v>
      </x:c>
      <x:c r="B63" s="75" t="str">
        <x:v>MS-CT-A</x:v>
      </x:c>
      <x:c r="C63" s="75" t="str">
        <x:v>MS-CT</x:v>
      </x:c>
      <x:c r="D63" s="75" t="n">
        <x:v>10</x:v>
      </x:c>
      <x:c r="E63" s="75" t="str">
        <x:v>OW-10</x:v>
      </x:c>
      <x:c r="F63" s="86" t="str">
        <x:v>Operational Command</x:v>
      </x:c>
      <x:c r="G63" s="86" t="str">
        <x:v>Civil Resilience Authority</x:v>
      </x:c>
      <x:c r="H63" s="88" t="n">
        <x:v>0.05</x:v>
      </x:c>
      <x:c r="I63" s="85" t="n">
        <x:f>INDEX('Root Registry'!$G$6:$G$29,MATCH(B63,'Root Registry'!$A$6:$A$29,0))</x:f>
        <x:v>22.975</x:v>
      </x:c>
      <x:c r="J63" s="75" t="str">
        <x:f>INDEX('Root Registry'!$D$6:$D$29,MATCH(B63,'Root Registry'!$A$6:$A$29,0))</x:f>
      </x:c>
      <x:c r="K63" s="75" t="str">
        <x:f>INDEX('Root Registry'!$F$6:$F$29,MATCH(B63,'Root Registry'!$A$6:$A$29,0))</x:f>
      </x:c>
      <x:c r="L63" s="43" t="str"/>
      <x:c r="M63" s="43" t="str"/>
      <x:c r="N63" s="43" t="str"/>
      <x:c r="O63" s="43" t="str"/>
      <x:c r="P63" s="43" t="str"/>
      <x:c r="Q63" s="75" t="str">
        <x:f>S62</x:f>
        <x:v>SOURCE EMPTY</x:v>
      </x:c>
      <x:c r="R63" s="75" t="str">
        <x:f>IF(L63="","SOURCE EMPTY",IF(L63=J63,"ROOT COLLISION",IF(AND(M63&lt;&gt;"",M63=L63),"DUAL-KEY COLLISION","CLEAR")))</x:f>
        <x:v>SOURCE EMPTY</x:v>
      </x:c>
      <x:c r="S63" s="75" t="str">
        <x:f>IF(OR(J63="",L63="",M63="",N63="",O63=""),"SOURCE EMPTY",IF(AND(OR(D63=4,D63=5,D63=8),K63=""),"SOURCE EMPTY",IF(R63&lt;&gt;"CLEAR","COLLISION",IF(P63&lt;&gt;"","ROLLBACK",IF(O63&lt;&gt;"ACCEPT","HOLD",IF(OR(D63=1,Q63="ACCEPTED"),"ACCEPTED","SEQUENCE HOLD"))))))</x:f>
        <x:v>SOURCE EMPTY</x:v>
      </x:c>
      <x:c r="T63" s="85" t="n">
        <x:f>IF(S63="ACCEPTED",H63*I63,0)</x:f>
        <x:v>0</x:v>
      </x:c>
      <x:c r="U63" s="75"/>
      <x:c r="V63" s="75"/>
      <x:c r="W63" s="75"/>
      <x:c r="X63" s="75"/>
      <x:c r="Y63" s="75"/>
      <x:c r="Z63" s="75"/>
    </x:row>
    <x:row r="64" ht="20" customHeight="1">
      <x:c r="A64" s="86" t="str">
        <x:v>MS-CT-A-SW-11</x:v>
      </x:c>
      <x:c r="B64" s="75" t="str">
        <x:v>MS-CT-A</x:v>
      </x:c>
      <x:c r="C64" s="75" t="str">
        <x:v>MS-CT</x:v>
      </x:c>
      <x:c r="D64" s="75" t="n">
        <x:v>11</x:v>
      </x:c>
      <x:c r="E64" s="75" t="str">
        <x:v>SW-11</x:v>
      </x:c>
      <x:c r="F64" s="86" t="str">
        <x:v>Civil Resilience Authority</x:v>
      </x:c>
      <x:c r="G64" s="86" t="str">
        <x:v>Affected Civil Authority</x:v>
      </x:c>
      <x:c r="H64" s="88" t="n">
        <x:v>0.07</x:v>
      </x:c>
      <x:c r="I64" s="85" t="n">
        <x:f>INDEX('Root Registry'!$G$6:$G$29,MATCH(B64,'Root Registry'!$A$6:$A$29,0))</x:f>
        <x:v>22.975</x:v>
      </x:c>
      <x:c r="J64" s="75" t="str">
        <x:f>INDEX('Root Registry'!$D$6:$D$29,MATCH(B64,'Root Registry'!$A$6:$A$29,0))</x:f>
      </x:c>
      <x:c r="K64" s="75" t="str">
        <x:f>INDEX('Root Registry'!$F$6:$F$29,MATCH(B64,'Root Registry'!$A$6:$A$29,0))</x:f>
      </x:c>
      <x:c r="L64" s="43" t="str"/>
      <x:c r="M64" s="43" t="str"/>
      <x:c r="N64" s="43" t="str"/>
      <x:c r="O64" s="43" t="str"/>
      <x:c r="P64" s="43" t="str"/>
      <x:c r="Q64" s="75" t="str">
        <x:f>S63</x:f>
        <x:v>SOURCE EMPTY</x:v>
      </x:c>
      <x:c r="R64" s="75" t="str">
        <x:f>IF(L64="","SOURCE EMPTY",IF(L64=J64,"ROOT COLLISION",IF(AND(M64&lt;&gt;"",M64=L64),"DUAL-KEY COLLISION","CLEAR")))</x:f>
        <x:v>SOURCE EMPTY</x:v>
      </x:c>
      <x:c r="S64" s="75" t="str">
        <x:f>IF(OR(J64="",L64="",M64="",N64="",O64=""),"SOURCE EMPTY",IF(AND(OR(D64=4,D64=5,D64=8),K64=""),"SOURCE EMPTY",IF(R64&lt;&gt;"CLEAR","COLLISION",IF(P64&lt;&gt;"","ROLLBACK",IF(O64&lt;&gt;"ACCEPT","HOLD",IF(OR(D64=1,Q64="ACCEPTED"),"ACCEPTED","SEQUENCE HOLD"))))))</x:f>
        <x:v>SOURCE EMPTY</x:v>
      </x:c>
      <x:c r="T64" s="85" t="n">
        <x:f>IF(S64="ACCEPTED",H64*I64,0)</x:f>
        <x:v>0</x:v>
      </x:c>
      <x:c r="U64" s="75"/>
      <x:c r="V64" s="75"/>
      <x:c r="W64" s="75"/>
      <x:c r="X64" s="75"/>
      <x:c r="Y64" s="75"/>
      <x:c r="Z64" s="75"/>
    </x:row>
    <x:row r="65" ht="20" customHeight="1">
      <x:c r="A65" s="86" t="str">
        <x:v>MS-CT-A-GW-12</x:v>
      </x:c>
      <x:c r="B65" s="75" t="str">
        <x:v>MS-CT-A</x:v>
      </x:c>
      <x:c r="C65" s="75" t="str">
        <x:v>MS-CT</x:v>
      </x:c>
      <x:c r="D65" s="75" t="n">
        <x:v>12</x:v>
      </x:c>
      <x:c r="E65" s="75" t="str">
        <x:v>GW-12</x:v>
      </x:c>
      <x:c r="F65" s="86" t="str">
        <x:v>Strategic Sustainment Command</x:v>
      </x:c>
      <x:c r="G65" s="86" t="str">
        <x:v>Joint Capacity Authority</x:v>
      </x:c>
      <x:c r="H65" s="88" t="n">
        <x:v>0.05</x:v>
      </x:c>
      <x:c r="I65" s="85" t="n">
        <x:f>INDEX('Root Registry'!$G$6:$G$29,MATCH(B65,'Root Registry'!$A$6:$A$29,0))</x:f>
        <x:v>22.975</x:v>
      </x:c>
      <x:c r="J65" s="75" t="str">
        <x:f>INDEX('Root Registry'!$D$6:$D$29,MATCH(B65,'Root Registry'!$A$6:$A$29,0))</x:f>
      </x:c>
      <x:c r="K65" s="75" t="str">
        <x:f>INDEX('Root Registry'!$F$6:$F$29,MATCH(B65,'Root Registry'!$A$6:$A$29,0))</x:f>
      </x:c>
      <x:c r="L65" s="43" t="str"/>
      <x:c r="M65" s="43" t="str"/>
      <x:c r="N65" s="43" t="str"/>
      <x:c r="O65" s="43" t="str"/>
      <x:c r="P65" s="43" t="str"/>
      <x:c r="Q65" s="75" t="str">
        <x:f>S64</x:f>
        <x:v>SOURCE EMPTY</x:v>
      </x:c>
      <x:c r="R65" s="75" t="str">
        <x:f>IF(L65="","SOURCE EMPTY",IF(L65=J65,"ROOT COLLISION",IF(AND(M65&lt;&gt;"",M65=L65),"DUAL-KEY COLLISION","CLEAR")))</x:f>
        <x:v>SOURCE EMPTY</x:v>
      </x:c>
      <x:c r="S65" s="75" t="str">
        <x:f>IF(OR(J65="",L65="",M65="",N65="",O65=""),"SOURCE EMPTY",IF(AND(OR(D65=4,D65=5,D65=8),K65=""),"SOURCE EMPTY",IF(R65&lt;&gt;"CLEAR","COLLISION",IF(P65&lt;&gt;"","ROLLBACK",IF(O65&lt;&gt;"ACCEPT","HOLD",IF(OR(D65=1,Q65="ACCEPTED"),"ACCEPTED","SEQUENCE HOLD"))))))</x:f>
        <x:v>SOURCE EMPTY</x:v>
      </x:c>
      <x:c r="T65" s="85" t="n">
        <x:f>IF(S65="ACCEPTED",H65*I65,0)</x:f>
        <x:v>0</x:v>
      </x:c>
      <x:c r="U65" s="75"/>
      <x:c r="V65" s="75"/>
      <x:c r="W65" s="75"/>
      <x:c r="X65" s="75"/>
      <x:c r="Y65" s="75"/>
      <x:c r="Z65" s="75"/>
    </x:row>
    <x:row r="66" ht="20" customHeight="1">
      <x:c r="A66" s="86" t="str">
        <x:v>MS-CT-B-PW-01</x:v>
      </x:c>
      <x:c r="B66" s="75" t="str">
        <x:v>MS-CT-B</x:v>
      </x:c>
      <x:c r="C66" s="75" t="str">
        <x:v>MS-CT</x:v>
      </x:c>
      <x:c r="D66" s="75" t="n">
        <x:v>1</x:v>
      </x:c>
      <x:c r="E66" s="75" t="str">
        <x:v>PW-01</x:v>
      </x:c>
      <x:c r="F66" s="86" t="str">
        <x:v>Civil Resilience Authority</x:v>
      </x:c>
      <x:c r="G66" s="86" t="str">
        <x:v>Public Effect College</x:v>
      </x:c>
      <x:c r="H66" s="88" t="n">
        <x:v>0.01</x:v>
      </x:c>
      <x:c r="I66" s="85" t="n">
        <x:f>INDEX('Root Registry'!$G$6:$G$29,MATCH(B66,'Root Registry'!$A$6:$A$29,0))</x:f>
        <x:v>22.975</x:v>
      </x:c>
      <x:c r="J66" s="75" t="str">
        <x:f>INDEX('Root Registry'!$D$6:$D$29,MATCH(B66,'Root Registry'!$A$6:$A$29,0))</x:f>
      </x:c>
      <x:c r="K66" s="75" t="str">
        <x:f>INDEX('Root Registry'!$F$6:$F$29,MATCH(B66,'Root Registry'!$A$6:$A$29,0))</x:f>
      </x:c>
      <x:c r="L66" s="43" t="str"/>
      <x:c r="M66" s="43" t="str"/>
      <x:c r="N66" s="43" t="str"/>
      <x:c r="O66" s="43" t="str"/>
      <x:c r="P66" s="43" t="str"/>
      <x:c r="Q66" s="75" t="str">
        <x:f>"ORIGIN"</x:f>
        <x:v>ORIGIN</x:v>
      </x:c>
      <x:c r="R66" s="75" t="str">
        <x:f>IF(L66="","SOURCE EMPTY",IF(L66=J66,"ROOT COLLISION",IF(AND(M66&lt;&gt;"",M66=L66),"DUAL-KEY COLLISION","CLEAR")))</x:f>
        <x:v>SOURCE EMPTY</x:v>
      </x:c>
      <x:c r="S66" s="75" t="str">
        <x:f>IF(OR(J66="",L66="",M66="",N66="",O66=""),"SOURCE EMPTY",IF(AND(OR(D66=4,D66=5,D66=8),K66=""),"SOURCE EMPTY",IF(R66&lt;&gt;"CLEAR","COLLISION",IF(P66&lt;&gt;"","ROLLBACK",IF(O66&lt;&gt;"ACCEPT","HOLD",IF(OR(D66=1,Q66="ACCEPTED"),"ACCEPTED","SEQUENCE HOLD"))))))</x:f>
        <x:v>SOURCE EMPTY</x:v>
      </x:c>
      <x:c r="T66" s="85" t="n">
        <x:f>IF(S66="ACCEPTED",H66*I66,0)</x:f>
        <x:v>0</x:v>
      </x:c>
      <x:c r="U66" s="75"/>
      <x:c r="V66" s="75"/>
      <x:c r="W66" s="75"/>
      <x:c r="X66" s="75"/>
      <x:c r="Y66" s="75"/>
      <x:c r="Z66" s="75"/>
    </x:row>
    <x:row r="67" ht="20" customHeight="1">
      <x:c r="A67" s="86" t="str">
        <x:v>MS-CT-B-MW-02</x:v>
      </x:c>
      <x:c r="B67" s="75" t="str">
        <x:v>MS-CT-B</x:v>
      </x:c>
      <x:c r="C67" s="75" t="str">
        <x:v>MS-CT</x:v>
      </x:c>
      <x:c r="D67" s="75" t="n">
        <x:v>2</x:v>
      </x:c>
      <x:c r="E67" s="75" t="str">
        <x:v>MW-02</x:v>
      </x:c>
      <x:c r="F67" s="86" t="str">
        <x:v>Mission System Command</x:v>
      </x:c>
      <x:c r="G67" s="86" t="str">
        <x:v>Civil Resilience Authority</x:v>
      </x:c>
      <x:c r="H67" s="88" t="n">
        <x:v>0.02</x:v>
      </x:c>
      <x:c r="I67" s="85" t="n">
        <x:f>INDEX('Root Registry'!$G$6:$G$29,MATCH(B67,'Root Registry'!$A$6:$A$29,0))</x:f>
        <x:v>22.975</x:v>
      </x:c>
      <x:c r="J67" s="75" t="str">
        <x:f>INDEX('Root Registry'!$D$6:$D$29,MATCH(B67,'Root Registry'!$A$6:$A$29,0))</x:f>
      </x:c>
      <x:c r="K67" s="75" t="str">
        <x:f>INDEX('Root Registry'!$F$6:$F$29,MATCH(B67,'Root Registry'!$A$6:$A$29,0))</x:f>
      </x:c>
      <x:c r="L67" s="43" t="str"/>
      <x:c r="M67" s="43" t="str"/>
      <x:c r="N67" s="43" t="str"/>
      <x:c r="O67" s="43" t="str"/>
      <x:c r="P67" s="43" t="str"/>
      <x:c r="Q67" s="75" t="str">
        <x:f>S66</x:f>
        <x:v>SOURCE EMPTY</x:v>
      </x:c>
      <x:c r="R67" s="75" t="str">
        <x:f>IF(L67="","SOURCE EMPTY",IF(L67=J67,"ROOT COLLISION",IF(AND(M67&lt;&gt;"",M67=L67),"DUAL-KEY COLLISION","CLEAR")))</x:f>
        <x:v>SOURCE EMPTY</x:v>
      </x:c>
      <x:c r="S67" s="75" t="str">
        <x:f>IF(OR(J67="",L67="",M67="",N67="",O67=""),"SOURCE EMPTY",IF(AND(OR(D67=4,D67=5,D67=8),K67=""),"SOURCE EMPTY",IF(R67&lt;&gt;"CLEAR","COLLISION",IF(P67&lt;&gt;"","ROLLBACK",IF(O67&lt;&gt;"ACCEPT","HOLD",IF(OR(D67=1,Q67="ACCEPTED"),"ACCEPTED","SEQUENCE HOLD"))))))</x:f>
        <x:v>SOURCE EMPTY</x:v>
      </x:c>
      <x:c r="T67" s="85" t="n">
        <x:f>IF(S67="ACCEPTED",H67*I67,0)</x:f>
        <x:v>0</x:v>
      </x:c>
      <x:c r="U67" s="75"/>
      <x:c r="V67" s="75"/>
      <x:c r="W67" s="75"/>
      <x:c r="X67" s="75"/>
      <x:c r="Y67" s="75"/>
      <x:c r="Z67" s="75"/>
    </x:row>
    <x:row r="68" ht="20" customHeight="1">
      <x:c r="A68" s="86" t="str">
        <x:v>MS-CT-B-FW-03</x:v>
      </x:c>
      <x:c r="B68" s="75" t="str">
        <x:v>MS-CT-B</x:v>
      </x:c>
      <x:c r="C68" s="75" t="str">
        <x:v>MS-CT</x:v>
      </x:c>
      <x:c r="D68" s="75" t="n">
        <x:v>3</x:v>
      </x:c>
      <x:c r="E68" s="75" t="str">
        <x:v>FW-03</x:v>
      </x:c>
      <x:c r="F68" s="86" t="str">
        <x:v>Department Capital Board</x:v>
      </x:c>
      <x:c r="G68" s="86" t="str">
        <x:v>Failure Reserve Trustee</x:v>
      </x:c>
      <x:c r="H68" s="88" t="n">
        <x:v>0.05</x:v>
      </x:c>
      <x:c r="I68" s="85" t="n">
        <x:f>INDEX('Root Registry'!$G$6:$G$29,MATCH(B68,'Root Registry'!$A$6:$A$29,0))</x:f>
        <x:v>22.975</x:v>
      </x:c>
      <x:c r="J68" s="75" t="str">
        <x:f>INDEX('Root Registry'!$D$6:$D$29,MATCH(B68,'Root Registry'!$A$6:$A$29,0))</x:f>
      </x:c>
      <x:c r="K68" s="75" t="str">
        <x:f>INDEX('Root Registry'!$F$6:$F$29,MATCH(B68,'Root Registry'!$A$6:$A$29,0))</x:f>
      </x:c>
      <x:c r="L68" s="43" t="str"/>
      <x:c r="M68" s="43" t="str"/>
      <x:c r="N68" s="43" t="str"/>
      <x:c r="O68" s="43" t="str"/>
      <x:c r="P68" s="43" t="str"/>
      <x:c r="Q68" s="75" t="str">
        <x:f>S67</x:f>
        <x:v>SOURCE EMPTY</x:v>
      </x:c>
      <x:c r="R68" s="75" t="str">
        <x:f>IF(L68="","SOURCE EMPTY",IF(L68=J68,"ROOT COLLISION",IF(AND(M68&lt;&gt;"",M68=L68),"DUAL-KEY COLLISION","CLEAR")))</x:f>
        <x:v>SOURCE EMPTY</x:v>
      </x:c>
      <x:c r="S68" s="75" t="str">
        <x:f>IF(OR(J68="",L68="",M68="",N68="",O68=""),"SOURCE EMPTY",IF(AND(OR(D68=4,D68=5,D68=8),K68=""),"SOURCE EMPTY",IF(R68&lt;&gt;"CLEAR","COLLISION",IF(P68&lt;&gt;"","ROLLBACK",IF(O68&lt;&gt;"ACCEPT","HOLD",IF(OR(D68=1,Q68="ACCEPTED"),"ACCEPTED","SEQUENCE HOLD"))))))</x:f>
        <x:v>SOURCE EMPTY</x:v>
      </x:c>
      <x:c r="T68" s="85" t="n">
        <x:f>IF(S68="ACCEPTED",H68*I68,0)</x:f>
        <x:v>0</x:v>
      </x:c>
      <x:c r="U68" s="75"/>
      <x:c r="V68" s="75"/>
      <x:c r="W68" s="75"/>
      <x:c r="X68" s="75"/>
      <x:c r="Y68" s="75"/>
      <x:c r="Z68" s="75"/>
    </x:row>
    <x:row r="69" ht="20" customHeight="1">
      <x:c r="A69" s="86" t="str">
        <x:v>MS-CT-B-CW-04</x:v>
      </x:c>
      <x:c r="B69" s="75" t="str">
        <x:v>MS-CT-B</x:v>
      </x:c>
      <x:c r="C69" s="75" t="str">
        <x:v>MS-CT</x:v>
      </x:c>
      <x:c r="D69" s="75" t="n">
        <x:v>4</x:v>
      </x:c>
      <x:c r="E69" s="75" t="str">
        <x:v>CW-04</x:v>
      </x:c>
      <x:c r="F69" s="86" t="str">
        <x:v>Service Technical College</x:v>
      </x:c>
      <x:c r="G69" s="86" t="str">
        <x:v>Independent Root House</x:v>
      </x:c>
      <x:c r="H69" s="88" t="n">
        <x:v>0.12</x:v>
      </x:c>
      <x:c r="I69" s="85" t="n">
        <x:f>INDEX('Root Registry'!$G$6:$G$29,MATCH(B69,'Root Registry'!$A$6:$A$29,0))</x:f>
        <x:v>22.975</x:v>
      </x:c>
      <x:c r="J69" s="75" t="str">
        <x:f>INDEX('Root Registry'!$D$6:$D$29,MATCH(B69,'Root Registry'!$A$6:$A$29,0))</x:f>
      </x:c>
      <x:c r="K69" s="75" t="str">
        <x:f>INDEX('Root Registry'!$F$6:$F$29,MATCH(B69,'Root Registry'!$A$6:$A$29,0))</x:f>
      </x:c>
      <x:c r="L69" s="43" t="str"/>
      <x:c r="M69" s="43" t="str"/>
      <x:c r="N69" s="43" t="str"/>
      <x:c r="O69" s="43" t="str"/>
      <x:c r="P69" s="43" t="str"/>
      <x:c r="Q69" s="75" t="str">
        <x:f>S68</x:f>
        <x:v>SOURCE EMPTY</x:v>
      </x:c>
      <x:c r="R69" s="75" t="str">
        <x:f>IF(L69="","SOURCE EMPTY",IF(L69=J69,"ROOT COLLISION",IF(AND(M69&lt;&gt;"",M69=L69),"DUAL-KEY COLLISION","CLEAR")))</x:f>
        <x:v>SOURCE EMPTY</x:v>
      </x:c>
      <x:c r="S69" s="75" t="str">
        <x:f>IF(OR(J69="",L69="",M69="",N69="",O69=""),"SOURCE EMPTY",IF(AND(OR(D69=4,D69=5,D69=8),K69=""),"SOURCE EMPTY",IF(R69&lt;&gt;"CLEAR","COLLISION",IF(P69&lt;&gt;"","ROLLBACK",IF(O69&lt;&gt;"ACCEPT","HOLD",IF(OR(D69=1,Q69="ACCEPTED"),"ACCEPTED","SEQUENCE HOLD"))))))</x:f>
        <x:v>SOURCE EMPTY</x:v>
      </x:c>
      <x:c r="T69" s="85" t="n">
        <x:f>IF(S69="ACCEPTED",H69*I69,0)</x:f>
        <x:v>0</x:v>
      </x:c>
      <x:c r="U69" s="75"/>
      <x:c r="V69" s="75"/>
      <x:c r="W69" s="75"/>
      <x:c r="X69" s="75"/>
      <x:c r="Y69" s="75"/>
      <x:c r="Z69" s="75"/>
    </x:row>
    <x:row r="70" ht="20" customHeight="1">
      <x:c r="A70" s="86" t="str">
        <x:v>MS-CT-B-TW-05</x:v>
      </x:c>
      <x:c r="B70" s="75" t="str">
        <x:v>MS-CT-B</x:v>
      </x:c>
      <x:c r="C70" s="75" t="str">
        <x:v>MS-CT</x:v>
      </x:c>
      <x:c r="D70" s="75" t="n">
        <x:v>5</x:v>
      </x:c>
      <x:c r="E70" s="75" t="str">
        <x:v>TW-05</x:v>
      </x:c>
      <x:c r="F70" s="86" t="str">
        <x:v>Service Technical College</x:v>
      </x:c>
      <x:c r="G70" s="86" t="str">
        <x:v>Public Protection Inspectorate</x:v>
      </x:c>
      <x:c r="H70" s="88" t="n">
        <x:v>0.08</x:v>
      </x:c>
      <x:c r="I70" s="85" t="n">
        <x:f>INDEX('Root Registry'!$G$6:$G$29,MATCH(B70,'Root Registry'!$A$6:$A$29,0))</x:f>
        <x:v>22.975</x:v>
      </x:c>
      <x:c r="J70" s="75" t="str">
        <x:f>INDEX('Root Registry'!$D$6:$D$29,MATCH(B70,'Root Registry'!$A$6:$A$29,0))</x:f>
      </x:c>
      <x:c r="K70" s="75" t="str">
        <x:f>INDEX('Root Registry'!$F$6:$F$29,MATCH(B70,'Root Registry'!$A$6:$A$29,0))</x:f>
      </x:c>
      <x:c r="L70" s="43" t="str"/>
      <x:c r="M70" s="43" t="str"/>
      <x:c r="N70" s="43" t="str"/>
      <x:c r="O70" s="43" t="str"/>
      <x:c r="P70" s="43" t="str"/>
      <x:c r="Q70" s="75" t="str">
        <x:f>S69</x:f>
        <x:v>SOURCE EMPTY</x:v>
      </x:c>
      <x:c r="R70" s="75" t="str">
        <x:f>IF(L70="","SOURCE EMPTY",IF(L70=J70,"ROOT COLLISION",IF(AND(M70&lt;&gt;"",M70=L70),"DUAL-KEY COLLISION","CLEAR")))</x:f>
        <x:v>SOURCE EMPTY</x:v>
      </x:c>
      <x:c r="S70" s="75" t="str">
        <x:f>IF(OR(J70="",L70="",M70="",N70="",O70=""),"SOURCE EMPTY",IF(AND(OR(D70=4,D70=5,D70=8),K70=""),"SOURCE EMPTY",IF(R70&lt;&gt;"CLEAR","COLLISION",IF(P70&lt;&gt;"","ROLLBACK",IF(O70&lt;&gt;"ACCEPT","HOLD",IF(OR(D70=1,Q70="ACCEPTED"),"ACCEPTED","SEQUENCE HOLD"))))))</x:f>
        <x:v>SOURCE EMPTY</x:v>
      </x:c>
      <x:c r="T70" s="85" t="n">
        <x:f>IF(S70="ACCEPTED",H70*I70,0)</x:f>
        <x:v>0</x:v>
      </x:c>
      <x:c r="U70" s="75"/>
      <x:c r="V70" s="75"/>
      <x:c r="W70" s="75"/>
      <x:c r="X70" s="75"/>
      <x:c r="Y70" s="75"/>
      <x:c r="Z70" s="75"/>
    </x:row>
    <x:row r="71" ht="20" customHeight="1">
      <x:c r="A71" s="86" t="str">
        <x:v>MS-CT-B-EW-06</x:v>
      </x:c>
      <x:c r="B71" s="75" t="str">
        <x:v>MS-CT-B</x:v>
      </x:c>
      <x:c r="C71" s="75" t="str">
        <x:v>MS-CT</x:v>
      </x:c>
      <x:c r="D71" s="75" t="n">
        <x:v>6</x:v>
      </x:c>
      <x:c r="E71" s="75" t="str">
        <x:v>EW-06</x:v>
      </x:c>
      <x:c r="F71" s="86" t="str">
        <x:v>Resilience Proving Service</x:v>
      </x:c>
      <x:c r="G71" s="86" t="str">
        <x:v>Public Effect College</x:v>
      </x:c>
      <x:c r="H71" s="88" t="n">
        <x:v>0.2</x:v>
      </x:c>
      <x:c r="I71" s="85" t="n">
        <x:f>INDEX('Root Registry'!$G$6:$G$29,MATCH(B71,'Root Registry'!$A$6:$A$29,0))</x:f>
        <x:v>22.975</x:v>
      </x:c>
      <x:c r="J71" s="75" t="str">
        <x:f>INDEX('Root Registry'!$D$6:$D$29,MATCH(B71,'Root Registry'!$A$6:$A$29,0))</x:f>
      </x:c>
      <x:c r="K71" s="75" t="str">
        <x:f>INDEX('Root Registry'!$F$6:$F$29,MATCH(B71,'Root Registry'!$A$6:$A$29,0))</x:f>
      </x:c>
      <x:c r="L71" s="43" t="str"/>
      <x:c r="M71" s="43" t="str"/>
      <x:c r="N71" s="43" t="str"/>
      <x:c r="O71" s="43" t="str"/>
      <x:c r="P71" s="43" t="str"/>
      <x:c r="Q71" s="75" t="str">
        <x:f>S70</x:f>
        <x:v>SOURCE EMPTY</x:v>
      </x:c>
      <x:c r="R71" s="75" t="str">
        <x:f>IF(L71="","SOURCE EMPTY",IF(L71=J71,"ROOT COLLISION",IF(AND(M71&lt;&gt;"",M71=L71),"DUAL-KEY COLLISION","CLEAR")))</x:f>
        <x:v>SOURCE EMPTY</x:v>
      </x:c>
      <x:c r="S71" s="75" t="str">
        <x:f>IF(OR(J71="",L71="",M71="",N71="",O71=""),"SOURCE EMPTY",IF(AND(OR(D71=4,D71=5,D71=8),K71=""),"SOURCE EMPTY",IF(R71&lt;&gt;"CLEAR","COLLISION",IF(P71&lt;&gt;"","ROLLBACK",IF(O71&lt;&gt;"ACCEPT","HOLD",IF(OR(D71=1,Q71="ACCEPTED"),"ACCEPTED","SEQUENCE HOLD"))))))</x:f>
        <x:v>SOURCE EMPTY</x:v>
      </x:c>
      <x:c r="T71" s="85" t="n">
        <x:f>IF(S71="ACCEPTED",H71*I71,0)</x:f>
        <x:v>0</x:v>
      </x:c>
      <x:c r="U71" s="75"/>
      <x:c r="V71" s="75"/>
      <x:c r="W71" s="75"/>
      <x:c r="X71" s="75"/>
      <x:c r="Y71" s="75"/>
      <x:c r="Z71" s="75"/>
    </x:row>
    <x:row r="72" ht="20" customHeight="1">
      <x:c r="A72" s="86" t="str">
        <x:v>MS-CT-B-IW-07</x:v>
      </x:c>
      <x:c r="B72" s="75" t="str">
        <x:v>MS-CT-B</x:v>
      </x:c>
      <x:c r="C72" s="75" t="str">
        <x:v>MS-CT</x:v>
      </x:c>
      <x:c r="D72" s="75" t="n">
        <x:v>7</x:v>
      </x:c>
      <x:c r="E72" s="75" t="str">
        <x:v>IW-07</x:v>
      </x:c>
      <x:c r="F72" s="86" t="str">
        <x:v>Industrial Mobilization Administration</x:v>
      </x:c>
      <x:c r="G72" s="86" t="str">
        <x:v>Reconstruction Command</x:v>
      </x:c>
      <x:c r="H72" s="88" t="n">
        <x:v>0.15</x:v>
      </x:c>
      <x:c r="I72" s="85" t="n">
        <x:f>INDEX('Root Registry'!$G$6:$G$29,MATCH(B72,'Root Registry'!$A$6:$A$29,0))</x:f>
        <x:v>22.975</x:v>
      </x:c>
      <x:c r="J72" s="75" t="str">
        <x:f>INDEX('Root Registry'!$D$6:$D$29,MATCH(B72,'Root Registry'!$A$6:$A$29,0))</x:f>
      </x:c>
      <x:c r="K72" s="75" t="str">
        <x:f>INDEX('Root Registry'!$F$6:$F$29,MATCH(B72,'Root Registry'!$A$6:$A$29,0))</x:f>
      </x:c>
      <x:c r="L72" s="43" t="str"/>
      <x:c r="M72" s="43" t="str"/>
      <x:c r="N72" s="43" t="str"/>
      <x:c r="O72" s="43" t="str"/>
      <x:c r="P72" s="43" t="str"/>
      <x:c r="Q72" s="75" t="str">
        <x:f>S71</x:f>
        <x:v>SOURCE EMPTY</x:v>
      </x:c>
      <x:c r="R72" s="75" t="str">
        <x:f>IF(L72="","SOURCE EMPTY",IF(L72=J72,"ROOT COLLISION",IF(AND(M72&lt;&gt;"",M72=L72),"DUAL-KEY COLLISION","CLEAR")))</x:f>
        <x:v>SOURCE EMPTY</x:v>
      </x:c>
      <x:c r="S72" s="75" t="str">
        <x:f>IF(OR(J72="",L72="",M72="",N72="",O72=""),"SOURCE EMPTY",IF(AND(OR(D72=4,D72=5,D72=8),K72=""),"SOURCE EMPTY",IF(R72&lt;&gt;"CLEAR","COLLISION",IF(P72&lt;&gt;"","ROLLBACK",IF(O72&lt;&gt;"ACCEPT","HOLD",IF(OR(D72=1,Q72="ACCEPTED"),"ACCEPTED","SEQUENCE HOLD"))))))</x:f>
        <x:v>SOURCE EMPTY</x:v>
      </x:c>
      <x:c r="T72" s="85" t="n">
        <x:f>IF(S72="ACCEPTED",H72*I72,0)</x:f>
        <x:v>0</x:v>
      </x:c>
      <x:c r="U72" s="75"/>
      <x:c r="V72" s="75"/>
      <x:c r="W72" s="75"/>
      <x:c r="X72" s="75"/>
      <x:c r="Y72" s="75"/>
      <x:c r="Z72" s="75"/>
    </x:row>
    <x:row r="73" ht="20" customHeight="1">
      <x:c r="A73" s="86" t="str">
        <x:v>MS-CT-B-CW-08</x:v>
      </x:c>
      <x:c r="B73" s="75" t="str">
        <x:v>MS-CT-B</x:v>
      </x:c>
      <x:c r="C73" s="75" t="str">
        <x:v>MS-CT</x:v>
      </x:c>
      <x:c r="D73" s="75" t="n">
        <x:v>8</x:v>
      </x:c>
      <x:c r="E73" s="75" t="str">
        <x:v>CW-08</x:v>
      </x:c>
      <x:c r="F73" s="86" t="str">
        <x:v>Operating Services</x:v>
      </x:c>
      <x:c r="G73" s="86" t="str">
        <x:v>Joint Capacity Authority</x:v>
      </x:c>
      <x:c r="H73" s="88" t="n">
        <x:v>0.12</x:v>
      </x:c>
      <x:c r="I73" s="85" t="n">
        <x:f>INDEX('Root Registry'!$G$6:$G$29,MATCH(B73,'Root Registry'!$A$6:$A$29,0))</x:f>
        <x:v>22.975</x:v>
      </x:c>
      <x:c r="J73" s="75" t="str">
        <x:f>INDEX('Root Registry'!$D$6:$D$29,MATCH(B73,'Root Registry'!$A$6:$A$29,0))</x:f>
      </x:c>
      <x:c r="K73" s="75" t="str">
        <x:f>INDEX('Root Registry'!$F$6:$F$29,MATCH(B73,'Root Registry'!$A$6:$A$29,0))</x:f>
      </x:c>
      <x:c r="L73" s="43" t="str"/>
      <x:c r="M73" s="43" t="str"/>
      <x:c r="N73" s="43" t="str"/>
      <x:c r="O73" s="43" t="str"/>
      <x:c r="P73" s="43" t="str"/>
      <x:c r="Q73" s="75" t="str">
        <x:f>S72</x:f>
        <x:v>SOURCE EMPTY</x:v>
      </x:c>
      <x:c r="R73" s="75" t="str">
        <x:f>IF(L73="","SOURCE EMPTY",IF(L73=J73,"ROOT COLLISION",IF(AND(M73&lt;&gt;"",M73=L73),"DUAL-KEY COLLISION","CLEAR")))</x:f>
        <x:v>SOURCE EMPTY</x:v>
      </x:c>
      <x:c r="S73" s="75" t="str">
        <x:f>IF(OR(J73="",L73="",M73="",N73="",O73=""),"SOURCE EMPTY",IF(AND(OR(D73=4,D73=5,D73=8),K73=""),"SOURCE EMPTY",IF(R73&lt;&gt;"CLEAR","COLLISION",IF(P73&lt;&gt;"","ROLLBACK",IF(O73&lt;&gt;"ACCEPT","HOLD",IF(OR(D73=1,Q73="ACCEPTED"),"ACCEPTED","SEQUENCE HOLD"))))))</x:f>
        <x:v>SOURCE EMPTY</x:v>
      </x:c>
      <x:c r="T73" s="85" t="n">
        <x:f>IF(S73="ACCEPTED",H73*I73,0)</x:f>
        <x:v>0</x:v>
      </x:c>
      <x:c r="U73" s="75"/>
      <x:c r="V73" s="75"/>
      <x:c r="W73" s="75"/>
      <x:c r="X73" s="75"/>
      <x:c r="Y73" s="75"/>
      <x:c r="Z73" s="75"/>
    </x:row>
    <x:row r="74" ht="20" customHeight="1">
      <x:c r="A74" s="86" t="str">
        <x:v>MS-CT-B-RW-09</x:v>
      </x:c>
      <x:c r="B74" s="75" t="str">
        <x:v>MS-CT-B</x:v>
      </x:c>
      <x:c r="C74" s="75" t="str">
        <x:v>MS-CT</x:v>
      </x:c>
      <x:c r="D74" s="75" t="n">
        <x:v>9</x:v>
      </x:c>
      <x:c r="E74" s="75" t="str">
        <x:v>RW-09</x:v>
      </x:c>
      <x:c r="F74" s="86" t="str">
        <x:v>Joint Capacity Authority</x:v>
      </x:c>
      <x:c r="G74" s="86" t="str">
        <x:v>Department Comptroller</x:v>
      </x:c>
      <x:c r="H74" s="88" t="n">
        <x:v>0.08</x:v>
      </x:c>
      <x:c r="I74" s="85" t="n">
        <x:f>INDEX('Root Registry'!$G$6:$G$29,MATCH(B74,'Root Registry'!$A$6:$A$29,0))</x:f>
        <x:v>22.975</x:v>
      </x:c>
      <x:c r="J74" s="75" t="str">
        <x:f>INDEX('Root Registry'!$D$6:$D$29,MATCH(B74,'Root Registry'!$A$6:$A$29,0))</x:f>
      </x:c>
      <x:c r="K74" s="75" t="str">
        <x:f>INDEX('Root Registry'!$F$6:$F$29,MATCH(B74,'Root Registry'!$A$6:$A$29,0))</x:f>
      </x:c>
      <x:c r="L74" s="43" t="str"/>
      <x:c r="M74" s="43" t="str"/>
      <x:c r="N74" s="43" t="str"/>
      <x:c r="O74" s="43" t="str"/>
      <x:c r="P74" s="43" t="str"/>
      <x:c r="Q74" s="75" t="str">
        <x:f>S73</x:f>
        <x:v>SOURCE EMPTY</x:v>
      </x:c>
      <x:c r="R74" s="75" t="str">
        <x:f>IF(L74="","SOURCE EMPTY",IF(L74=J74,"ROOT COLLISION",IF(AND(M74&lt;&gt;"",M74=L74),"DUAL-KEY COLLISION","CLEAR")))</x:f>
        <x:v>SOURCE EMPTY</x:v>
      </x:c>
      <x:c r="S74" s="75" t="str">
        <x:f>IF(OR(J74="",L74="",M74="",N74="",O74=""),"SOURCE EMPTY",IF(AND(OR(D74=4,D74=5,D74=8),K74=""),"SOURCE EMPTY",IF(R74&lt;&gt;"CLEAR","COLLISION",IF(P74&lt;&gt;"","ROLLBACK",IF(O74&lt;&gt;"ACCEPT","HOLD",IF(OR(D74=1,Q74="ACCEPTED"),"ACCEPTED","SEQUENCE HOLD"))))))</x:f>
        <x:v>SOURCE EMPTY</x:v>
      </x:c>
      <x:c r="T74" s="85" t="n">
        <x:f>IF(S74="ACCEPTED",H74*I74,0)</x:f>
        <x:v>0</x:v>
      </x:c>
      <x:c r="U74" s="75"/>
      <x:c r="V74" s="75"/>
      <x:c r="W74" s="75"/>
      <x:c r="X74" s="75"/>
      <x:c r="Y74" s="75"/>
      <x:c r="Z74" s="75"/>
    </x:row>
    <x:row r="75" ht="20" customHeight="1">
      <x:c r="A75" s="86" t="str">
        <x:v>MS-CT-B-OW-10</x:v>
      </x:c>
      <x:c r="B75" s="75" t="str">
        <x:v>MS-CT-B</x:v>
      </x:c>
      <x:c r="C75" s="75" t="str">
        <x:v>MS-CT</x:v>
      </x:c>
      <x:c r="D75" s="75" t="n">
        <x:v>10</x:v>
      </x:c>
      <x:c r="E75" s="75" t="str">
        <x:v>OW-10</x:v>
      </x:c>
      <x:c r="F75" s="86" t="str">
        <x:v>Operational Command</x:v>
      </x:c>
      <x:c r="G75" s="86" t="str">
        <x:v>Civil Resilience Authority</x:v>
      </x:c>
      <x:c r="H75" s="88" t="n">
        <x:v>0.05</x:v>
      </x:c>
      <x:c r="I75" s="85" t="n">
        <x:f>INDEX('Root Registry'!$G$6:$G$29,MATCH(B75,'Root Registry'!$A$6:$A$29,0))</x:f>
        <x:v>22.975</x:v>
      </x:c>
      <x:c r="J75" s="75" t="str">
        <x:f>INDEX('Root Registry'!$D$6:$D$29,MATCH(B75,'Root Registry'!$A$6:$A$29,0))</x:f>
      </x:c>
      <x:c r="K75" s="75" t="str">
        <x:f>INDEX('Root Registry'!$F$6:$F$29,MATCH(B75,'Root Registry'!$A$6:$A$29,0))</x:f>
      </x:c>
      <x:c r="L75" s="43" t="str"/>
      <x:c r="M75" s="43" t="str"/>
      <x:c r="N75" s="43" t="str"/>
      <x:c r="O75" s="43" t="str"/>
      <x:c r="P75" s="43" t="str"/>
      <x:c r="Q75" s="75" t="str">
        <x:f>S74</x:f>
        <x:v>SOURCE EMPTY</x:v>
      </x:c>
      <x:c r="R75" s="75" t="str">
        <x:f>IF(L75="","SOURCE EMPTY",IF(L75=J75,"ROOT COLLISION",IF(AND(M75&lt;&gt;"",M75=L75),"DUAL-KEY COLLISION","CLEAR")))</x:f>
        <x:v>SOURCE EMPTY</x:v>
      </x:c>
      <x:c r="S75" s="75" t="str">
        <x:f>IF(OR(J75="",L75="",M75="",N75="",O75=""),"SOURCE EMPTY",IF(AND(OR(D75=4,D75=5,D75=8),K75=""),"SOURCE EMPTY",IF(R75&lt;&gt;"CLEAR","COLLISION",IF(P75&lt;&gt;"","ROLLBACK",IF(O75&lt;&gt;"ACCEPT","HOLD",IF(OR(D75=1,Q75="ACCEPTED"),"ACCEPTED","SEQUENCE HOLD"))))))</x:f>
        <x:v>SOURCE EMPTY</x:v>
      </x:c>
      <x:c r="T75" s="85" t="n">
        <x:f>IF(S75="ACCEPTED",H75*I75,0)</x:f>
        <x:v>0</x:v>
      </x:c>
      <x:c r="U75" s="75"/>
      <x:c r="V75" s="75"/>
      <x:c r="W75" s="75"/>
      <x:c r="X75" s="75"/>
      <x:c r="Y75" s="75"/>
      <x:c r="Z75" s="75"/>
    </x:row>
    <x:row r="76" ht="20" customHeight="1">
      <x:c r="A76" s="86" t="str">
        <x:v>MS-CT-B-SW-11</x:v>
      </x:c>
      <x:c r="B76" s="75" t="str">
        <x:v>MS-CT-B</x:v>
      </x:c>
      <x:c r="C76" s="75" t="str">
        <x:v>MS-CT</x:v>
      </x:c>
      <x:c r="D76" s="75" t="n">
        <x:v>11</x:v>
      </x:c>
      <x:c r="E76" s="75" t="str">
        <x:v>SW-11</x:v>
      </x:c>
      <x:c r="F76" s="86" t="str">
        <x:v>Civil Resilience Authority</x:v>
      </x:c>
      <x:c r="G76" s="86" t="str">
        <x:v>Affected Civil Authority</x:v>
      </x:c>
      <x:c r="H76" s="88" t="n">
        <x:v>0.07</x:v>
      </x:c>
      <x:c r="I76" s="85" t="n">
        <x:f>INDEX('Root Registry'!$G$6:$G$29,MATCH(B76,'Root Registry'!$A$6:$A$29,0))</x:f>
        <x:v>22.975</x:v>
      </x:c>
      <x:c r="J76" s="75" t="str">
        <x:f>INDEX('Root Registry'!$D$6:$D$29,MATCH(B76,'Root Registry'!$A$6:$A$29,0))</x:f>
      </x:c>
      <x:c r="K76" s="75" t="str">
        <x:f>INDEX('Root Registry'!$F$6:$F$29,MATCH(B76,'Root Registry'!$A$6:$A$29,0))</x:f>
      </x:c>
      <x:c r="L76" s="43" t="str"/>
      <x:c r="M76" s="43" t="str"/>
      <x:c r="N76" s="43" t="str"/>
      <x:c r="O76" s="43" t="str"/>
      <x:c r="P76" s="43" t="str"/>
      <x:c r="Q76" s="75" t="str">
        <x:f>S75</x:f>
        <x:v>SOURCE EMPTY</x:v>
      </x:c>
      <x:c r="R76" s="75" t="str">
        <x:f>IF(L76="","SOURCE EMPTY",IF(L76=J76,"ROOT COLLISION",IF(AND(M76&lt;&gt;"",M76=L76),"DUAL-KEY COLLISION","CLEAR")))</x:f>
        <x:v>SOURCE EMPTY</x:v>
      </x:c>
      <x:c r="S76" s="75" t="str">
        <x:f>IF(OR(J76="",L76="",M76="",N76="",O76=""),"SOURCE EMPTY",IF(AND(OR(D76=4,D76=5,D76=8),K76=""),"SOURCE EMPTY",IF(R76&lt;&gt;"CLEAR","COLLISION",IF(P76&lt;&gt;"","ROLLBACK",IF(O76&lt;&gt;"ACCEPT","HOLD",IF(OR(D76=1,Q76="ACCEPTED"),"ACCEPTED","SEQUENCE HOLD"))))))</x:f>
        <x:v>SOURCE EMPTY</x:v>
      </x:c>
      <x:c r="T76" s="85" t="n">
        <x:f>IF(S76="ACCEPTED",H76*I76,0)</x:f>
        <x:v>0</x:v>
      </x:c>
      <x:c r="U76" s="75"/>
      <x:c r="V76" s="75"/>
      <x:c r="W76" s="75"/>
      <x:c r="X76" s="75"/>
      <x:c r="Y76" s="75"/>
      <x:c r="Z76" s="75"/>
    </x:row>
    <x:row r="77" ht="20" customHeight="1">
      <x:c r="A77" s="86" t="str">
        <x:v>MS-CT-B-GW-12</x:v>
      </x:c>
      <x:c r="B77" s="75" t="str">
        <x:v>MS-CT-B</x:v>
      </x:c>
      <x:c r="C77" s="75" t="str">
        <x:v>MS-CT</x:v>
      </x:c>
      <x:c r="D77" s="75" t="n">
        <x:v>12</x:v>
      </x:c>
      <x:c r="E77" s="75" t="str">
        <x:v>GW-12</x:v>
      </x:c>
      <x:c r="F77" s="86" t="str">
        <x:v>Strategic Sustainment Command</x:v>
      </x:c>
      <x:c r="G77" s="86" t="str">
        <x:v>Joint Capacity Authority</x:v>
      </x:c>
      <x:c r="H77" s="88" t="n">
        <x:v>0.05</x:v>
      </x:c>
      <x:c r="I77" s="85" t="n">
        <x:f>INDEX('Root Registry'!$G$6:$G$29,MATCH(B77,'Root Registry'!$A$6:$A$29,0))</x:f>
        <x:v>22.975</x:v>
      </x:c>
      <x:c r="J77" s="75" t="str">
        <x:f>INDEX('Root Registry'!$D$6:$D$29,MATCH(B77,'Root Registry'!$A$6:$A$29,0))</x:f>
      </x:c>
      <x:c r="K77" s="75" t="str">
        <x:f>INDEX('Root Registry'!$F$6:$F$29,MATCH(B77,'Root Registry'!$A$6:$A$29,0))</x:f>
      </x:c>
      <x:c r="L77" s="43" t="str"/>
      <x:c r="M77" s="43" t="str"/>
      <x:c r="N77" s="43" t="str"/>
      <x:c r="O77" s="43" t="str"/>
      <x:c r="P77" s="43" t="str"/>
      <x:c r="Q77" s="75" t="str">
        <x:f>S76</x:f>
        <x:v>SOURCE EMPTY</x:v>
      </x:c>
      <x:c r="R77" s="75" t="str">
        <x:f>IF(L77="","SOURCE EMPTY",IF(L77=J77,"ROOT COLLISION",IF(AND(M77&lt;&gt;"",M77=L77),"DUAL-KEY COLLISION","CLEAR")))</x:f>
        <x:v>SOURCE EMPTY</x:v>
      </x:c>
      <x:c r="S77" s="75" t="str">
        <x:f>IF(OR(J77="",L77="",M77="",N77="",O77=""),"SOURCE EMPTY",IF(AND(OR(D77=4,D77=5,D77=8),K77=""),"SOURCE EMPTY",IF(R77&lt;&gt;"CLEAR","COLLISION",IF(P77&lt;&gt;"","ROLLBACK",IF(O77&lt;&gt;"ACCEPT","HOLD",IF(OR(D77=1,Q77="ACCEPTED"),"ACCEPTED","SEQUENCE HOLD"))))))</x:f>
        <x:v>SOURCE EMPTY</x:v>
      </x:c>
      <x:c r="T77" s="85" t="n">
        <x:f>IF(S77="ACCEPTED",H77*I77,0)</x:f>
        <x:v>0</x:v>
      </x:c>
      <x:c r="U77" s="75"/>
      <x:c r="V77" s="75"/>
      <x:c r="W77" s="75"/>
      <x:c r="X77" s="75"/>
      <x:c r="Y77" s="75"/>
      <x:c r="Z77" s="75"/>
    </x:row>
    <x:row r="78" ht="20" customHeight="1">
      <x:c r="A78" s="86" t="str">
        <x:v>MS-CT-C-PW-01</x:v>
      </x:c>
      <x:c r="B78" s="75" t="str">
        <x:v>MS-CT-C</x:v>
      </x:c>
      <x:c r="C78" s="75" t="str">
        <x:v>MS-CT</x:v>
      </x:c>
      <x:c r="D78" s="75" t="n">
        <x:v>1</x:v>
      </x:c>
      <x:c r="E78" s="75" t="str">
        <x:v>PW-01</x:v>
      </x:c>
      <x:c r="F78" s="86" t="str">
        <x:v>Civil Resilience Authority</x:v>
      </x:c>
      <x:c r="G78" s="86" t="str">
        <x:v>Public Effect College</x:v>
      </x:c>
      <x:c r="H78" s="88" t="n">
        <x:v>0.01</x:v>
      </x:c>
      <x:c r="I78" s="85" t="n">
        <x:f>INDEX('Root Registry'!$G$6:$G$29,MATCH(B78,'Root Registry'!$A$6:$A$29,0))</x:f>
        <x:v>22.975</x:v>
      </x:c>
      <x:c r="J78" s="75" t="str">
        <x:f>INDEX('Root Registry'!$D$6:$D$29,MATCH(B78,'Root Registry'!$A$6:$A$29,0))</x:f>
      </x:c>
      <x:c r="K78" s="75" t="str">
        <x:f>INDEX('Root Registry'!$F$6:$F$29,MATCH(B78,'Root Registry'!$A$6:$A$29,0))</x:f>
      </x:c>
      <x:c r="L78" s="43" t="str"/>
      <x:c r="M78" s="43" t="str"/>
      <x:c r="N78" s="43" t="str"/>
      <x:c r="O78" s="43" t="str"/>
      <x:c r="P78" s="43" t="str"/>
      <x:c r="Q78" s="75" t="str">
        <x:f>"ORIGIN"</x:f>
        <x:v>ORIGIN</x:v>
      </x:c>
      <x:c r="R78" s="75" t="str">
        <x:f>IF(L78="","SOURCE EMPTY",IF(L78=J78,"ROOT COLLISION",IF(AND(M78&lt;&gt;"",M78=L78),"DUAL-KEY COLLISION","CLEAR")))</x:f>
        <x:v>SOURCE EMPTY</x:v>
      </x:c>
      <x:c r="S78" s="75" t="str">
        <x:f>IF(OR(J78="",L78="",M78="",N78="",O78=""),"SOURCE EMPTY",IF(AND(OR(D78=4,D78=5,D78=8),K78=""),"SOURCE EMPTY",IF(R78&lt;&gt;"CLEAR","COLLISION",IF(P78&lt;&gt;"","ROLLBACK",IF(O78&lt;&gt;"ACCEPT","HOLD",IF(OR(D78=1,Q78="ACCEPTED"),"ACCEPTED","SEQUENCE HOLD"))))))</x:f>
        <x:v>SOURCE EMPTY</x:v>
      </x:c>
      <x:c r="T78" s="85" t="n">
        <x:f>IF(S78="ACCEPTED",H78*I78,0)</x:f>
        <x:v>0</x:v>
      </x:c>
      <x:c r="U78" s="75"/>
      <x:c r="V78" s="75"/>
      <x:c r="W78" s="75"/>
      <x:c r="X78" s="75"/>
      <x:c r="Y78" s="75"/>
      <x:c r="Z78" s="75"/>
    </x:row>
    <x:row r="79" ht="20" customHeight="1">
      <x:c r="A79" s="86" t="str">
        <x:v>MS-CT-C-MW-02</x:v>
      </x:c>
      <x:c r="B79" s="75" t="str">
        <x:v>MS-CT-C</x:v>
      </x:c>
      <x:c r="C79" s="75" t="str">
        <x:v>MS-CT</x:v>
      </x:c>
      <x:c r="D79" s="75" t="n">
        <x:v>2</x:v>
      </x:c>
      <x:c r="E79" s="75" t="str">
        <x:v>MW-02</x:v>
      </x:c>
      <x:c r="F79" s="86" t="str">
        <x:v>Mission System Command</x:v>
      </x:c>
      <x:c r="G79" s="86" t="str">
        <x:v>Civil Resilience Authority</x:v>
      </x:c>
      <x:c r="H79" s="88" t="n">
        <x:v>0.02</x:v>
      </x:c>
      <x:c r="I79" s="85" t="n">
        <x:f>INDEX('Root Registry'!$G$6:$G$29,MATCH(B79,'Root Registry'!$A$6:$A$29,0))</x:f>
        <x:v>22.975</x:v>
      </x:c>
      <x:c r="J79" s="75" t="str">
        <x:f>INDEX('Root Registry'!$D$6:$D$29,MATCH(B79,'Root Registry'!$A$6:$A$29,0))</x:f>
      </x:c>
      <x:c r="K79" s="75" t="str">
        <x:f>INDEX('Root Registry'!$F$6:$F$29,MATCH(B79,'Root Registry'!$A$6:$A$29,0))</x:f>
      </x:c>
      <x:c r="L79" s="43" t="str"/>
      <x:c r="M79" s="43" t="str"/>
      <x:c r="N79" s="43" t="str"/>
      <x:c r="O79" s="43" t="str"/>
      <x:c r="P79" s="43" t="str"/>
      <x:c r="Q79" s="75" t="str">
        <x:f>S78</x:f>
        <x:v>SOURCE EMPTY</x:v>
      </x:c>
      <x:c r="R79" s="75" t="str">
        <x:f>IF(L79="","SOURCE EMPTY",IF(L79=J79,"ROOT COLLISION",IF(AND(M79&lt;&gt;"",M79=L79),"DUAL-KEY COLLISION","CLEAR")))</x:f>
        <x:v>SOURCE EMPTY</x:v>
      </x:c>
      <x:c r="S79" s="75" t="str">
        <x:f>IF(OR(J79="",L79="",M79="",N79="",O79=""),"SOURCE EMPTY",IF(AND(OR(D79=4,D79=5,D79=8),K79=""),"SOURCE EMPTY",IF(R79&lt;&gt;"CLEAR","COLLISION",IF(P79&lt;&gt;"","ROLLBACK",IF(O79&lt;&gt;"ACCEPT","HOLD",IF(OR(D79=1,Q79="ACCEPTED"),"ACCEPTED","SEQUENCE HOLD"))))))</x:f>
        <x:v>SOURCE EMPTY</x:v>
      </x:c>
      <x:c r="T79" s="85" t="n">
        <x:f>IF(S79="ACCEPTED",H79*I79,0)</x:f>
        <x:v>0</x:v>
      </x:c>
      <x:c r="U79" s="75"/>
      <x:c r="V79" s="75"/>
      <x:c r="W79" s="75"/>
      <x:c r="X79" s="75"/>
      <x:c r="Y79" s="75"/>
      <x:c r="Z79" s="75"/>
    </x:row>
    <x:row r="80" ht="20" customHeight="1">
      <x:c r="A80" s="86" t="str">
        <x:v>MS-CT-C-FW-03</x:v>
      </x:c>
      <x:c r="B80" s="75" t="str">
        <x:v>MS-CT-C</x:v>
      </x:c>
      <x:c r="C80" s="75" t="str">
        <x:v>MS-CT</x:v>
      </x:c>
      <x:c r="D80" s="75" t="n">
        <x:v>3</x:v>
      </x:c>
      <x:c r="E80" s="75" t="str">
        <x:v>FW-03</x:v>
      </x:c>
      <x:c r="F80" s="86" t="str">
        <x:v>Department Capital Board</x:v>
      </x:c>
      <x:c r="G80" s="86" t="str">
        <x:v>Failure Reserve Trustee</x:v>
      </x:c>
      <x:c r="H80" s="88" t="n">
        <x:v>0.05</x:v>
      </x:c>
      <x:c r="I80" s="85" t="n">
        <x:f>INDEX('Root Registry'!$G$6:$G$29,MATCH(B80,'Root Registry'!$A$6:$A$29,0))</x:f>
        <x:v>22.975</x:v>
      </x:c>
      <x:c r="J80" s="75" t="str">
        <x:f>INDEX('Root Registry'!$D$6:$D$29,MATCH(B80,'Root Registry'!$A$6:$A$29,0))</x:f>
      </x:c>
      <x:c r="K80" s="75" t="str">
        <x:f>INDEX('Root Registry'!$F$6:$F$29,MATCH(B80,'Root Registry'!$A$6:$A$29,0))</x:f>
      </x:c>
      <x:c r="L80" s="43" t="str"/>
      <x:c r="M80" s="43" t="str"/>
      <x:c r="N80" s="43" t="str"/>
      <x:c r="O80" s="43" t="str"/>
      <x:c r="P80" s="43" t="str"/>
      <x:c r="Q80" s="75" t="str">
        <x:f>S79</x:f>
        <x:v>SOURCE EMPTY</x:v>
      </x:c>
      <x:c r="R80" s="75" t="str">
        <x:f>IF(L80="","SOURCE EMPTY",IF(L80=J80,"ROOT COLLISION",IF(AND(M80&lt;&gt;"",M80=L80),"DUAL-KEY COLLISION","CLEAR")))</x:f>
        <x:v>SOURCE EMPTY</x:v>
      </x:c>
      <x:c r="S80" s="75" t="str">
        <x:f>IF(OR(J80="",L80="",M80="",N80="",O80=""),"SOURCE EMPTY",IF(AND(OR(D80=4,D80=5,D80=8),K80=""),"SOURCE EMPTY",IF(R80&lt;&gt;"CLEAR","COLLISION",IF(P80&lt;&gt;"","ROLLBACK",IF(O80&lt;&gt;"ACCEPT","HOLD",IF(OR(D80=1,Q80="ACCEPTED"),"ACCEPTED","SEQUENCE HOLD"))))))</x:f>
        <x:v>SOURCE EMPTY</x:v>
      </x:c>
      <x:c r="T80" s="85" t="n">
        <x:f>IF(S80="ACCEPTED",H80*I80,0)</x:f>
        <x:v>0</x:v>
      </x:c>
      <x:c r="U80" s="75"/>
      <x:c r="V80" s="75"/>
      <x:c r="W80" s="75"/>
      <x:c r="X80" s="75"/>
      <x:c r="Y80" s="75"/>
      <x:c r="Z80" s="75"/>
    </x:row>
    <x:row r="81" ht="20" customHeight="1">
      <x:c r="A81" s="86" t="str">
        <x:v>MS-CT-C-CW-04</x:v>
      </x:c>
      <x:c r="B81" s="75" t="str">
        <x:v>MS-CT-C</x:v>
      </x:c>
      <x:c r="C81" s="75" t="str">
        <x:v>MS-CT</x:v>
      </x:c>
      <x:c r="D81" s="75" t="n">
        <x:v>4</x:v>
      </x:c>
      <x:c r="E81" s="75" t="str">
        <x:v>CW-04</x:v>
      </x:c>
      <x:c r="F81" s="86" t="str">
        <x:v>Service Technical College</x:v>
      </x:c>
      <x:c r="G81" s="86" t="str">
        <x:v>Independent Root House</x:v>
      </x:c>
      <x:c r="H81" s="88" t="n">
        <x:v>0.12</x:v>
      </x:c>
      <x:c r="I81" s="85" t="n">
        <x:f>INDEX('Root Registry'!$G$6:$G$29,MATCH(B81,'Root Registry'!$A$6:$A$29,0))</x:f>
        <x:v>22.975</x:v>
      </x:c>
      <x:c r="J81" s="75" t="str">
        <x:f>INDEX('Root Registry'!$D$6:$D$29,MATCH(B81,'Root Registry'!$A$6:$A$29,0))</x:f>
      </x:c>
      <x:c r="K81" s="75" t="str">
        <x:f>INDEX('Root Registry'!$F$6:$F$29,MATCH(B81,'Root Registry'!$A$6:$A$29,0))</x:f>
      </x:c>
      <x:c r="L81" s="43" t="str"/>
      <x:c r="M81" s="43" t="str"/>
      <x:c r="N81" s="43" t="str"/>
      <x:c r="O81" s="43" t="str"/>
      <x:c r="P81" s="43" t="str"/>
      <x:c r="Q81" s="75" t="str">
        <x:f>S80</x:f>
        <x:v>SOURCE EMPTY</x:v>
      </x:c>
      <x:c r="R81" s="75" t="str">
        <x:f>IF(L81="","SOURCE EMPTY",IF(L81=J81,"ROOT COLLISION",IF(AND(M81&lt;&gt;"",M81=L81),"DUAL-KEY COLLISION","CLEAR")))</x:f>
        <x:v>SOURCE EMPTY</x:v>
      </x:c>
      <x:c r="S81" s="75" t="str">
        <x:f>IF(OR(J81="",L81="",M81="",N81="",O81=""),"SOURCE EMPTY",IF(AND(OR(D81=4,D81=5,D81=8),K81=""),"SOURCE EMPTY",IF(R81&lt;&gt;"CLEAR","COLLISION",IF(P81&lt;&gt;"","ROLLBACK",IF(O81&lt;&gt;"ACCEPT","HOLD",IF(OR(D81=1,Q81="ACCEPTED"),"ACCEPTED","SEQUENCE HOLD"))))))</x:f>
        <x:v>SOURCE EMPTY</x:v>
      </x:c>
      <x:c r="T81" s="85" t="n">
        <x:f>IF(S81="ACCEPTED",H81*I81,0)</x:f>
        <x:v>0</x:v>
      </x:c>
      <x:c r="U81" s="75"/>
      <x:c r="V81" s="75"/>
      <x:c r="W81" s="75"/>
      <x:c r="X81" s="75"/>
      <x:c r="Y81" s="75"/>
      <x:c r="Z81" s="75"/>
    </x:row>
    <x:row r="82" ht="20" customHeight="1">
      <x:c r="A82" s="86" t="str">
        <x:v>MS-CT-C-TW-05</x:v>
      </x:c>
      <x:c r="B82" s="75" t="str">
        <x:v>MS-CT-C</x:v>
      </x:c>
      <x:c r="C82" s="75" t="str">
        <x:v>MS-CT</x:v>
      </x:c>
      <x:c r="D82" s="75" t="n">
        <x:v>5</x:v>
      </x:c>
      <x:c r="E82" s="75" t="str">
        <x:v>TW-05</x:v>
      </x:c>
      <x:c r="F82" s="86" t="str">
        <x:v>Service Technical College</x:v>
      </x:c>
      <x:c r="G82" s="86" t="str">
        <x:v>Public Protection Inspectorate</x:v>
      </x:c>
      <x:c r="H82" s="88" t="n">
        <x:v>0.08</x:v>
      </x:c>
      <x:c r="I82" s="85" t="n">
        <x:f>INDEX('Root Registry'!$G$6:$G$29,MATCH(B82,'Root Registry'!$A$6:$A$29,0))</x:f>
        <x:v>22.975</x:v>
      </x:c>
      <x:c r="J82" s="75" t="str">
        <x:f>INDEX('Root Registry'!$D$6:$D$29,MATCH(B82,'Root Registry'!$A$6:$A$29,0))</x:f>
      </x:c>
      <x:c r="K82" s="75" t="str">
        <x:f>INDEX('Root Registry'!$F$6:$F$29,MATCH(B82,'Root Registry'!$A$6:$A$29,0))</x:f>
      </x:c>
      <x:c r="L82" s="43" t="str"/>
      <x:c r="M82" s="43" t="str"/>
      <x:c r="N82" s="43" t="str"/>
      <x:c r="O82" s="43" t="str"/>
      <x:c r="P82" s="43" t="str"/>
      <x:c r="Q82" s="75" t="str">
        <x:f>S81</x:f>
        <x:v>SOURCE EMPTY</x:v>
      </x:c>
      <x:c r="R82" s="75" t="str">
        <x:f>IF(L82="","SOURCE EMPTY",IF(L82=J82,"ROOT COLLISION",IF(AND(M82&lt;&gt;"",M82=L82),"DUAL-KEY COLLISION","CLEAR")))</x:f>
        <x:v>SOURCE EMPTY</x:v>
      </x:c>
      <x:c r="S82" s="75" t="str">
        <x:f>IF(OR(J82="",L82="",M82="",N82="",O82=""),"SOURCE EMPTY",IF(AND(OR(D82=4,D82=5,D82=8),K82=""),"SOURCE EMPTY",IF(R82&lt;&gt;"CLEAR","COLLISION",IF(P82&lt;&gt;"","ROLLBACK",IF(O82&lt;&gt;"ACCEPT","HOLD",IF(OR(D82=1,Q82="ACCEPTED"),"ACCEPTED","SEQUENCE HOLD"))))))</x:f>
        <x:v>SOURCE EMPTY</x:v>
      </x:c>
      <x:c r="T82" s="85" t="n">
        <x:f>IF(S82="ACCEPTED",H82*I82,0)</x:f>
        <x:v>0</x:v>
      </x:c>
      <x:c r="U82" s="75"/>
      <x:c r="V82" s="75"/>
      <x:c r="W82" s="75"/>
      <x:c r="X82" s="75"/>
      <x:c r="Y82" s="75"/>
      <x:c r="Z82" s="75"/>
    </x:row>
    <x:row r="83" ht="20" customHeight="1">
      <x:c r="A83" s="86" t="str">
        <x:v>MS-CT-C-EW-06</x:v>
      </x:c>
      <x:c r="B83" s="75" t="str">
        <x:v>MS-CT-C</x:v>
      </x:c>
      <x:c r="C83" s="75" t="str">
        <x:v>MS-CT</x:v>
      </x:c>
      <x:c r="D83" s="75" t="n">
        <x:v>6</x:v>
      </x:c>
      <x:c r="E83" s="75" t="str">
        <x:v>EW-06</x:v>
      </x:c>
      <x:c r="F83" s="86" t="str">
        <x:v>Resilience Proving Service</x:v>
      </x:c>
      <x:c r="G83" s="86" t="str">
        <x:v>Public Effect College</x:v>
      </x:c>
      <x:c r="H83" s="88" t="n">
        <x:v>0.2</x:v>
      </x:c>
      <x:c r="I83" s="85" t="n">
        <x:f>INDEX('Root Registry'!$G$6:$G$29,MATCH(B83,'Root Registry'!$A$6:$A$29,0))</x:f>
        <x:v>22.975</x:v>
      </x:c>
      <x:c r="J83" s="75" t="str">
        <x:f>INDEX('Root Registry'!$D$6:$D$29,MATCH(B83,'Root Registry'!$A$6:$A$29,0))</x:f>
      </x:c>
      <x:c r="K83" s="75" t="str">
        <x:f>INDEX('Root Registry'!$F$6:$F$29,MATCH(B83,'Root Registry'!$A$6:$A$29,0))</x:f>
      </x:c>
      <x:c r="L83" s="43" t="str"/>
      <x:c r="M83" s="43" t="str"/>
      <x:c r="N83" s="43" t="str"/>
      <x:c r="O83" s="43" t="str"/>
      <x:c r="P83" s="43" t="str"/>
      <x:c r="Q83" s="75" t="str">
        <x:f>S82</x:f>
        <x:v>SOURCE EMPTY</x:v>
      </x:c>
      <x:c r="R83" s="75" t="str">
        <x:f>IF(L83="","SOURCE EMPTY",IF(L83=J83,"ROOT COLLISION",IF(AND(M83&lt;&gt;"",M83=L83),"DUAL-KEY COLLISION","CLEAR")))</x:f>
        <x:v>SOURCE EMPTY</x:v>
      </x:c>
      <x:c r="S83" s="75" t="str">
        <x:f>IF(OR(J83="",L83="",M83="",N83="",O83=""),"SOURCE EMPTY",IF(AND(OR(D83=4,D83=5,D83=8),K83=""),"SOURCE EMPTY",IF(R83&lt;&gt;"CLEAR","COLLISION",IF(P83&lt;&gt;"","ROLLBACK",IF(O83&lt;&gt;"ACCEPT","HOLD",IF(OR(D83=1,Q83="ACCEPTED"),"ACCEPTED","SEQUENCE HOLD"))))))</x:f>
        <x:v>SOURCE EMPTY</x:v>
      </x:c>
      <x:c r="T83" s="85" t="n">
        <x:f>IF(S83="ACCEPTED",H83*I83,0)</x:f>
        <x:v>0</x:v>
      </x:c>
      <x:c r="U83" s="75"/>
      <x:c r="V83" s="75"/>
      <x:c r="W83" s="75"/>
      <x:c r="X83" s="75"/>
      <x:c r="Y83" s="75"/>
      <x:c r="Z83" s="75"/>
    </x:row>
    <x:row r="84" ht="20" customHeight="1">
      <x:c r="A84" s="86" t="str">
        <x:v>MS-CT-C-IW-07</x:v>
      </x:c>
      <x:c r="B84" s="75" t="str">
        <x:v>MS-CT-C</x:v>
      </x:c>
      <x:c r="C84" s="75" t="str">
        <x:v>MS-CT</x:v>
      </x:c>
      <x:c r="D84" s="75" t="n">
        <x:v>7</x:v>
      </x:c>
      <x:c r="E84" s="75" t="str">
        <x:v>IW-07</x:v>
      </x:c>
      <x:c r="F84" s="86" t="str">
        <x:v>Industrial Mobilization Administration</x:v>
      </x:c>
      <x:c r="G84" s="86" t="str">
        <x:v>Reconstruction Command</x:v>
      </x:c>
      <x:c r="H84" s="88" t="n">
        <x:v>0.15</x:v>
      </x:c>
      <x:c r="I84" s="85" t="n">
        <x:f>INDEX('Root Registry'!$G$6:$G$29,MATCH(B84,'Root Registry'!$A$6:$A$29,0))</x:f>
        <x:v>22.975</x:v>
      </x:c>
      <x:c r="J84" s="75" t="str">
        <x:f>INDEX('Root Registry'!$D$6:$D$29,MATCH(B84,'Root Registry'!$A$6:$A$29,0))</x:f>
      </x:c>
      <x:c r="K84" s="75" t="str">
        <x:f>INDEX('Root Registry'!$F$6:$F$29,MATCH(B84,'Root Registry'!$A$6:$A$29,0))</x:f>
      </x:c>
      <x:c r="L84" s="43" t="str"/>
      <x:c r="M84" s="43" t="str"/>
      <x:c r="N84" s="43" t="str"/>
      <x:c r="O84" s="43" t="str"/>
      <x:c r="P84" s="43" t="str"/>
      <x:c r="Q84" s="75" t="str">
        <x:f>S83</x:f>
        <x:v>SOURCE EMPTY</x:v>
      </x:c>
      <x:c r="R84" s="75" t="str">
        <x:f>IF(L84="","SOURCE EMPTY",IF(L84=J84,"ROOT COLLISION",IF(AND(M84&lt;&gt;"",M84=L84),"DUAL-KEY COLLISION","CLEAR")))</x:f>
        <x:v>SOURCE EMPTY</x:v>
      </x:c>
      <x:c r="S84" s="75" t="str">
        <x:f>IF(OR(J84="",L84="",M84="",N84="",O84=""),"SOURCE EMPTY",IF(AND(OR(D84=4,D84=5,D84=8),K84=""),"SOURCE EMPTY",IF(R84&lt;&gt;"CLEAR","COLLISION",IF(P84&lt;&gt;"","ROLLBACK",IF(O84&lt;&gt;"ACCEPT","HOLD",IF(OR(D84=1,Q84="ACCEPTED"),"ACCEPTED","SEQUENCE HOLD"))))))</x:f>
        <x:v>SOURCE EMPTY</x:v>
      </x:c>
      <x:c r="T84" s="85" t="n">
        <x:f>IF(S84="ACCEPTED",H84*I84,0)</x:f>
        <x:v>0</x:v>
      </x:c>
      <x:c r="U84" s="75"/>
      <x:c r="V84" s="75"/>
      <x:c r="W84" s="75"/>
      <x:c r="X84" s="75"/>
      <x:c r="Y84" s="75"/>
      <x:c r="Z84" s="75"/>
    </x:row>
    <x:row r="85" ht="20" customHeight="1">
      <x:c r="A85" s="86" t="str">
        <x:v>MS-CT-C-CW-08</x:v>
      </x:c>
      <x:c r="B85" s="75" t="str">
        <x:v>MS-CT-C</x:v>
      </x:c>
      <x:c r="C85" s="75" t="str">
        <x:v>MS-CT</x:v>
      </x:c>
      <x:c r="D85" s="75" t="n">
        <x:v>8</x:v>
      </x:c>
      <x:c r="E85" s="75" t="str">
        <x:v>CW-08</x:v>
      </x:c>
      <x:c r="F85" s="86" t="str">
        <x:v>Operating Services</x:v>
      </x:c>
      <x:c r="G85" s="86" t="str">
        <x:v>Joint Capacity Authority</x:v>
      </x:c>
      <x:c r="H85" s="88" t="n">
        <x:v>0.12</x:v>
      </x:c>
      <x:c r="I85" s="85" t="n">
        <x:f>INDEX('Root Registry'!$G$6:$G$29,MATCH(B85,'Root Registry'!$A$6:$A$29,0))</x:f>
        <x:v>22.975</x:v>
      </x:c>
      <x:c r="J85" s="75" t="str">
        <x:f>INDEX('Root Registry'!$D$6:$D$29,MATCH(B85,'Root Registry'!$A$6:$A$29,0))</x:f>
      </x:c>
      <x:c r="K85" s="75" t="str">
        <x:f>INDEX('Root Registry'!$F$6:$F$29,MATCH(B85,'Root Registry'!$A$6:$A$29,0))</x:f>
      </x:c>
      <x:c r="L85" s="43" t="str"/>
      <x:c r="M85" s="43" t="str"/>
      <x:c r="N85" s="43" t="str"/>
      <x:c r="O85" s="43" t="str"/>
      <x:c r="P85" s="43" t="str"/>
      <x:c r="Q85" s="75" t="str">
        <x:f>S84</x:f>
        <x:v>SOURCE EMPTY</x:v>
      </x:c>
      <x:c r="R85" s="75" t="str">
        <x:f>IF(L85="","SOURCE EMPTY",IF(L85=J85,"ROOT COLLISION",IF(AND(M85&lt;&gt;"",M85=L85),"DUAL-KEY COLLISION","CLEAR")))</x:f>
        <x:v>SOURCE EMPTY</x:v>
      </x:c>
      <x:c r="S85" s="75" t="str">
        <x:f>IF(OR(J85="",L85="",M85="",N85="",O85=""),"SOURCE EMPTY",IF(AND(OR(D85=4,D85=5,D85=8),K85=""),"SOURCE EMPTY",IF(R85&lt;&gt;"CLEAR","COLLISION",IF(P85&lt;&gt;"","ROLLBACK",IF(O85&lt;&gt;"ACCEPT","HOLD",IF(OR(D85=1,Q85="ACCEPTED"),"ACCEPTED","SEQUENCE HOLD"))))))</x:f>
        <x:v>SOURCE EMPTY</x:v>
      </x:c>
      <x:c r="T85" s="85" t="n">
        <x:f>IF(S85="ACCEPTED",H85*I85,0)</x:f>
        <x:v>0</x:v>
      </x:c>
      <x:c r="U85" s="75"/>
      <x:c r="V85" s="75"/>
      <x:c r="W85" s="75"/>
      <x:c r="X85" s="75"/>
      <x:c r="Y85" s="75"/>
      <x:c r="Z85" s="75"/>
    </x:row>
    <x:row r="86" ht="20" customHeight="1">
      <x:c r="A86" s="86" t="str">
        <x:v>MS-CT-C-RW-09</x:v>
      </x:c>
      <x:c r="B86" s="75" t="str">
        <x:v>MS-CT-C</x:v>
      </x:c>
      <x:c r="C86" s="75" t="str">
        <x:v>MS-CT</x:v>
      </x:c>
      <x:c r="D86" s="75" t="n">
        <x:v>9</x:v>
      </x:c>
      <x:c r="E86" s="75" t="str">
        <x:v>RW-09</x:v>
      </x:c>
      <x:c r="F86" s="86" t="str">
        <x:v>Joint Capacity Authority</x:v>
      </x:c>
      <x:c r="G86" s="86" t="str">
        <x:v>Department Comptroller</x:v>
      </x:c>
      <x:c r="H86" s="88" t="n">
        <x:v>0.08</x:v>
      </x:c>
      <x:c r="I86" s="85" t="n">
        <x:f>INDEX('Root Registry'!$G$6:$G$29,MATCH(B86,'Root Registry'!$A$6:$A$29,0))</x:f>
        <x:v>22.975</x:v>
      </x:c>
      <x:c r="J86" s="75" t="str">
        <x:f>INDEX('Root Registry'!$D$6:$D$29,MATCH(B86,'Root Registry'!$A$6:$A$29,0))</x:f>
      </x:c>
      <x:c r="K86" s="75" t="str">
        <x:f>INDEX('Root Registry'!$F$6:$F$29,MATCH(B86,'Root Registry'!$A$6:$A$29,0))</x:f>
      </x:c>
      <x:c r="L86" s="43" t="str"/>
      <x:c r="M86" s="43" t="str"/>
      <x:c r="N86" s="43" t="str"/>
      <x:c r="O86" s="43" t="str"/>
      <x:c r="P86" s="43" t="str"/>
      <x:c r="Q86" s="75" t="str">
        <x:f>S85</x:f>
        <x:v>SOURCE EMPTY</x:v>
      </x:c>
      <x:c r="R86" s="75" t="str">
        <x:f>IF(L86="","SOURCE EMPTY",IF(L86=J86,"ROOT COLLISION",IF(AND(M86&lt;&gt;"",M86=L86),"DUAL-KEY COLLISION","CLEAR")))</x:f>
        <x:v>SOURCE EMPTY</x:v>
      </x:c>
      <x:c r="S86" s="75" t="str">
        <x:f>IF(OR(J86="",L86="",M86="",N86="",O86=""),"SOURCE EMPTY",IF(AND(OR(D86=4,D86=5,D86=8),K86=""),"SOURCE EMPTY",IF(R86&lt;&gt;"CLEAR","COLLISION",IF(P86&lt;&gt;"","ROLLBACK",IF(O86&lt;&gt;"ACCEPT","HOLD",IF(OR(D86=1,Q86="ACCEPTED"),"ACCEPTED","SEQUENCE HOLD"))))))</x:f>
        <x:v>SOURCE EMPTY</x:v>
      </x:c>
      <x:c r="T86" s="85" t="n">
        <x:f>IF(S86="ACCEPTED",H86*I86,0)</x:f>
        <x:v>0</x:v>
      </x:c>
      <x:c r="U86" s="75"/>
      <x:c r="V86" s="75"/>
      <x:c r="W86" s="75"/>
      <x:c r="X86" s="75"/>
      <x:c r="Y86" s="75"/>
      <x:c r="Z86" s="75"/>
    </x:row>
    <x:row r="87" ht="20" customHeight="1">
      <x:c r="A87" s="86" t="str">
        <x:v>MS-CT-C-OW-10</x:v>
      </x:c>
      <x:c r="B87" s="75" t="str">
        <x:v>MS-CT-C</x:v>
      </x:c>
      <x:c r="C87" s="75" t="str">
        <x:v>MS-CT</x:v>
      </x:c>
      <x:c r="D87" s="75" t="n">
        <x:v>10</x:v>
      </x:c>
      <x:c r="E87" s="75" t="str">
        <x:v>OW-10</x:v>
      </x:c>
      <x:c r="F87" s="86" t="str">
        <x:v>Operational Command</x:v>
      </x:c>
      <x:c r="G87" s="86" t="str">
        <x:v>Civil Resilience Authority</x:v>
      </x:c>
      <x:c r="H87" s="88" t="n">
        <x:v>0.05</x:v>
      </x:c>
      <x:c r="I87" s="85" t="n">
        <x:f>INDEX('Root Registry'!$G$6:$G$29,MATCH(B87,'Root Registry'!$A$6:$A$29,0))</x:f>
        <x:v>22.975</x:v>
      </x:c>
      <x:c r="J87" s="75" t="str">
        <x:f>INDEX('Root Registry'!$D$6:$D$29,MATCH(B87,'Root Registry'!$A$6:$A$29,0))</x:f>
      </x:c>
      <x:c r="K87" s="75" t="str">
        <x:f>INDEX('Root Registry'!$F$6:$F$29,MATCH(B87,'Root Registry'!$A$6:$A$29,0))</x:f>
      </x:c>
      <x:c r="L87" s="43" t="str"/>
      <x:c r="M87" s="43" t="str"/>
      <x:c r="N87" s="43" t="str"/>
      <x:c r="O87" s="43" t="str"/>
      <x:c r="P87" s="43" t="str"/>
      <x:c r="Q87" s="75" t="str">
        <x:f>S86</x:f>
        <x:v>SOURCE EMPTY</x:v>
      </x:c>
      <x:c r="R87" s="75" t="str">
        <x:f>IF(L87="","SOURCE EMPTY",IF(L87=J87,"ROOT COLLISION",IF(AND(M87&lt;&gt;"",M87=L87),"DUAL-KEY COLLISION","CLEAR")))</x:f>
        <x:v>SOURCE EMPTY</x:v>
      </x:c>
      <x:c r="S87" s="75" t="str">
        <x:f>IF(OR(J87="",L87="",M87="",N87="",O87=""),"SOURCE EMPTY",IF(AND(OR(D87=4,D87=5,D87=8),K87=""),"SOURCE EMPTY",IF(R87&lt;&gt;"CLEAR","COLLISION",IF(P87&lt;&gt;"","ROLLBACK",IF(O87&lt;&gt;"ACCEPT","HOLD",IF(OR(D87=1,Q87="ACCEPTED"),"ACCEPTED","SEQUENCE HOLD"))))))</x:f>
        <x:v>SOURCE EMPTY</x:v>
      </x:c>
      <x:c r="T87" s="85" t="n">
        <x:f>IF(S87="ACCEPTED",H87*I87,0)</x:f>
        <x:v>0</x:v>
      </x:c>
      <x:c r="U87" s="75"/>
      <x:c r="V87" s="75"/>
      <x:c r="W87" s="75"/>
      <x:c r="X87" s="75"/>
      <x:c r="Y87" s="75"/>
      <x:c r="Z87" s="75"/>
    </x:row>
    <x:row r="88" ht="20" customHeight="1">
      <x:c r="A88" s="86" t="str">
        <x:v>MS-CT-C-SW-11</x:v>
      </x:c>
      <x:c r="B88" s="75" t="str">
        <x:v>MS-CT-C</x:v>
      </x:c>
      <x:c r="C88" s="75" t="str">
        <x:v>MS-CT</x:v>
      </x:c>
      <x:c r="D88" s="75" t="n">
        <x:v>11</x:v>
      </x:c>
      <x:c r="E88" s="75" t="str">
        <x:v>SW-11</x:v>
      </x:c>
      <x:c r="F88" s="86" t="str">
        <x:v>Civil Resilience Authority</x:v>
      </x:c>
      <x:c r="G88" s="86" t="str">
        <x:v>Affected Civil Authority</x:v>
      </x:c>
      <x:c r="H88" s="88" t="n">
        <x:v>0.07</x:v>
      </x:c>
      <x:c r="I88" s="85" t="n">
        <x:f>INDEX('Root Registry'!$G$6:$G$29,MATCH(B88,'Root Registry'!$A$6:$A$29,0))</x:f>
        <x:v>22.975</x:v>
      </x:c>
      <x:c r="J88" s="75" t="str">
        <x:f>INDEX('Root Registry'!$D$6:$D$29,MATCH(B88,'Root Registry'!$A$6:$A$29,0))</x:f>
      </x:c>
      <x:c r="K88" s="75" t="str">
        <x:f>INDEX('Root Registry'!$F$6:$F$29,MATCH(B88,'Root Registry'!$A$6:$A$29,0))</x:f>
      </x:c>
      <x:c r="L88" s="43" t="str"/>
      <x:c r="M88" s="43" t="str"/>
      <x:c r="N88" s="43" t="str"/>
      <x:c r="O88" s="43" t="str"/>
      <x:c r="P88" s="43" t="str"/>
      <x:c r="Q88" s="75" t="str">
        <x:f>S87</x:f>
        <x:v>SOURCE EMPTY</x:v>
      </x:c>
      <x:c r="R88" s="75" t="str">
        <x:f>IF(L88="","SOURCE EMPTY",IF(L88=J88,"ROOT COLLISION",IF(AND(M88&lt;&gt;"",M88=L88),"DUAL-KEY COLLISION","CLEAR")))</x:f>
        <x:v>SOURCE EMPTY</x:v>
      </x:c>
      <x:c r="S88" s="75" t="str">
        <x:f>IF(OR(J88="",L88="",M88="",N88="",O88=""),"SOURCE EMPTY",IF(AND(OR(D88=4,D88=5,D88=8),K88=""),"SOURCE EMPTY",IF(R88&lt;&gt;"CLEAR","COLLISION",IF(P88&lt;&gt;"","ROLLBACK",IF(O88&lt;&gt;"ACCEPT","HOLD",IF(OR(D88=1,Q88="ACCEPTED"),"ACCEPTED","SEQUENCE HOLD"))))))</x:f>
        <x:v>SOURCE EMPTY</x:v>
      </x:c>
      <x:c r="T88" s="85" t="n">
        <x:f>IF(S88="ACCEPTED",H88*I88,0)</x:f>
        <x:v>0</x:v>
      </x:c>
      <x:c r="U88" s="75"/>
      <x:c r="V88" s="75"/>
      <x:c r="W88" s="75"/>
      <x:c r="X88" s="75"/>
      <x:c r="Y88" s="75"/>
      <x:c r="Z88" s="75"/>
    </x:row>
    <x:row r="89" ht="20" customHeight="1">
      <x:c r="A89" s="86" t="str">
        <x:v>MS-CT-C-GW-12</x:v>
      </x:c>
      <x:c r="B89" s="75" t="str">
        <x:v>MS-CT-C</x:v>
      </x:c>
      <x:c r="C89" s="75" t="str">
        <x:v>MS-CT</x:v>
      </x:c>
      <x:c r="D89" s="75" t="n">
        <x:v>12</x:v>
      </x:c>
      <x:c r="E89" s="75" t="str">
        <x:v>GW-12</x:v>
      </x:c>
      <x:c r="F89" s="86" t="str">
        <x:v>Strategic Sustainment Command</x:v>
      </x:c>
      <x:c r="G89" s="86" t="str">
        <x:v>Joint Capacity Authority</x:v>
      </x:c>
      <x:c r="H89" s="88" t="n">
        <x:v>0.05</x:v>
      </x:c>
      <x:c r="I89" s="85" t="n">
        <x:f>INDEX('Root Registry'!$G$6:$G$29,MATCH(B89,'Root Registry'!$A$6:$A$29,0))</x:f>
        <x:v>22.975</x:v>
      </x:c>
      <x:c r="J89" s="75" t="str">
        <x:f>INDEX('Root Registry'!$D$6:$D$29,MATCH(B89,'Root Registry'!$A$6:$A$29,0))</x:f>
      </x:c>
      <x:c r="K89" s="75" t="str">
        <x:f>INDEX('Root Registry'!$F$6:$F$29,MATCH(B89,'Root Registry'!$A$6:$A$29,0))</x:f>
      </x:c>
      <x:c r="L89" s="43" t="str"/>
      <x:c r="M89" s="43" t="str"/>
      <x:c r="N89" s="43" t="str"/>
      <x:c r="O89" s="43" t="str"/>
      <x:c r="P89" s="43" t="str"/>
      <x:c r="Q89" s="75" t="str">
        <x:f>S88</x:f>
        <x:v>SOURCE EMPTY</x:v>
      </x:c>
      <x:c r="R89" s="75" t="str">
        <x:f>IF(L89="","SOURCE EMPTY",IF(L89=J89,"ROOT COLLISION",IF(AND(M89&lt;&gt;"",M89=L89),"DUAL-KEY COLLISION","CLEAR")))</x:f>
        <x:v>SOURCE EMPTY</x:v>
      </x:c>
      <x:c r="S89" s="75" t="str">
        <x:f>IF(OR(J89="",L89="",M89="",N89="",O89=""),"SOURCE EMPTY",IF(AND(OR(D89=4,D89=5,D89=8),K89=""),"SOURCE EMPTY",IF(R89&lt;&gt;"CLEAR","COLLISION",IF(P89&lt;&gt;"","ROLLBACK",IF(O89&lt;&gt;"ACCEPT","HOLD",IF(OR(D89=1,Q89="ACCEPTED"),"ACCEPTED","SEQUENCE HOLD"))))))</x:f>
        <x:v>SOURCE EMPTY</x:v>
      </x:c>
      <x:c r="T89" s="85" t="n">
        <x:f>IF(S89="ACCEPTED",H89*I89,0)</x:f>
        <x:v>0</x:v>
      </x:c>
      <x:c r="U89" s="75"/>
      <x:c r="V89" s="75"/>
      <x:c r="W89" s="75"/>
      <x:c r="X89" s="75"/>
      <x:c r="Y89" s="75"/>
      <x:c r="Z89" s="75"/>
    </x:row>
    <x:row r="90" ht="20" customHeight="1">
      <x:c r="A90" s="86" t="str">
        <x:v>MS-CT-D-PW-01</x:v>
      </x:c>
      <x:c r="B90" s="75" t="str">
        <x:v>MS-CT-D</x:v>
      </x:c>
      <x:c r="C90" s="75" t="str">
        <x:v>MS-CT</x:v>
      </x:c>
      <x:c r="D90" s="75" t="n">
        <x:v>1</x:v>
      </x:c>
      <x:c r="E90" s="75" t="str">
        <x:v>PW-01</x:v>
      </x:c>
      <x:c r="F90" s="86" t="str">
        <x:v>Civil Resilience Authority</x:v>
      </x:c>
      <x:c r="G90" s="86" t="str">
        <x:v>Public Effect College</x:v>
      </x:c>
      <x:c r="H90" s="88" t="n">
        <x:v>0.01</x:v>
      </x:c>
      <x:c r="I90" s="85" t="n">
        <x:f>INDEX('Root Registry'!$G$6:$G$29,MATCH(B90,'Root Registry'!$A$6:$A$29,0))</x:f>
        <x:v>22.975</x:v>
      </x:c>
      <x:c r="J90" s="75" t="str">
        <x:f>INDEX('Root Registry'!$D$6:$D$29,MATCH(B90,'Root Registry'!$A$6:$A$29,0))</x:f>
      </x:c>
      <x:c r="K90" s="75" t="str">
        <x:f>INDEX('Root Registry'!$F$6:$F$29,MATCH(B90,'Root Registry'!$A$6:$A$29,0))</x:f>
      </x:c>
      <x:c r="L90" s="43" t="str"/>
      <x:c r="M90" s="43" t="str"/>
      <x:c r="N90" s="43" t="str"/>
      <x:c r="O90" s="43" t="str"/>
      <x:c r="P90" s="43" t="str"/>
      <x:c r="Q90" s="75" t="str">
        <x:f>"ORIGIN"</x:f>
        <x:v>ORIGIN</x:v>
      </x:c>
      <x:c r="R90" s="75" t="str">
        <x:f>IF(L90="","SOURCE EMPTY",IF(L90=J90,"ROOT COLLISION",IF(AND(M90&lt;&gt;"",M90=L90),"DUAL-KEY COLLISION","CLEAR")))</x:f>
        <x:v>SOURCE EMPTY</x:v>
      </x:c>
      <x:c r="S90" s="75" t="str">
        <x:f>IF(OR(J90="",L90="",M90="",N90="",O90=""),"SOURCE EMPTY",IF(AND(OR(D90=4,D90=5,D90=8),K90=""),"SOURCE EMPTY",IF(R90&lt;&gt;"CLEAR","COLLISION",IF(P90&lt;&gt;"","ROLLBACK",IF(O90&lt;&gt;"ACCEPT","HOLD",IF(OR(D90=1,Q90="ACCEPTED"),"ACCEPTED","SEQUENCE HOLD"))))))</x:f>
        <x:v>SOURCE EMPTY</x:v>
      </x:c>
      <x:c r="T90" s="85" t="n">
        <x:f>IF(S90="ACCEPTED",H90*I90,0)</x:f>
        <x:v>0</x:v>
      </x:c>
      <x:c r="U90" s="75"/>
      <x:c r="V90" s="75"/>
      <x:c r="W90" s="75"/>
      <x:c r="X90" s="75"/>
      <x:c r="Y90" s="75"/>
      <x:c r="Z90" s="75"/>
    </x:row>
    <x:row r="91" ht="20" customHeight="1">
      <x:c r="A91" s="86" t="str">
        <x:v>MS-CT-D-MW-02</x:v>
      </x:c>
      <x:c r="B91" s="75" t="str">
        <x:v>MS-CT-D</x:v>
      </x:c>
      <x:c r="C91" s="75" t="str">
        <x:v>MS-CT</x:v>
      </x:c>
      <x:c r="D91" s="75" t="n">
        <x:v>2</x:v>
      </x:c>
      <x:c r="E91" s="75" t="str">
        <x:v>MW-02</x:v>
      </x:c>
      <x:c r="F91" s="86" t="str">
        <x:v>Mission System Command</x:v>
      </x:c>
      <x:c r="G91" s="86" t="str">
        <x:v>Civil Resilience Authority</x:v>
      </x:c>
      <x:c r="H91" s="88" t="n">
        <x:v>0.02</x:v>
      </x:c>
      <x:c r="I91" s="85" t="n">
        <x:f>INDEX('Root Registry'!$G$6:$G$29,MATCH(B91,'Root Registry'!$A$6:$A$29,0))</x:f>
        <x:v>22.975</x:v>
      </x:c>
      <x:c r="J91" s="75" t="str">
        <x:f>INDEX('Root Registry'!$D$6:$D$29,MATCH(B91,'Root Registry'!$A$6:$A$29,0))</x:f>
      </x:c>
      <x:c r="K91" s="75" t="str">
        <x:f>INDEX('Root Registry'!$F$6:$F$29,MATCH(B91,'Root Registry'!$A$6:$A$29,0))</x:f>
      </x:c>
      <x:c r="L91" s="43" t="str"/>
      <x:c r="M91" s="43" t="str"/>
      <x:c r="N91" s="43" t="str"/>
      <x:c r="O91" s="43" t="str"/>
      <x:c r="P91" s="43" t="str"/>
      <x:c r="Q91" s="75" t="str">
        <x:f>S90</x:f>
        <x:v>SOURCE EMPTY</x:v>
      </x:c>
      <x:c r="R91" s="75" t="str">
        <x:f>IF(L91="","SOURCE EMPTY",IF(L91=J91,"ROOT COLLISION",IF(AND(M91&lt;&gt;"",M91=L91),"DUAL-KEY COLLISION","CLEAR")))</x:f>
        <x:v>SOURCE EMPTY</x:v>
      </x:c>
      <x:c r="S91" s="75" t="str">
        <x:f>IF(OR(J91="",L91="",M91="",N91="",O91=""),"SOURCE EMPTY",IF(AND(OR(D91=4,D91=5,D91=8),K91=""),"SOURCE EMPTY",IF(R91&lt;&gt;"CLEAR","COLLISION",IF(P91&lt;&gt;"","ROLLBACK",IF(O91&lt;&gt;"ACCEPT","HOLD",IF(OR(D91=1,Q91="ACCEPTED"),"ACCEPTED","SEQUENCE HOLD"))))))</x:f>
        <x:v>SOURCE EMPTY</x:v>
      </x:c>
      <x:c r="T91" s="85" t="n">
        <x:f>IF(S91="ACCEPTED",H91*I91,0)</x:f>
        <x:v>0</x:v>
      </x:c>
      <x:c r="U91" s="75"/>
      <x:c r="V91" s="75"/>
      <x:c r="W91" s="75"/>
      <x:c r="X91" s="75"/>
      <x:c r="Y91" s="75"/>
      <x:c r="Z91" s="75"/>
    </x:row>
    <x:row r="92" ht="20" customHeight="1">
      <x:c r="A92" s="86" t="str">
        <x:v>MS-CT-D-FW-03</x:v>
      </x:c>
      <x:c r="B92" s="75" t="str">
        <x:v>MS-CT-D</x:v>
      </x:c>
      <x:c r="C92" s="75" t="str">
        <x:v>MS-CT</x:v>
      </x:c>
      <x:c r="D92" s="75" t="n">
        <x:v>3</x:v>
      </x:c>
      <x:c r="E92" s="75" t="str">
        <x:v>FW-03</x:v>
      </x:c>
      <x:c r="F92" s="86" t="str">
        <x:v>Department Capital Board</x:v>
      </x:c>
      <x:c r="G92" s="86" t="str">
        <x:v>Failure Reserve Trustee</x:v>
      </x:c>
      <x:c r="H92" s="88" t="n">
        <x:v>0.05</x:v>
      </x:c>
      <x:c r="I92" s="85" t="n">
        <x:f>INDEX('Root Registry'!$G$6:$G$29,MATCH(B92,'Root Registry'!$A$6:$A$29,0))</x:f>
        <x:v>22.975</x:v>
      </x:c>
      <x:c r="J92" s="75" t="str">
        <x:f>INDEX('Root Registry'!$D$6:$D$29,MATCH(B92,'Root Registry'!$A$6:$A$29,0))</x:f>
      </x:c>
      <x:c r="K92" s="75" t="str">
        <x:f>INDEX('Root Registry'!$F$6:$F$29,MATCH(B92,'Root Registry'!$A$6:$A$29,0))</x:f>
      </x:c>
      <x:c r="L92" s="43" t="str"/>
      <x:c r="M92" s="43" t="str"/>
      <x:c r="N92" s="43" t="str"/>
      <x:c r="O92" s="43" t="str"/>
      <x:c r="P92" s="43" t="str"/>
      <x:c r="Q92" s="75" t="str">
        <x:f>S91</x:f>
        <x:v>SOURCE EMPTY</x:v>
      </x:c>
      <x:c r="R92" s="75" t="str">
        <x:f>IF(L92="","SOURCE EMPTY",IF(L92=J92,"ROOT COLLISION",IF(AND(M92&lt;&gt;"",M92=L92),"DUAL-KEY COLLISION","CLEAR")))</x:f>
        <x:v>SOURCE EMPTY</x:v>
      </x:c>
      <x:c r="S92" s="75" t="str">
        <x:f>IF(OR(J92="",L92="",M92="",N92="",O92=""),"SOURCE EMPTY",IF(AND(OR(D92=4,D92=5,D92=8),K92=""),"SOURCE EMPTY",IF(R92&lt;&gt;"CLEAR","COLLISION",IF(P92&lt;&gt;"","ROLLBACK",IF(O92&lt;&gt;"ACCEPT","HOLD",IF(OR(D92=1,Q92="ACCEPTED"),"ACCEPTED","SEQUENCE HOLD"))))))</x:f>
        <x:v>SOURCE EMPTY</x:v>
      </x:c>
      <x:c r="T92" s="85" t="n">
        <x:f>IF(S92="ACCEPTED",H92*I92,0)</x:f>
        <x:v>0</x:v>
      </x:c>
      <x:c r="U92" s="75"/>
      <x:c r="V92" s="75"/>
      <x:c r="W92" s="75"/>
      <x:c r="X92" s="75"/>
      <x:c r="Y92" s="75"/>
      <x:c r="Z92" s="75"/>
    </x:row>
    <x:row r="93" ht="20" customHeight="1">
      <x:c r="A93" s="86" t="str">
        <x:v>MS-CT-D-CW-04</x:v>
      </x:c>
      <x:c r="B93" s="75" t="str">
        <x:v>MS-CT-D</x:v>
      </x:c>
      <x:c r="C93" s="75" t="str">
        <x:v>MS-CT</x:v>
      </x:c>
      <x:c r="D93" s="75" t="n">
        <x:v>4</x:v>
      </x:c>
      <x:c r="E93" s="75" t="str">
        <x:v>CW-04</x:v>
      </x:c>
      <x:c r="F93" s="86" t="str">
        <x:v>Service Technical College</x:v>
      </x:c>
      <x:c r="G93" s="86" t="str">
        <x:v>Independent Root House</x:v>
      </x:c>
      <x:c r="H93" s="88" t="n">
        <x:v>0.12</x:v>
      </x:c>
      <x:c r="I93" s="85" t="n">
        <x:f>INDEX('Root Registry'!$G$6:$G$29,MATCH(B93,'Root Registry'!$A$6:$A$29,0))</x:f>
        <x:v>22.975</x:v>
      </x:c>
      <x:c r="J93" s="75" t="str">
        <x:f>INDEX('Root Registry'!$D$6:$D$29,MATCH(B93,'Root Registry'!$A$6:$A$29,0))</x:f>
      </x:c>
      <x:c r="K93" s="75" t="str">
        <x:f>INDEX('Root Registry'!$F$6:$F$29,MATCH(B93,'Root Registry'!$A$6:$A$29,0))</x:f>
      </x:c>
      <x:c r="L93" s="43" t="str"/>
      <x:c r="M93" s="43" t="str"/>
      <x:c r="N93" s="43" t="str"/>
      <x:c r="O93" s="43" t="str"/>
      <x:c r="P93" s="43" t="str"/>
      <x:c r="Q93" s="75" t="str">
        <x:f>S92</x:f>
        <x:v>SOURCE EMPTY</x:v>
      </x:c>
      <x:c r="R93" s="75" t="str">
        <x:f>IF(L93="","SOURCE EMPTY",IF(L93=J93,"ROOT COLLISION",IF(AND(M93&lt;&gt;"",M93=L93),"DUAL-KEY COLLISION","CLEAR")))</x:f>
        <x:v>SOURCE EMPTY</x:v>
      </x:c>
      <x:c r="S93" s="75" t="str">
        <x:f>IF(OR(J93="",L93="",M93="",N93="",O93=""),"SOURCE EMPTY",IF(AND(OR(D93=4,D93=5,D93=8),K93=""),"SOURCE EMPTY",IF(R93&lt;&gt;"CLEAR","COLLISION",IF(P93&lt;&gt;"","ROLLBACK",IF(O93&lt;&gt;"ACCEPT","HOLD",IF(OR(D93=1,Q93="ACCEPTED"),"ACCEPTED","SEQUENCE HOLD"))))))</x:f>
        <x:v>SOURCE EMPTY</x:v>
      </x:c>
      <x:c r="T93" s="85" t="n">
        <x:f>IF(S93="ACCEPTED",H93*I93,0)</x:f>
        <x:v>0</x:v>
      </x:c>
      <x:c r="U93" s="75"/>
      <x:c r="V93" s="75"/>
      <x:c r="W93" s="75"/>
      <x:c r="X93" s="75"/>
      <x:c r="Y93" s="75"/>
      <x:c r="Z93" s="75"/>
    </x:row>
    <x:row r="94" ht="20" customHeight="1">
      <x:c r="A94" s="86" t="str">
        <x:v>MS-CT-D-TW-05</x:v>
      </x:c>
      <x:c r="B94" s="75" t="str">
        <x:v>MS-CT-D</x:v>
      </x:c>
      <x:c r="C94" s="75" t="str">
        <x:v>MS-CT</x:v>
      </x:c>
      <x:c r="D94" s="75" t="n">
        <x:v>5</x:v>
      </x:c>
      <x:c r="E94" s="75" t="str">
        <x:v>TW-05</x:v>
      </x:c>
      <x:c r="F94" s="86" t="str">
        <x:v>Service Technical College</x:v>
      </x:c>
      <x:c r="G94" s="86" t="str">
        <x:v>Public Protection Inspectorate</x:v>
      </x:c>
      <x:c r="H94" s="88" t="n">
        <x:v>0.08</x:v>
      </x:c>
      <x:c r="I94" s="85" t="n">
        <x:f>INDEX('Root Registry'!$G$6:$G$29,MATCH(B94,'Root Registry'!$A$6:$A$29,0))</x:f>
        <x:v>22.975</x:v>
      </x:c>
      <x:c r="J94" s="75" t="str">
        <x:f>INDEX('Root Registry'!$D$6:$D$29,MATCH(B94,'Root Registry'!$A$6:$A$29,0))</x:f>
      </x:c>
      <x:c r="K94" s="75" t="str">
        <x:f>INDEX('Root Registry'!$F$6:$F$29,MATCH(B94,'Root Registry'!$A$6:$A$29,0))</x:f>
      </x:c>
      <x:c r="L94" s="43" t="str"/>
      <x:c r="M94" s="43" t="str"/>
      <x:c r="N94" s="43" t="str"/>
      <x:c r="O94" s="43" t="str"/>
      <x:c r="P94" s="43" t="str"/>
      <x:c r="Q94" s="75" t="str">
        <x:f>S93</x:f>
        <x:v>SOURCE EMPTY</x:v>
      </x:c>
      <x:c r="R94" s="75" t="str">
        <x:f>IF(L94="","SOURCE EMPTY",IF(L94=J94,"ROOT COLLISION",IF(AND(M94&lt;&gt;"",M94=L94),"DUAL-KEY COLLISION","CLEAR")))</x:f>
        <x:v>SOURCE EMPTY</x:v>
      </x:c>
      <x:c r="S94" s="75" t="str">
        <x:f>IF(OR(J94="",L94="",M94="",N94="",O94=""),"SOURCE EMPTY",IF(AND(OR(D94=4,D94=5,D94=8),K94=""),"SOURCE EMPTY",IF(R94&lt;&gt;"CLEAR","COLLISION",IF(P94&lt;&gt;"","ROLLBACK",IF(O94&lt;&gt;"ACCEPT","HOLD",IF(OR(D94=1,Q94="ACCEPTED"),"ACCEPTED","SEQUENCE HOLD"))))))</x:f>
        <x:v>SOURCE EMPTY</x:v>
      </x:c>
      <x:c r="T94" s="85" t="n">
        <x:f>IF(S94="ACCEPTED",H94*I94,0)</x:f>
        <x:v>0</x:v>
      </x:c>
      <x:c r="U94" s="75"/>
      <x:c r="V94" s="75"/>
      <x:c r="W94" s="75"/>
      <x:c r="X94" s="75"/>
      <x:c r="Y94" s="75"/>
      <x:c r="Z94" s="75"/>
    </x:row>
    <x:row r="95" ht="20" customHeight="1">
      <x:c r="A95" s="86" t="str">
        <x:v>MS-CT-D-EW-06</x:v>
      </x:c>
      <x:c r="B95" s="75" t="str">
        <x:v>MS-CT-D</x:v>
      </x:c>
      <x:c r="C95" s="75" t="str">
        <x:v>MS-CT</x:v>
      </x:c>
      <x:c r="D95" s="75" t="n">
        <x:v>6</x:v>
      </x:c>
      <x:c r="E95" s="75" t="str">
        <x:v>EW-06</x:v>
      </x:c>
      <x:c r="F95" s="86" t="str">
        <x:v>Resilience Proving Service</x:v>
      </x:c>
      <x:c r="G95" s="86" t="str">
        <x:v>Public Effect College</x:v>
      </x:c>
      <x:c r="H95" s="88" t="n">
        <x:v>0.2</x:v>
      </x:c>
      <x:c r="I95" s="85" t="n">
        <x:f>INDEX('Root Registry'!$G$6:$G$29,MATCH(B95,'Root Registry'!$A$6:$A$29,0))</x:f>
        <x:v>22.975</x:v>
      </x:c>
      <x:c r="J95" s="75" t="str">
        <x:f>INDEX('Root Registry'!$D$6:$D$29,MATCH(B95,'Root Registry'!$A$6:$A$29,0))</x:f>
      </x:c>
      <x:c r="K95" s="75" t="str">
        <x:f>INDEX('Root Registry'!$F$6:$F$29,MATCH(B95,'Root Registry'!$A$6:$A$29,0))</x:f>
      </x:c>
      <x:c r="L95" s="43" t="str"/>
      <x:c r="M95" s="43" t="str"/>
      <x:c r="N95" s="43" t="str"/>
      <x:c r="O95" s="43" t="str"/>
      <x:c r="P95" s="43" t="str"/>
      <x:c r="Q95" s="75" t="str">
        <x:f>S94</x:f>
        <x:v>SOURCE EMPTY</x:v>
      </x:c>
      <x:c r="R95" s="75" t="str">
        <x:f>IF(L95="","SOURCE EMPTY",IF(L95=J95,"ROOT COLLISION",IF(AND(M95&lt;&gt;"",M95=L95),"DUAL-KEY COLLISION","CLEAR")))</x:f>
        <x:v>SOURCE EMPTY</x:v>
      </x:c>
      <x:c r="S95" s="75" t="str">
        <x:f>IF(OR(J95="",L95="",M95="",N95="",O95=""),"SOURCE EMPTY",IF(AND(OR(D95=4,D95=5,D95=8),K95=""),"SOURCE EMPTY",IF(R95&lt;&gt;"CLEAR","COLLISION",IF(P95&lt;&gt;"","ROLLBACK",IF(O95&lt;&gt;"ACCEPT","HOLD",IF(OR(D95=1,Q95="ACCEPTED"),"ACCEPTED","SEQUENCE HOLD"))))))</x:f>
        <x:v>SOURCE EMPTY</x:v>
      </x:c>
      <x:c r="T95" s="85" t="n">
        <x:f>IF(S95="ACCEPTED",H95*I95,0)</x:f>
        <x:v>0</x:v>
      </x:c>
      <x:c r="U95" s="75"/>
      <x:c r="V95" s="75"/>
      <x:c r="W95" s="75"/>
      <x:c r="X95" s="75"/>
      <x:c r="Y95" s="75"/>
      <x:c r="Z95" s="75"/>
    </x:row>
    <x:row r="96" ht="20" customHeight="1">
      <x:c r="A96" s="86" t="str">
        <x:v>MS-CT-D-IW-07</x:v>
      </x:c>
      <x:c r="B96" s="75" t="str">
        <x:v>MS-CT-D</x:v>
      </x:c>
      <x:c r="C96" s="75" t="str">
        <x:v>MS-CT</x:v>
      </x:c>
      <x:c r="D96" s="75" t="n">
        <x:v>7</x:v>
      </x:c>
      <x:c r="E96" s="75" t="str">
        <x:v>IW-07</x:v>
      </x:c>
      <x:c r="F96" s="86" t="str">
        <x:v>Industrial Mobilization Administration</x:v>
      </x:c>
      <x:c r="G96" s="86" t="str">
        <x:v>Reconstruction Command</x:v>
      </x:c>
      <x:c r="H96" s="88" t="n">
        <x:v>0.15</x:v>
      </x:c>
      <x:c r="I96" s="85" t="n">
        <x:f>INDEX('Root Registry'!$G$6:$G$29,MATCH(B96,'Root Registry'!$A$6:$A$29,0))</x:f>
        <x:v>22.975</x:v>
      </x:c>
      <x:c r="J96" s="75" t="str">
        <x:f>INDEX('Root Registry'!$D$6:$D$29,MATCH(B96,'Root Registry'!$A$6:$A$29,0))</x:f>
      </x:c>
      <x:c r="K96" s="75" t="str">
        <x:f>INDEX('Root Registry'!$F$6:$F$29,MATCH(B96,'Root Registry'!$A$6:$A$29,0))</x:f>
      </x:c>
      <x:c r="L96" s="43" t="str"/>
      <x:c r="M96" s="43" t="str"/>
      <x:c r="N96" s="43" t="str"/>
      <x:c r="O96" s="43" t="str"/>
      <x:c r="P96" s="43" t="str"/>
      <x:c r="Q96" s="75" t="str">
        <x:f>S95</x:f>
        <x:v>SOURCE EMPTY</x:v>
      </x:c>
      <x:c r="R96" s="75" t="str">
        <x:f>IF(L96="","SOURCE EMPTY",IF(L96=J96,"ROOT COLLISION",IF(AND(M96&lt;&gt;"",M96=L96),"DUAL-KEY COLLISION","CLEAR")))</x:f>
        <x:v>SOURCE EMPTY</x:v>
      </x:c>
      <x:c r="S96" s="75" t="str">
        <x:f>IF(OR(J96="",L96="",M96="",N96="",O96=""),"SOURCE EMPTY",IF(AND(OR(D96=4,D96=5,D96=8),K96=""),"SOURCE EMPTY",IF(R96&lt;&gt;"CLEAR","COLLISION",IF(P96&lt;&gt;"","ROLLBACK",IF(O96&lt;&gt;"ACCEPT","HOLD",IF(OR(D96=1,Q96="ACCEPTED"),"ACCEPTED","SEQUENCE HOLD"))))))</x:f>
        <x:v>SOURCE EMPTY</x:v>
      </x:c>
      <x:c r="T96" s="85" t="n">
        <x:f>IF(S96="ACCEPTED",H96*I96,0)</x:f>
        <x:v>0</x:v>
      </x:c>
      <x:c r="U96" s="75"/>
      <x:c r="V96" s="75"/>
      <x:c r="W96" s="75"/>
      <x:c r="X96" s="75"/>
      <x:c r="Y96" s="75"/>
      <x:c r="Z96" s="75"/>
    </x:row>
    <x:row r="97" ht="20" customHeight="1">
      <x:c r="A97" s="86" t="str">
        <x:v>MS-CT-D-CW-08</x:v>
      </x:c>
      <x:c r="B97" s="75" t="str">
        <x:v>MS-CT-D</x:v>
      </x:c>
      <x:c r="C97" s="75" t="str">
        <x:v>MS-CT</x:v>
      </x:c>
      <x:c r="D97" s="75" t="n">
        <x:v>8</x:v>
      </x:c>
      <x:c r="E97" s="75" t="str">
        <x:v>CW-08</x:v>
      </x:c>
      <x:c r="F97" s="86" t="str">
        <x:v>Operating Services</x:v>
      </x:c>
      <x:c r="G97" s="86" t="str">
        <x:v>Joint Capacity Authority</x:v>
      </x:c>
      <x:c r="H97" s="88" t="n">
        <x:v>0.12</x:v>
      </x:c>
      <x:c r="I97" s="85" t="n">
        <x:f>INDEX('Root Registry'!$G$6:$G$29,MATCH(B97,'Root Registry'!$A$6:$A$29,0))</x:f>
        <x:v>22.975</x:v>
      </x:c>
      <x:c r="J97" s="75" t="str">
        <x:f>INDEX('Root Registry'!$D$6:$D$29,MATCH(B97,'Root Registry'!$A$6:$A$29,0))</x:f>
      </x:c>
      <x:c r="K97" s="75" t="str">
        <x:f>INDEX('Root Registry'!$F$6:$F$29,MATCH(B97,'Root Registry'!$A$6:$A$29,0))</x:f>
      </x:c>
      <x:c r="L97" s="43" t="str"/>
      <x:c r="M97" s="43" t="str"/>
      <x:c r="N97" s="43" t="str"/>
      <x:c r="O97" s="43" t="str"/>
      <x:c r="P97" s="43" t="str"/>
      <x:c r="Q97" s="75" t="str">
        <x:f>S96</x:f>
        <x:v>SOURCE EMPTY</x:v>
      </x:c>
      <x:c r="R97" s="75" t="str">
        <x:f>IF(L97="","SOURCE EMPTY",IF(L97=J97,"ROOT COLLISION",IF(AND(M97&lt;&gt;"",M97=L97),"DUAL-KEY COLLISION","CLEAR")))</x:f>
        <x:v>SOURCE EMPTY</x:v>
      </x:c>
      <x:c r="S97" s="75" t="str">
        <x:f>IF(OR(J97="",L97="",M97="",N97="",O97=""),"SOURCE EMPTY",IF(AND(OR(D97=4,D97=5,D97=8),K97=""),"SOURCE EMPTY",IF(R97&lt;&gt;"CLEAR","COLLISION",IF(P97&lt;&gt;"","ROLLBACK",IF(O97&lt;&gt;"ACCEPT","HOLD",IF(OR(D97=1,Q97="ACCEPTED"),"ACCEPTED","SEQUENCE HOLD"))))))</x:f>
        <x:v>SOURCE EMPTY</x:v>
      </x:c>
      <x:c r="T97" s="85" t="n">
        <x:f>IF(S97="ACCEPTED",H97*I97,0)</x:f>
        <x:v>0</x:v>
      </x:c>
      <x:c r="U97" s="75"/>
      <x:c r="V97" s="75"/>
      <x:c r="W97" s="75"/>
      <x:c r="X97" s="75"/>
      <x:c r="Y97" s="75"/>
      <x:c r="Z97" s="75"/>
    </x:row>
    <x:row r="98" ht="20" customHeight="1">
      <x:c r="A98" s="86" t="str">
        <x:v>MS-CT-D-RW-09</x:v>
      </x:c>
      <x:c r="B98" s="75" t="str">
        <x:v>MS-CT-D</x:v>
      </x:c>
      <x:c r="C98" s="75" t="str">
        <x:v>MS-CT</x:v>
      </x:c>
      <x:c r="D98" s="75" t="n">
        <x:v>9</x:v>
      </x:c>
      <x:c r="E98" s="75" t="str">
        <x:v>RW-09</x:v>
      </x:c>
      <x:c r="F98" s="86" t="str">
        <x:v>Joint Capacity Authority</x:v>
      </x:c>
      <x:c r="G98" s="86" t="str">
        <x:v>Department Comptroller</x:v>
      </x:c>
      <x:c r="H98" s="88" t="n">
        <x:v>0.08</x:v>
      </x:c>
      <x:c r="I98" s="85" t="n">
        <x:f>INDEX('Root Registry'!$G$6:$G$29,MATCH(B98,'Root Registry'!$A$6:$A$29,0))</x:f>
        <x:v>22.975</x:v>
      </x:c>
      <x:c r="J98" s="75" t="str">
        <x:f>INDEX('Root Registry'!$D$6:$D$29,MATCH(B98,'Root Registry'!$A$6:$A$29,0))</x:f>
      </x:c>
      <x:c r="K98" s="75" t="str">
        <x:f>INDEX('Root Registry'!$F$6:$F$29,MATCH(B98,'Root Registry'!$A$6:$A$29,0))</x:f>
      </x:c>
      <x:c r="L98" s="43" t="str"/>
      <x:c r="M98" s="43" t="str"/>
      <x:c r="N98" s="43" t="str"/>
      <x:c r="O98" s="43" t="str"/>
      <x:c r="P98" s="43" t="str"/>
      <x:c r="Q98" s="75" t="str">
        <x:f>S97</x:f>
        <x:v>SOURCE EMPTY</x:v>
      </x:c>
      <x:c r="R98" s="75" t="str">
        <x:f>IF(L98="","SOURCE EMPTY",IF(L98=J98,"ROOT COLLISION",IF(AND(M98&lt;&gt;"",M98=L98),"DUAL-KEY COLLISION","CLEAR")))</x:f>
        <x:v>SOURCE EMPTY</x:v>
      </x:c>
      <x:c r="S98" s="75" t="str">
        <x:f>IF(OR(J98="",L98="",M98="",N98="",O98=""),"SOURCE EMPTY",IF(AND(OR(D98=4,D98=5,D98=8),K98=""),"SOURCE EMPTY",IF(R98&lt;&gt;"CLEAR","COLLISION",IF(P98&lt;&gt;"","ROLLBACK",IF(O98&lt;&gt;"ACCEPT","HOLD",IF(OR(D98=1,Q98="ACCEPTED"),"ACCEPTED","SEQUENCE HOLD"))))))</x:f>
        <x:v>SOURCE EMPTY</x:v>
      </x:c>
      <x:c r="T98" s="85" t="n">
        <x:f>IF(S98="ACCEPTED",H98*I98,0)</x:f>
        <x:v>0</x:v>
      </x:c>
      <x:c r="U98" s="75"/>
      <x:c r="V98" s="75"/>
      <x:c r="W98" s="75"/>
      <x:c r="X98" s="75"/>
      <x:c r="Y98" s="75"/>
      <x:c r="Z98" s="75"/>
    </x:row>
    <x:row r="99" ht="20" customHeight="1">
      <x:c r="A99" s="86" t="str">
        <x:v>MS-CT-D-OW-10</x:v>
      </x:c>
      <x:c r="B99" s="75" t="str">
        <x:v>MS-CT-D</x:v>
      </x:c>
      <x:c r="C99" s="75" t="str">
        <x:v>MS-CT</x:v>
      </x:c>
      <x:c r="D99" s="75" t="n">
        <x:v>10</x:v>
      </x:c>
      <x:c r="E99" s="75" t="str">
        <x:v>OW-10</x:v>
      </x:c>
      <x:c r="F99" s="86" t="str">
        <x:v>Operational Command</x:v>
      </x:c>
      <x:c r="G99" s="86" t="str">
        <x:v>Civil Resilience Authority</x:v>
      </x:c>
      <x:c r="H99" s="88" t="n">
        <x:v>0.05</x:v>
      </x:c>
      <x:c r="I99" s="85" t="n">
        <x:f>INDEX('Root Registry'!$G$6:$G$29,MATCH(B99,'Root Registry'!$A$6:$A$29,0))</x:f>
        <x:v>22.975</x:v>
      </x:c>
      <x:c r="J99" s="75" t="str">
        <x:f>INDEX('Root Registry'!$D$6:$D$29,MATCH(B99,'Root Registry'!$A$6:$A$29,0))</x:f>
      </x:c>
      <x:c r="K99" s="75" t="str">
        <x:f>INDEX('Root Registry'!$F$6:$F$29,MATCH(B99,'Root Registry'!$A$6:$A$29,0))</x:f>
      </x:c>
      <x:c r="L99" s="43" t="str"/>
      <x:c r="M99" s="43" t="str"/>
      <x:c r="N99" s="43" t="str"/>
      <x:c r="O99" s="43" t="str"/>
      <x:c r="P99" s="43" t="str"/>
      <x:c r="Q99" s="75" t="str">
        <x:f>S98</x:f>
        <x:v>SOURCE EMPTY</x:v>
      </x:c>
      <x:c r="R99" s="75" t="str">
        <x:f>IF(L99="","SOURCE EMPTY",IF(L99=J99,"ROOT COLLISION",IF(AND(M99&lt;&gt;"",M99=L99),"DUAL-KEY COLLISION","CLEAR")))</x:f>
        <x:v>SOURCE EMPTY</x:v>
      </x:c>
      <x:c r="S99" s="75" t="str">
        <x:f>IF(OR(J99="",L99="",M99="",N99="",O99=""),"SOURCE EMPTY",IF(AND(OR(D99=4,D99=5,D99=8),K99=""),"SOURCE EMPTY",IF(R99&lt;&gt;"CLEAR","COLLISION",IF(P99&lt;&gt;"","ROLLBACK",IF(O99&lt;&gt;"ACCEPT","HOLD",IF(OR(D99=1,Q99="ACCEPTED"),"ACCEPTED","SEQUENCE HOLD"))))))</x:f>
        <x:v>SOURCE EMPTY</x:v>
      </x:c>
      <x:c r="T99" s="85" t="n">
        <x:f>IF(S99="ACCEPTED",H99*I99,0)</x:f>
        <x:v>0</x:v>
      </x:c>
      <x:c r="U99" s="75"/>
      <x:c r="V99" s="75"/>
      <x:c r="W99" s="75"/>
      <x:c r="X99" s="75"/>
      <x:c r="Y99" s="75"/>
      <x:c r="Z99" s="75"/>
    </x:row>
    <x:row r="100" ht="20" customHeight="1">
      <x:c r="A100" s="86" t="str">
        <x:v>MS-CT-D-SW-11</x:v>
      </x:c>
      <x:c r="B100" s="75" t="str">
        <x:v>MS-CT-D</x:v>
      </x:c>
      <x:c r="C100" s="75" t="str">
        <x:v>MS-CT</x:v>
      </x:c>
      <x:c r="D100" s="75" t="n">
        <x:v>11</x:v>
      </x:c>
      <x:c r="E100" s="75" t="str">
        <x:v>SW-11</x:v>
      </x:c>
      <x:c r="F100" s="86" t="str">
        <x:v>Civil Resilience Authority</x:v>
      </x:c>
      <x:c r="G100" s="86" t="str">
        <x:v>Affected Civil Authority</x:v>
      </x:c>
      <x:c r="H100" s="88" t="n">
        <x:v>0.07</x:v>
      </x:c>
      <x:c r="I100" s="85" t="n">
        <x:f>INDEX('Root Registry'!$G$6:$G$29,MATCH(B100,'Root Registry'!$A$6:$A$29,0))</x:f>
        <x:v>22.975</x:v>
      </x:c>
      <x:c r="J100" s="75" t="str">
        <x:f>INDEX('Root Registry'!$D$6:$D$29,MATCH(B100,'Root Registry'!$A$6:$A$29,0))</x:f>
      </x:c>
      <x:c r="K100" s="75" t="str">
        <x:f>INDEX('Root Registry'!$F$6:$F$29,MATCH(B100,'Root Registry'!$A$6:$A$29,0))</x:f>
      </x:c>
      <x:c r="L100" s="43" t="str"/>
      <x:c r="M100" s="43" t="str"/>
      <x:c r="N100" s="43" t="str"/>
      <x:c r="O100" s="43" t="str"/>
      <x:c r="P100" s="43" t="str"/>
      <x:c r="Q100" s="75" t="str">
        <x:f>S99</x:f>
        <x:v>SOURCE EMPTY</x:v>
      </x:c>
      <x:c r="R100" s="75" t="str">
        <x:f>IF(L100="","SOURCE EMPTY",IF(L100=J100,"ROOT COLLISION",IF(AND(M100&lt;&gt;"",M100=L100),"DUAL-KEY COLLISION","CLEAR")))</x:f>
        <x:v>SOURCE EMPTY</x:v>
      </x:c>
      <x:c r="S100" s="75" t="str">
        <x:f>IF(OR(J100="",L100="",M100="",N100="",O100=""),"SOURCE EMPTY",IF(AND(OR(D100=4,D100=5,D100=8),K100=""),"SOURCE EMPTY",IF(R100&lt;&gt;"CLEAR","COLLISION",IF(P100&lt;&gt;"","ROLLBACK",IF(O100&lt;&gt;"ACCEPT","HOLD",IF(OR(D100=1,Q100="ACCEPTED"),"ACCEPTED","SEQUENCE HOLD"))))))</x:f>
        <x:v>SOURCE EMPTY</x:v>
      </x:c>
      <x:c r="T100" s="85" t="n">
        <x:f>IF(S100="ACCEPTED",H100*I100,0)</x:f>
        <x:v>0</x:v>
      </x:c>
      <x:c r="U100" s="75"/>
      <x:c r="V100" s="75"/>
      <x:c r="W100" s="75"/>
      <x:c r="X100" s="75"/>
      <x:c r="Y100" s="75"/>
      <x:c r="Z100" s="75"/>
    </x:row>
    <x:row r="101" ht="20" customHeight="1">
      <x:c r="A101" s="86" t="str">
        <x:v>MS-CT-D-GW-12</x:v>
      </x:c>
      <x:c r="B101" s="75" t="str">
        <x:v>MS-CT-D</x:v>
      </x:c>
      <x:c r="C101" s="75" t="str">
        <x:v>MS-CT</x:v>
      </x:c>
      <x:c r="D101" s="75" t="n">
        <x:v>12</x:v>
      </x:c>
      <x:c r="E101" s="75" t="str">
        <x:v>GW-12</x:v>
      </x:c>
      <x:c r="F101" s="86" t="str">
        <x:v>Strategic Sustainment Command</x:v>
      </x:c>
      <x:c r="G101" s="86" t="str">
        <x:v>Joint Capacity Authority</x:v>
      </x:c>
      <x:c r="H101" s="88" t="n">
        <x:v>0.05</x:v>
      </x:c>
      <x:c r="I101" s="85" t="n">
        <x:f>INDEX('Root Registry'!$G$6:$G$29,MATCH(B101,'Root Registry'!$A$6:$A$29,0))</x:f>
        <x:v>22.975</x:v>
      </x:c>
      <x:c r="J101" s="75" t="str">
        <x:f>INDEX('Root Registry'!$D$6:$D$29,MATCH(B101,'Root Registry'!$A$6:$A$29,0))</x:f>
      </x:c>
      <x:c r="K101" s="75" t="str">
        <x:f>INDEX('Root Registry'!$F$6:$F$29,MATCH(B101,'Root Registry'!$A$6:$A$29,0))</x:f>
      </x:c>
      <x:c r="L101" s="43" t="str"/>
      <x:c r="M101" s="43" t="str"/>
      <x:c r="N101" s="43" t="str"/>
      <x:c r="O101" s="43" t="str"/>
      <x:c r="P101" s="43" t="str"/>
      <x:c r="Q101" s="75" t="str">
        <x:f>S100</x:f>
        <x:v>SOURCE EMPTY</x:v>
      </x:c>
      <x:c r="R101" s="75" t="str">
        <x:f>IF(L101="","SOURCE EMPTY",IF(L101=J101,"ROOT COLLISION",IF(AND(M101&lt;&gt;"",M101=L101),"DUAL-KEY COLLISION","CLEAR")))</x:f>
        <x:v>SOURCE EMPTY</x:v>
      </x:c>
      <x:c r="S101" s="75" t="str">
        <x:f>IF(OR(J101="",L101="",M101="",N101="",O101=""),"SOURCE EMPTY",IF(AND(OR(D101=4,D101=5,D101=8),K101=""),"SOURCE EMPTY",IF(R101&lt;&gt;"CLEAR","COLLISION",IF(P101&lt;&gt;"","ROLLBACK",IF(O101&lt;&gt;"ACCEPT","HOLD",IF(OR(D101=1,Q101="ACCEPTED"),"ACCEPTED","SEQUENCE HOLD"))))))</x:f>
        <x:v>SOURCE EMPTY</x:v>
      </x:c>
      <x:c r="T101" s="85" t="n">
        <x:f>IF(S101="ACCEPTED",H101*I101,0)</x:f>
        <x:v>0</x:v>
      </x:c>
      <x:c r="U101" s="75"/>
      <x:c r="V101" s="75"/>
      <x:c r="W101" s="75"/>
      <x:c r="X101" s="75"/>
      <x:c r="Y101" s="75"/>
      <x:c r="Z101" s="75"/>
    </x:row>
    <x:row r="102" ht="20" customHeight="1">
      <x:c r="A102" s="86" t="str">
        <x:v>MS-HC-A-PW-01</x:v>
      </x:c>
      <x:c r="B102" s="75" t="str">
        <x:v>MS-HC-A</x:v>
      </x:c>
      <x:c r="C102" s="75" t="str">
        <x:v>MS-HC</x:v>
      </x:c>
      <x:c r="D102" s="75" t="n">
        <x:v>1</x:v>
      </x:c>
      <x:c r="E102" s="75" t="str">
        <x:v>PW-01</x:v>
      </x:c>
      <x:c r="F102" s="86" t="str">
        <x:v>Civil Resilience Authority</x:v>
      </x:c>
      <x:c r="G102" s="86" t="str">
        <x:v>Public Effect College</x:v>
      </x:c>
      <x:c r="H102" s="88" t="n">
        <x:v>0.01</x:v>
      </x:c>
      <x:c r="I102" s="85" t="n">
        <x:f>INDEX('Root Registry'!$G$6:$G$29,MATCH(B102,'Root Registry'!$A$6:$A$29,0))</x:f>
        <x:v>13.65</x:v>
      </x:c>
      <x:c r="J102" s="75" t="str">
        <x:f>INDEX('Root Registry'!$D$6:$D$29,MATCH(B102,'Root Registry'!$A$6:$A$29,0))</x:f>
      </x:c>
      <x:c r="K102" s="75" t="str">
        <x:f>INDEX('Root Registry'!$F$6:$F$29,MATCH(B102,'Root Registry'!$A$6:$A$29,0))</x:f>
      </x:c>
      <x:c r="L102" s="43" t="str"/>
      <x:c r="M102" s="43" t="str"/>
      <x:c r="N102" s="43" t="str"/>
      <x:c r="O102" s="43" t="str"/>
      <x:c r="P102" s="43" t="str"/>
      <x:c r="Q102" s="75" t="str">
        <x:f>"ORIGIN"</x:f>
        <x:v>ORIGIN</x:v>
      </x:c>
      <x:c r="R102" s="75" t="str">
        <x:f>IF(L102="","SOURCE EMPTY",IF(L102=J102,"ROOT COLLISION",IF(AND(M102&lt;&gt;"",M102=L102),"DUAL-KEY COLLISION","CLEAR")))</x:f>
        <x:v>SOURCE EMPTY</x:v>
      </x:c>
      <x:c r="S102" s="75" t="str">
        <x:f>IF(OR(J102="",L102="",M102="",N102="",O102=""),"SOURCE EMPTY",IF(AND(OR(D102=4,D102=5,D102=8),K102=""),"SOURCE EMPTY",IF(R102&lt;&gt;"CLEAR","COLLISION",IF(P102&lt;&gt;"","ROLLBACK",IF(O102&lt;&gt;"ACCEPT","HOLD",IF(OR(D102=1,Q102="ACCEPTED"),"ACCEPTED","SEQUENCE HOLD"))))))</x:f>
        <x:v>SOURCE EMPTY</x:v>
      </x:c>
      <x:c r="T102" s="85" t="n">
        <x:f>IF(S102="ACCEPTED",H102*I102,0)</x:f>
        <x:v>0</x:v>
      </x:c>
      <x:c r="U102" s="75"/>
      <x:c r="V102" s="75"/>
      <x:c r="W102" s="75"/>
      <x:c r="X102" s="75"/>
      <x:c r="Y102" s="75"/>
      <x:c r="Z102" s="75"/>
    </x:row>
    <x:row r="103" ht="20" customHeight="1">
      <x:c r="A103" s="86" t="str">
        <x:v>MS-HC-A-MW-02</x:v>
      </x:c>
      <x:c r="B103" s="75" t="str">
        <x:v>MS-HC-A</x:v>
      </x:c>
      <x:c r="C103" s="75" t="str">
        <x:v>MS-HC</x:v>
      </x:c>
      <x:c r="D103" s="75" t="n">
        <x:v>2</x:v>
      </x:c>
      <x:c r="E103" s="75" t="str">
        <x:v>MW-02</x:v>
      </x:c>
      <x:c r="F103" s="86" t="str">
        <x:v>Mission System Command</x:v>
      </x:c>
      <x:c r="G103" s="86" t="str">
        <x:v>Civil Resilience Authority</x:v>
      </x:c>
      <x:c r="H103" s="88" t="n">
        <x:v>0.02</x:v>
      </x:c>
      <x:c r="I103" s="85" t="n">
        <x:f>INDEX('Root Registry'!$G$6:$G$29,MATCH(B103,'Root Registry'!$A$6:$A$29,0))</x:f>
        <x:v>13.65</x:v>
      </x:c>
      <x:c r="J103" s="75" t="str">
        <x:f>INDEX('Root Registry'!$D$6:$D$29,MATCH(B103,'Root Registry'!$A$6:$A$29,0))</x:f>
      </x:c>
      <x:c r="K103" s="75" t="str">
        <x:f>INDEX('Root Registry'!$F$6:$F$29,MATCH(B103,'Root Registry'!$A$6:$A$29,0))</x:f>
      </x:c>
      <x:c r="L103" s="43" t="str"/>
      <x:c r="M103" s="43" t="str"/>
      <x:c r="N103" s="43" t="str"/>
      <x:c r="O103" s="43" t="str"/>
      <x:c r="P103" s="43" t="str"/>
      <x:c r="Q103" s="75" t="str">
        <x:f>S102</x:f>
        <x:v>SOURCE EMPTY</x:v>
      </x:c>
      <x:c r="R103" s="75" t="str">
        <x:f>IF(L103="","SOURCE EMPTY",IF(L103=J103,"ROOT COLLISION",IF(AND(M103&lt;&gt;"",M103=L103),"DUAL-KEY COLLISION","CLEAR")))</x:f>
        <x:v>SOURCE EMPTY</x:v>
      </x:c>
      <x:c r="S103" s="75" t="str">
        <x:f>IF(OR(J103="",L103="",M103="",N103="",O103=""),"SOURCE EMPTY",IF(AND(OR(D103=4,D103=5,D103=8),K103=""),"SOURCE EMPTY",IF(R103&lt;&gt;"CLEAR","COLLISION",IF(P103&lt;&gt;"","ROLLBACK",IF(O103&lt;&gt;"ACCEPT","HOLD",IF(OR(D103=1,Q103="ACCEPTED"),"ACCEPTED","SEQUENCE HOLD"))))))</x:f>
        <x:v>SOURCE EMPTY</x:v>
      </x:c>
      <x:c r="T103" s="85" t="n">
        <x:f>IF(S103="ACCEPTED",H103*I103,0)</x:f>
        <x:v>0</x:v>
      </x:c>
      <x:c r="U103" s="75"/>
      <x:c r="V103" s="75"/>
      <x:c r="W103" s="75"/>
      <x:c r="X103" s="75"/>
      <x:c r="Y103" s="75"/>
      <x:c r="Z103" s="75"/>
    </x:row>
    <x:row r="104" ht="20" customHeight="1">
      <x:c r="A104" s="86" t="str">
        <x:v>MS-HC-A-FW-03</x:v>
      </x:c>
      <x:c r="B104" s="75" t="str">
        <x:v>MS-HC-A</x:v>
      </x:c>
      <x:c r="C104" s="75" t="str">
        <x:v>MS-HC</x:v>
      </x:c>
      <x:c r="D104" s="75" t="n">
        <x:v>3</x:v>
      </x:c>
      <x:c r="E104" s="75" t="str">
        <x:v>FW-03</x:v>
      </x:c>
      <x:c r="F104" s="86" t="str">
        <x:v>Department Capital Board</x:v>
      </x:c>
      <x:c r="G104" s="86" t="str">
        <x:v>Failure Reserve Trustee</x:v>
      </x:c>
      <x:c r="H104" s="88" t="n">
        <x:v>0.05</x:v>
      </x:c>
      <x:c r="I104" s="85" t="n">
        <x:f>INDEX('Root Registry'!$G$6:$G$29,MATCH(B104,'Root Registry'!$A$6:$A$29,0))</x:f>
        <x:v>13.65</x:v>
      </x:c>
      <x:c r="J104" s="75" t="str">
        <x:f>INDEX('Root Registry'!$D$6:$D$29,MATCH(B104,'Root Registry'!$A$6:$A$29,0))</x:f>
      </x:c>
      <x:c r="K104" s="75" t="str">
        <x:f>INDEX('Root Registry'!$F$6:$F$29,MATCH(B104,'Root Registry'!$A$6:$A$29,0))</x:f>
      </x:c>
      <x:c r="L104" s="43" t="str"/>
      <x:c r="M104" s="43" t="str"/>
      <x:c r="N104" s="43" t="str"/>
      <x:c r="O104" s="43" t="str"/>
      <x:c r="P104" s="43" t="str"/>
      <x:c r="Q104" s="75" t="str">
        <x:f>S103</x:f>
        <x:v>SOURCE EMPTY</x:v>
      </x:c>
      <x:c r="R104" s="75" t="str">
        <x:f>IF(L104="","SOURCE EMPTY",IF(L104=J104,"ROOT COLLISION",IF(AND(M104&lt;&gt;"",M104=L104),"DUAL-KEY COLLISION","CLEAR")))</x:f>
        <x:v>SOURCE EMPTY</x:v>
      </x:c>
      <x:c r="S104" s="75" t="str">
        <x:f>IF(OR(J104="",L104="",M104="",N104="",O104=""),"SOURCE EMPTY",IF(AND(OR(D104=4,D104=5,D104=8),K104=""),"SOURCE EMPTY",IF(R104&lt;&gt;"CLEAR","COLLISION",IF(P104&lt;&gt;"","ROLLBACK",IF(O104&lt;&gt;"ACCEPT","HOLD",IF(OR(D104=1,Q104="ACCEPTED"),"ACCEPTED","SEQUENCE HOLD"))))))</x:f>
        <x:v>SOURCE EMPTY</x:v>
      </x:c>
      <x:c r="T104" s="85" t="n">
        <x:f>IF(S104="ACCEPTED",H104*I104,0)</x:f>
        <x:v>0</x:v>
      </x:c>
      <x:c r="U104" s="75"/>
      <x:c r="V104" s="75"/>
      <x:c r="W104" s="75"/>
      <x:c r="X104" s="75"/>
      <x:c r="Y104" s="75"/>
      <x:c r="Z104" s="75"/>
    </x:row>
    <x:row r="105" ht="20" customHeight="1">
      <x:c r="A105" s="86" t="str">
        <x:v>MS-HC-A-CW-04</x:v>
      </x:c>
      <x:c r="B105" s="75" t="str">
        <x:v>MS-HC-A</x:v>
      </x:c>
      <x:c r="C105" s="75" t="str">
        <x:v>MS-HC</x:v>
      </x:c>
      <x:c r="D105" s="75" t="n">
        <x:v>4</x:v>
      </x:c>
      <x:c r="E105" s="75" t="str">
        <x:v>CW-04</x:v>
      </x:c>
      <x:c r="F105" s="86" t="str">
        <x:v>Service Technical College</x:v>
      </x:c>
      <x:c r="G105" s="86" t="str">
        <x:v>Independent Root House</x:v>
      </x:c>
      <x:c r="H105" s="88" t="n">
        <x:v>0.12</x:v>
      </x:c>
      <x:c r="I105" s="85" t="n">
        <x:f>INDEX('Root Registry'!$G$6:$G$29,MATCH(B105,'Root Registry'!$A$6:$A$29,0))</x:f>
        <x:v>13.65</x:v>
      </x:c>
      <x:c r="J105" s="75" t="str">
        <x:f>INDEX('Root Registry'!$D$6:$D$29,MATCH(B105,'Root Registry'!$A$6:$A$29,0))</x:f>
      </x:c>
      <x:c r="K105" s="75" t="str">
        <x:f>INDEX('Root Registry'!$F$6:$F$29,MATCH(B105,'Root Registry'!$A$6:$A$29,0))</x:f>
      </x:c>
      <x:c r="L105" s="43" t="str"/>
      <x:c r="M105" s="43" t="str"/>
      <x:c r="N105" s="43" t="str"/>
      <x:c r="O105" s="43" t="str"/>
      <x:c r="P105" s="43" t="str"/>
      <x:c r="Q105" s="75" t="str">
        <x:f>S104</x:f>
        <x:v>SOURCE EMPTY</x:v>
      </x:c>
      <x:c r="R105" s="75" t="str">
        <x:f>IF(L105="","SOURCE EMPTY",IF(L105=J105,"ROOT COLLISION",IF(AND(M105&lt;&gt;"",M105=L105),"DUAL-KEY COLLISION","CLEAR")))</x:f>
        <x:v>SOURCE EMPTY</x:v>
      </x:c>
      <x:c r="S105" s="75" t="str">
        <x:f>IF(OR(J105="",L105="",M105="",N105="",O105=""),"SOURCE EMPTY",IF(AND(OR(D105=4,D105=5,D105=8),K105=""),"SOURCE EMPTY",IF(R105&lt;&gt;"CLEAR","COLLISION",IF(P105&lt;&gt;"","ROLLBACK",IF(O105&lt;&gt;"ACCEPT","HOLD",IF(OR(D105=1,Q105="ACCEPTED"),"ACCEPTED","SEQUENCE HOLD"))))))</x:f>
        <x:v>SOURCE EMPTY</x:v>
      </x:c>
      <x:c r="T105" s="85" t="n">
        <x:f>IF(S105="ACCEPTED",H105*I105,0)</x:f>
        <x:v>0</x:v>
      </x:c>
      <x:c r="U105" s="75"/>
      <x:c r="V105" s="75"/>
      <x:c r="W105" s="75"/>
      <x:c r="X105" s="75"/>
      <x:c r="Y105" s="75"/>
      <x:c r="Z105" s="75"/>
    </x:row>
    <x:row r="106" ht="20" customHeight="1">
      <x:c r="A106" s="86" t="str">
        <x:v>MS-HC-A-TW-05</x:v>
      </x:c>
      <x:c r="B106" s="75" t="str">
        <x:v>MS-HC-A</x:v>
      </x:c>
      <x:c r="C106" s="75" t="str">
        <x:v>MS-HC</x:v>
      </x:c>
      <x:c r="D106" s="75" t="n">
        <x:v>5</x:v>
      </x:c>
      <x:c r="E106" s="75" t="str">
        <x:v>TW-05</x:v>
      </x:c>
      <x:c r="F106" s="86" t="str">
        <x:v>Service Technical College</x:v>
      </x:c>
      <x:c r="G106" s="86" t="str">
        <x:v>Public Protection Inspectorate</x:v>
      </x:c>
      <x:c r="H106" s="88" t="n">
        <x:v>0.08</x:v>
      </x:c>
      <x:c r="I106" s="85" t="n">
        <x:f>INDEX('Root Registry'!$G$6:$G$29,MATCH(B106,'Root Registry'!$A$6:$A$29,0))</x:f>
        <x:v>13.65</x:v>
      </x:c>
      <x:c r="J106" s="75" t="str">
        <x:f>INDEX('Root Registry'!$D$6:$D$29,MATCH(B106,'Root Registry'!$A$6:$A$29,0))</x:f>
      </x:c>
      <x:c r="K106" s="75" t="str">
        <x:f>INDEX('Root Registry'!$F$6:$F$29,MATCH(B106,'Root Registry'!$A$6:$A$29,0))</x:f>
      </x:c>
      <x:c r="L106" s="43" t="str"/>
      <x:c r="M106" s="43" t="str"/>
      <x:c r="N106" s="43" t="str"/>
      <x:c r="O106" s="43" t="str"/>
      <x:c r="P106" s="43" t="str"/>
      <x:c r="Q106" s="75" t="str">
        <x:f>S105</x:f>
        <x:v>SOURCE EMPTY</x:v>
      </x:c>
      <x:c r="R106" s="75" t="str">
        <x:f>IF(L106="","SOURCE EMPTY",IF(L106=J106,"ROOT COLLISION",IF(AND(M106&lt;&gt;"",M106=L106),"DUAL-KEY COLLISION","CLEAR")))</x:f>
        <x:v>SOURCE EMPTY</x:v>
      </x:c>
      <x:c r="S106" s="75" t="str">
        <x:f>IF(OR(J106="",L106="",M106="",N106="",O106=""),"SOURCE EMPTY",IF(AND(OR(D106=4,D106=5,D106=8),K106=""),"SOURCE EMPTY",IF(R106&lt;&gt;"CLEAR","COLLISION",IF(P106&lt;&gt;"","ROLLBACK",IF(O106&lt;&gt;"ACCEPT","HOLD",IF(OR(D106=1,Q106="ACCEPTED"),"ACCEPTED","SEQUENCE HOLD"))))))</x:f>
        <x:v>SOURCE EMPTY</x:v>
      </x:c>
      <x:c r="T106" s="85" t="n">
        <x:f>IF(S106="ACCEPTED",H106*I106,0)</x:f>
        <x:v>0</x:v>
      </x:c>
      <x:c r="U106" s="75"/>
      <x:c r="V106" s="75"/>
      <x:c r="W106" s="75"/>
      <x:c r="X106" s="75"/>
      <x:c r="Y106" s="75"/>
      <x:c r="Z106" s="75"/>
    </x:row>
    <x:row r="107" ht="20" customHeight="1">
      <x:c r="A107" s="86" t="str">
        <x:v>MS-HC-A-EW-06</x:v>
      </x:c>
      <x:c r="B107" s="75" t="str">
        <x:v>MS-HC-A</x:v>
      </x:c>
      <x:c r="C107" s="75" t="str">
        <x:v>MS-HC</x:v>
      </x:c>
      <x:c r="D107" s="75" t="n">
        <x:v>6</x:v>
      </x:c>
      <x:c r="E107" s="75" t="str">
        <x:v>EW-06</x:v>
      </x:c>
      <x:c r="F107" s="86" t="str">
        <x:v>Resilience Proving Service</x:v>
      </x:c>
      <x:c r="G107" s="86" t="str">
        <x:v>Public Effect College</x:v>
      </x:c>
      <x:c r="H107" s="88" t="n">
        <x:v>0.2</x:v>
      </x:c>
      <x:c r="I107" s="85" t="n">
        <x:f>INDEX('Root Registry'!$G$6:$G$29,MATCH(B107,'Root Registry'!$A$6:$A$29,0))</x:f>
        <x:v>13.65</x:v>
      </x:c>
      <x:c r="J107" s="75" t="str">
        <x:f>INDEX('Root Registry'!$D$6:$D$29,MATCH(B107,'Root Registry'!$A$6:$A$29,0))</x:f>
      </x:c>
      <x:c r="K107" s="75" t="str">
        <x:f>INDEX('Root Registry'!$F$6:$F$29,MATCH(B107,'Root Registry'!$A$6:$A$29,0))</x:f>
      </x:c>
      <x:c r="L107" s="43" t="str"/>
      <x:c r="M107" s="43" t="str"/>
      <x:c r="N107" s="43" t="str"/>
      <x:c r="O107" s="43" t="str"/>
      <x:c r="P107" s="43" t="str"/>
      <x:c r="Q107" s="75" t="str">
        <x:f>S106</x:f>
        <x:v>SOURCE EMPTY</x:v>
      </x:c>
      <x:c r="R107" s="75" t="str">
        <x:f>IF(L107="","SOURCE EMPTY",IF(L107=J107,"ROOT COLLISION",IF(AND(M107&lt;&gt;"",M107=L107),"DUAL-KEY COLLISION","CLEAR")))</x:f>
        <x:v>SOURCE EMPTY</x:v>
      </x:c>
      <x:c r="S107" s="75" t="str">
        <x:f>IF(OR(J107="",L107="",M107="",N107="",O107=""),"SOURCE EMPTY",IF(AND(OR(D107=4,D107=5,D107=8),K107=""),"SOURCE EMPTY",IF(R107&lt;&gt;"CLEAR","COLLISION",IF(P107&lt;&gt;"","ROLLBACK",IF(O107&lt;&gt;"ACCEPT","HOLD",IF(OR(D107=1,Q107="ACCEPTED"),"ACCEPTED","SEQUENCE HOLD"))))))</x:f>
        <x:v>SOURCE EMPTY</x:v>
      </x:c>
      <x:c r="T107" s="85" t="n">
        <x:f>IF(S107="ACCEPTED",H107*I107,0)</x:f>
        <x:v>0</x:v>
      </x:c>
      <x:c r="U107" s="75"/>
      <x:c r="V107" s="75"/>
      <x:c r="W107" s="75"/>
      <x:c r="X107" s="75"/>
      <x:c r="Y107" s="75"/>
      <x:c r="Z107" s="75"/>
    </x:row>
    <x:row r="108" ht="20" customHeight="1">
      <x:c r="A108" s="86" t="str">
        <x:v>MS-HC-A-IW-07</x:v>
      </x:c>
      <x:c r="B108" s="75" t="str">
        <x:v>MS-HC-A</x:v>
      </x:c>
      <x:c r="C108" s="75" t="str">
        <x:v>MS-HC</x:v>
      </x:c>
      <x:c r="D108" s="75" t="n">
        <x:v>7</x:v>
      </x:c>
      <x:c r="E108" s="75" t="str">
        <x:v>IW-07</x:v>
      </x:c>
      <x:c r="F108" s="86" t="str">
        <x:v>Industrial Mobilization Administration</x:v>
      </x:c>
      <x:c r="G108" s="86" t="str">
        <x:v>Reconstruction Command</x:v>
      </x:c>
      <x:c r="H108" s="88" t="n">
        <x:v>0.15</x:v>
      </x:c>
      <x:c r="I108" s="85" t="n">
        <x:f>INDEX('Root Registry'!$G$6:$G$29,MATCH(B108,'Root Registry'!$A$6:$A$29,0))</x:f>
        <x:v>13.65</x:v>
      </x:c>
      <x:c r="J108" s="75" t="str">
        <x:f>INDEX('Root Registry'!$D$6:$D$29,MATCH(B108,'Root Registry'!$A$6:$A$29,0))</x:f>
      </x:c>
      <x:c r="K108" s="75" t="str">
        <x:f>INDEX('Root Registry'!$F$6:$F$29,MATCH(B108,'Root Registry'!$A$6:$A$29,0))</x:f>
      </x:c>
      <x:c r="L108" s="43" t="str"/>
      <x:c r="M108" s="43" t="str"/>
      <x:c r="N108" s="43" t="str"/>
      <x:c r="O108" s="43" t="str"/>
      <x:c r="P108" s="43" t="str"/>
      <x:c r="Q108" s="75" t="str">
        <x:f>S107</x:f>
        <x:v>SOURCE EMPTY</x:v>
      </x:c>
      <x:c r="R108" s="75" t="str">
        <x:f>IF(L108="","SOURCE EMPTY",IF(L108=J108,"ROOT COLLISION",IF(AND(M108&lt;&gt;"",M108=L108),"DUAL-KEY COLLISION","CLEAR")))</x:f>
        <x:v>SOURCE EMPTY</x:v>
      </x:c>
      <x:c r="S108" s="75" t="str">
        <x:f>IF(OR(J108="",L108="",M108="",N108="",O108=""),"SOURCE EMPTY",IF(AND(OR(D108=4,D108=5,D108=8),K108=""),"SOURCE EMPTY",IF(R108&lt;&gt;"CLEAR","COLLISION",IF(P108&lt;&gt;"","ROLLBACK",IF(O108&lt;&gt;"ACCEPT","HOLD",IF(OR(D108=1,Q108="ACCEPTED"),"ACCEPTED","SEQUENCE HOLD"))))))</x:f>
        <x:v>SOURCE EMPTY</x:v>
      </x:c>
      <x:c r="T108" s="85" t="n">
        <x:f>IF(S108="ACCEPTED",H108*I108,0)</x:f>
        <x:v>0</x:v>
      </x:c>
      <x:c r="U108" s="75"/>
      <x:c r="V108" s="75"/>
      <x:c r="W108" s="75"/>
      <x:c r="X108" s="75"/>
      <x:c r="Y108" s="75"/>
      <x:c r="Z108" s="75"/>
    </x:row>
    <x:row r="109" ht="20" customHeight="1">
      <x:c r="A109" s="86" t="str">
        <x:v>MS-HC-A-CW-08</x:v>
      </x:c>
      <x:c r="B109" s="75" t="str">
        <x:v>MS-HC-A</x:v>
      </x:c>
      <x:c r="C109" s="75" t="str">
        <x:v>MS-HC</x:v>
      </x:c>
      <x:c r="D109" s="75" t="n">
        <x:v>8</x:v>
      </x:c>
      <x:c r="E109" s="75" t="str">
        <x:v>CW-08</x:v>
      </x:c>
      <x:c r="F109" s="86" t="str">
        <x:v>Operating Services</x:v>
      </x:c>
      <x:c r="G109" s="86" t="str">
        <x:v>Joint Capacity Authority</x:v>
      </x:c>
      <x:c r="H109" s="88" t="n">
        <x:v>0.12</x:v>
      </x:c>
      <x:c r="I109" s="85" t="n">
        <x:f>INDEX('Root Registry'!$G$6:$G$29,MATCH(B109,'Root Registry'!$A$6:$A$29,0))</x:f>
        <x:v>13.65</x:v>
      </x:c>
      <x:c r="J109" s="75" t="str">
        <x:f>INDEX('Root Registry'!$D$6:$D$29,MATCH(B109,'Root Registry'!$A$6:$A$29,0))</x:f>
      </x:c>
      <x:c r="K109" s="75" t="str">
        <x:f>INDEX('Root Registry'!$F$6:$F$29,MATCH(B109,'Root Registry'!$A$6:$A$29,0))</x:f>
      </x:c>
      <x:c r="L109" s="43" t="str"/>
      <x:c r="M109" s="43" t="str"/>
      <x:c r="N109" s="43" t="str"/>
      <x:c r="O109" s="43" t="str"/>
      <x:c r="P109" s="43" t="str"/>
      <x:c r="Q109" s="75" t="str">
        <x:f>S108</x:f>
        <x:v>SOURCE EMPTY</x:v>
      </x:c>
      <x:c r="R109" s="75" t="str">
        <x:f>IF(L109="","SOURCE EMPTY",IF(L109=J109,"ROOT COLLISION",IF(AND(M109&lt;&gt;"",M109=L109),"DUAL-KEY COLLISION","CLEAR")))</x:f>
        <x:v>SOURCE EMPTY</x:v>
      </x:c>
      <x:c r="S109" s="75" t="str">
        <x:f>IF(OR(J109="",L109="",M109="",N109="",O109=""),"SOURCE EMPTY",IF(AND(OR(D109=4,D109=5,D109=8),K109=""),"SOURCE EMPTY",IF(R109&lt;&gt;"CLEAR","COLLISION",IF(P109&lt;&gt;"","ROLLBACK",IF(O109&lt;&gt;"ACCEPT","HOLD",IF(OR(D109=1,Q109="ACCEPTED"),"ACCEPTED","SEQUENCE HOLD"))))))</x:f>
        <x:v>SOURCE EMPTY</x:v>
      </x:c>
      <x:c r="T109" s="85" t="n">
        <x:f>IF(S109="ACCEPTED",H109*I109,0)</x:f>
        <x:v>0</x:v>
      </x:c>
      <x:c r="U109" s="75"/>
      <x:c r="V109" s="75"/>
      <x:c r="W109" s="75"/>
      <x:c r="X109" s="75"/>
      <x:c r="Y109" s="75"/>
      <x:c r="Z109" s="75"/>
    </x:row>
    <x:row r="110" ht="20" customHeight="1">
      <x:c r="A110" s="86" t="str">
        <x:v>MS-HC-A-RW-09</x:v>
      </x:c>
      <x:c r="B110" s="75" t="str">
        <x:v>MS-HC-A</x:v>
      </x:c>
      <x:c r="C110" s="75" t="str">
        <x:v>MS-HC</x:v>
      </x:c>
      <x:c r="D110" s="75" t="n">
        <x:v>9</x:v>
      </x:c>
      <x:c r="E110" s="75" t="str">
        <x:v>RW-09</x:v>
      </x:c>
      <x:c r="F110" s="86" t="str">
        <x:v>Joint Capacity Authority</x:v>
      </x:c>
      <x:c r="G110" s="86" t="str">
        <x:v>Department Comptroller</x:v>
      </x:c>
      <x:c r="H110" s="88" t="n">
        <x:v>0.08</x:v>
      </x:c>
      <x:c r="I110" s="85" t="n">
        <x:f>INDEX('Root Registry'!$G$6:$G$29,MATCH(B110,'Root Registry'!$A$6:$A$29,0))</x:f>
        <x:v>13.65</x:v>
      </x:c>
      <x:c r="J110" s="75" t="str">
        <x:f>INDEX('Root Registry'!$D$6:$D$29,MATCH(B110,'Root Registry'!$A$6:$A$29,0))</x:f>
      </x:c>
      <x:c r="K110" s="75" t="str">
        <x:f>INDEX('Root Registry'!$F$6:$F$29,MATCH(B110,'Root Registry'!$A$6:$A$29,0))</x:f>
      </x:c>
      <x:c r="L110" s="43" t="str"/>
      <x:c r="M110" s="43" t="str"/>
      <x:c r="N110" s="43" t="str"/>
      <x:c r="O110" s="43" t="str"/>
      <x:c r="P110" s="43" t="str"/>
      <x:c r="Q110" s="75" t="str">
        <x:f>S109</x:f>
        <x:v>SOURCE EMPTY</x:v>
      </x:c>
      <x:c r="R110" s="75" t="str">
        <x:f>IF(L110="","SOURCE EMPTY",IF(L110=J110,"ROOT COLLISION",IF(AND(M110&lt;&gt;"",M110=L110),"DUAL-KEY COLLISION","CLEAR")))</x:f>
        <x:v>SOURCE EMPTY</x:v>
      </x:c>
      <x:c r="S110" s="75" t="str">
        <x:f>IF(OR(J110="",L110="",M110="",N110="",O110=""),"SOURCE EMPTY",IF(AND(OR(D110=4,D110=5,D110=8),K110=""),"SOURCE EMPTY",IF(R110&lt;&gt;"CLEAR","COLLISION",IF(P110&lt;&gt;"","ROLLBACK",IF(O110&lt;&gt;"ACCEPT","HOLD",IF(OR(D110=1,Q110="ACCEPTED"),"ACCEPTED","SEQUENCE HOLD"))))))</x:f>
        <x:v>SOURCE EMPTY</x:v>
      </x:c>
      <x:c r="T110" s="85" t="n">
        <x:f>IF(S110="ACCEPTED",H110*I110,0)</x:f>
        <x:v>0</x:v>
      </x:c>
      <x:c r="U110" s="75"/>
      <x:c r="V110" s="75"/>
      <x:c r="W110" s="75"/>
      <x:c r="X110" s="75"/>
      <x:c r="Y110" s="75"/>
      <x:c r="Z110" s="75"/>
    </x:row>
    <x:row r="111" ht="20" customHeight="1">
      <x:c r="A111" s="86" t="str">
        <x:v>MS-HC-A-OW-10</x:v>
      </x:c>
      <x:c r="B111" s="75" t="str">
        <x:v>MS-HC-A</x:v>
      </x:c>
      <x:c r="C111" s="75" t="str">
        <x:v>MS-HC</x:v>
      </x:c>
      <x:c r="D111" s="75" t="n">
        <x:v>10</x:v>
      </x:c>
      <x:c r="E111" s="75" t="str">
        <x:v>OW-10</x:v>
      </x:c>
      <x:c r="F111" s="86" t="str">
        <x:v>Operational Command</x:v>
      </x:c>
      <x:c r="G111" s="86" t="str">
        <x:v>Civil Resilience Authority</x:v>
      </x:c>
      <x:c r="H111" s="88" t="n">
        <x:v>0.05</x:v>
      </x:c>
      <x:c r="I111" s="85" t="n">
        <x:f>INDEX('Root Registry'!$G$6:$G$29,MATCH(B111,'Root Registry'!$A$6:$A$29,0))</x:f>
        <x:v>13.65</x:v>
      </x:c>
      <x:c r="J111" s="75" t="str">
        <x:f>INDEX('Root Registry'!$D$6:$D$29,MATCH(B111,'Root Registry'!$A$6:$A$29,0))</x:f>
      </x:c>
      <x:c r="K111" s="75" t="str">
        <x:f>INDEX('Root Registry'!$F$6:$F$29,MATCH(B111,'Root Registry'!$A$6:$A$29,0))</x:f>
      </x:c>
      <x:c r="L111" s="43" t="str"/>
      <x:c r="M111" s="43" t="str"/>
      <x:c r="N111" s="43" t="str"/>
      <x:c r="O111" s="43" t="str"/>
      <x:c r="P111" s="43" t="str"/>
      <x:c r="Q111" s="75" t="str">
        <x:f>S110</x:f>
        <x:v>SOURCE EMPTY</x:v>
      </x:c>
      <x:c r="R111" s="75" t="str">
        <x:f>IF(L111="","SOURCE EMPTY",IF(L111=J111,"ROOT COLLISION",IF(AND(M111&lt;&gt;"",M111=L111),"DUAL-KEY COLLISION","CLEAR")))</x:f>
        <x:v>SOURCE EMPTY</x:v>
      </x:c>
      <x:c r="S111" s="75" t="str">
        <x:f>IF(OR(J111="",L111="",M111="",N111="",O111=""),"SOURCE EMPTY",IF(AND(OR(D111=4,D111=5,D111=8),K111=""),"SOURCE EMPTY",IF(R111&lt;&gt;"CLEAR","COLLISION",IF(P111&lt;&gt;"","ROLLBACK",IF(O111&lt;&gt;"ACCEPT","HOLD",IF(OR(D111=1,Q111="ACCEPTED"),"ACCEPTED","SEQUENCE HOLD"))))))</x:f>
        <x:v>SOURCE EMPTY</x:v>
      </x:c>
      <x:c r="T111" s="85" t="n">
        <x:f>IF(S111="ACCEPTED",H111*I111,0)</x:f>
        <x:v>0</x:v>
      </x:c>
      <x:c r="U111" s="75"/>
      <x:c r="V111" s="75"/>
      <x:c r="W111" s="75"/>
      <x:c r="X111" s="75"/>
      <x:c r="Y111" s="75"/>
      <x:c r="Z111" s="75"/>
    </x:row>
    <x:row r="112" ht="20" customHeight="1">
      <x:c r="A112" s="86" t="str">
        <x:v>MS-HC-A-SW-11</x:v>
      </x:c>
      <x:c r="B112" s="75" t="str">
        <x:v>MS-HC-A</x:v>
      </x:c>
      <x:c r="C112" s="75" t="str">
        <x:v>MS-HC</x:v>
      </x:c>
      <x:c r="D112" s="75" t="n">
        <x:v>11</x:v>
      </x:c>
      <x:c r="E112" s="75" t="str">
        <x:v>SW-11</x:v>
      </x:c>
      <x:c r="F112" s="86" t="str">
        <x:v>Civil Resilience Authority</x:v>
      </x:c>
      <x:c r="G112" s="86" t="str">
        <x:v>Affected Civil Authority</x:v>
      </x:c>
      <x:c r="H112" s="88" t="n">
        <x:v>0.07</x:v>
      </x:c>
      <x:c r="I112" s="85" t="n">
        <x:f>INDEX('Root Registry'!$G$6:$G$29,MATCH(B112,'Root Registry'!$A$6:$A$29,0))</x:f>
        <x:v>13.65</x:v>
      </x:c>
      <x:c r="J112" s="75" t="str">
        <x:f>INDEX('Root Registry'!$D$6:$D$29,MATCH(B112,'Root Registry'!$A$6:$A$29,0))</x:f>
      </x:c>
      <x:c r="K112" s="75" t="str">
        <x:f>INDEX('Root Registry'!$F$6:$F$29,MATCH(B112,'Root Registry'!$A$6:$A$29,0))</x:f>
      </x:c>
      <x:c r="L112" s="43" t="str"/>
      <x:c r="M112" s="43" t="str"/>
      <x:c r="N112" s="43" t="str"/>
      <x:c r="O112" s="43" t="str"/>
      <x:c r="P112" s="43" t="str"/>
      <x:c r="Q112" s="75" t="str">
        <x:f>S111</x:f>
        <x:v>SOURCE EMPTY</x:v>
      </x:c>
      <x:c r="R112" s="75" t="str">
        <x:f>IF(L112="","SOURCE EMPTY",IF(L112=J112,"ROOT COLLISION",IF(AND(M112&lt;&gt;"",M112=L112),"DUAL-KEY COLLISION","CLEAR")))</x:f>
        <x:v>SOURCE EMPTY</x:v>
      </x:c>
      <x:c r="S112" s="75" t="str">
        <x:f>IF(OR(J112="",L112="",M112="",N112="",O112=""),"SOURCE EMPTY",IF(AND(OR(D112=4,D112=5,D112=8),K112=""),"SOURCE EMPTY",IF(R112&lt;&gt;"CLEAR","COLLISION",IF(P112&lt;&gt;"","ROLLBACK",IF(O112&lt;&gt;"ACCEPT","HOLD",IF(OR(D112=1,Q112="ACCEPTED"),"ACCEPTED","SEQUENCE HOLD"))))))</x:f>
        <x:v>SOURCE EMPTY</x:v>
      </x:c>
      <x:c r="T112" s="85" t="n">
        <x:f>IF(S112="ACCEPTED",H112*I112,0)</x:f>
        <x:v>0</x:v>
      </x:c>
      <x:c r="U112" s="75"/>
      <x:c r="V112" s="75"/>
      <x:c r="W112" s="75"/>
      <x:c r="X112" s="75"/>
      <x:c r="Y112" s="75"/>
      <x:c r="Z112" s="75"/>
    </x:row>
    <x:row r="113" ht="20" customHeight="1">
      <x:c r="A113" s="86" t="str">
        <x:v>MS-HC-A-GW-12</x:v>
      </x:c>
      <x:c r="B113" s="75" t="str">
        <x:v>MS-HC-A</x:v>
      </x:c>
      <x:c r="C113" s="75" t="str">
        <x:v>MS-HC</x:v>
      </x:c>
      <x:c r="D113" s="75" t="n">
        <x:v>12</x:v>
      </x:c>
      <x:c r="E113" s="75" t="str">
        <x:v>GW-12</x:v>
      </x:c>
      <x:c r="F113" s="86" t="str">
        <x:v>Strategic Sustainment Command</x:v>
      </x:c>
      <x:c r="G113" s="86" t="str">
        <x:v>Joint Capacity Authority</x:v>
      </x:c>
      <x:c r="H113" s="88" t="n">
        <x:v>0.05</x:v>
      </x:c>
      <x:c r="I113" s="85" t="n">
        <x:f>INDEX('Root Registry'!$G$6:$G$29,MATCH(B113,'Root Registry'!$A$6:$A$29,0))</x:f>
        <x:v>13.65</x:v>
      </x:c>
      <x:c r="J113" s="75" t="str">
        <x:f>INDEX('Root Registry'!$D$6:$D$29,MATCH(B113,'Root Registry'!$A$6:$A$29,0))</x:f>
      </x:c>
      <x:c r="K113" s="75" t="str">
        <x:f>INDEX('Root Registry'!$F$6:$F$29,MATCH(B113,'Root Registry'!$A$6:$A$29,0))</x:f>
      </x:c>
      <x:c r="L113" s="43" t="str"/>
      <x:c r="M113" s="43" t="str"/>
      <x:c r="N113" s="43" t="str"/>
      <x:c r="O113" s="43" t="str"/>
      <x:c r="P113" s="43" t="str"/>
      <x:c r="Q113" s="75" t="str">
        <x:f>S112</x:f>
        <x:v>SOURCE EMPTY</x:v>
      </x:c>
      <x:c r="R113" s="75" t="str">
        <x:f>IF(L113="","SOURCE EMPTY",IF(L113=J113,"ROOT COLLISION",IF(AND(M113&lt;&gt;"",M113=L113),"DUAL-KEY COLLISION","CLEAR")))</x:f>
        <x:v>SOURCE EMPTY</x:v>
      </x:c>
      <x:c r="S113" s="75" t="str">
        <x:f>IF(OR(J113="",L113="",M113="",N113="",O113=""),"SOURCE EMPTY",IF(AND(OR(D113=4,D113=5,D113=8),K113=""),"SOURCE EMPTY",IF(R113&lt;&gt;"CLEAR","COLLISION",IF(P113&lt;&gt;"","ROLLBACK",IF(O113&lt;&gt;"ACCEPT","HOLD",IF(OR(D113=1,Q113="ACCEPTED"),"ACCEPTED","SEQUENCE HOLD"))))))</x:f>
        <x:v>SOURCE EMPTY</x:v>
      </x:c>
      <x:c r="T113" s="85" t="n">
        <x:f>IF(S113="ACCEPTED",H113*I113,0)</x:f>
        <x:v>0</x:v>
      </x:c>
      <x:c r="U113" s="75"/>
      <x:c r="V113" s="75"/>
      <x:c r="W113" s="75"/>
      <x:c r="X113" s="75"/>
      <x:c r="Y113" s="75"/>
      <x:c r="Z113" s="75"/>
    </x:row>
    <x:row r="114" ht="20" customHeight="1">
      <x:c r="A114" s="86" t="str">
        <x:v>MS-HC-B-PW-01</x:v>
      </x:c>
      <x:c r="B114" s="75" t="str">
        <x:v>MS-HC-B</x:v>
      </x:c>
      <x:c r="C114" s="75" t="str">
        <x:v>MS-HC</x:v>
      </x:c>
      <x:c r="D114" s="75" t="n">
        <x:v>1</x:v>
      </x:c>
      <x:c r="E114" s="75" t="str">
        <x:v>PW-01</x:v>
      </x:c>
      <x:c r="F114" s="86" t="str">
        <x:v>Civil Resilience Authority</x:v>
      </x:c>
      <x:c r="G114" s="86" t="str">
        <x:v>Public Effect College</x:v>
      </x:c>
      <x:c r="H114" s="88" t="n">
        <x:v>0.01</x:v>
      </x:c>
      <x:c r="I114" s="85" t="n">
        <x:f>INDEX('Root Registry'!$G$6:$G$29,MATCH(B114,'Root Registry'!$A$6:$A$29,0))</x:f>
        <x:v>13.65</x:v>
      </x:c>
      <x:c r="J114" s="75" t="str">
        <x:f>INDEX('Root Registry'!$D$6:$D$29,MATCH(B114,'Root Registry'!$A$6:$A$29,0))</x:f>
      </x:c>
      <x:c r="K114" s="75" t="str">
        <x:f>INDEX('Root Registry'!$F$6:$F$29,MATCH(B114,'Root Registry'!$A$6:$A$29,0))</x:f>
      </x:c>
      <x:c r="L114" s="43" t="str"/>
      <x:c r="M114" s="43" t="str"/>
      <x:c r="N114" s="43" t="str"/>
      <x:c r="O114" s="43" t="str"/>
      <x:c r="P114" s="43" t="str"/>
      <x:c r="Q114" s="75" t="str">
        <x:f>"ORIGIN"</x:f>
        <x:v>ORIGIN</x:v>
      </x:c>
      <x:c r="R114" s="75" t="str">
        <x:f>IF(L114="","SOURCE EMPTY",IF(L114=J114,"ROOT COLLISION",IF(AND(M114&lt;&gt;"",M114=L114),"DUAL-KEY COLLISION","CLEAR")))</x:f>
        <x:v>SOURCE EMPTY</x:v>
      </x:c>
      <x:c r="S114" s="75" t="str">
        <x:f>IF(OR(J114="",L114="",M114="",N114="",O114=""),"SOURCE EMPTY",IF(AND(OR(D114=4,D114=5,D114=8),K114=""),"SOURCE EMPTY",IF(R114&lt;&gt;"CLEAR","COLLISION",IF(P114&lt;&gt;"","ROLLBACK",IF(O114&lt;&gt;"ACCEPT","HOLD",IF(OR(D114=1,Q114="ACCEPTED"),"ACCEPTED","SEQUENCE HOLD"))))))</x:f>
        <x:v>SOURCE EMPTY</x:v>
      </x:c>
      <x:c r="T114" s="85" t="n">
        <x:f>IF(S114="ACCEPTED",H114*I114,0)</x:f>
        <x:v>0</x:v>
      </x:c>
      <x:c r="U114" s="75"/>
      <x:c r="V114" s="75"/>
      <x:c r="W114" s="75"/>
      <x:c r="X114" s="75"/>
      <x:c r="Y114" s="75"/>
      <x:c r="Z114" s="75"/>
    </x:row>
    <x:row r="115" ht="20" customHeight="1">
      <x:c r="A115" s="86" t="str">
        <x:v>MS-HC-B-MW-02</x:v>
      </x:c>
      <x:c r="B115" s="75" t="str">
        <x:v>MS-HC-B</x:v>
      </x:c>
      <x:c r="C115" s="75" t="str">
        <x:v>MS-HC</x:v>
      </x:c>
      <x:c r="D115" s="75" t="n">
        <x:v>2</x:v>
      </x:c>
      <x:c r="E115" s="75" t="str">
        <x:v>MW-02</x:v>
      </x:c>
      <x:c r="F115" s="86" t="str">
        <x:v>Mission System Command</x:v>
      </x:c>
      <x:c r="G115" s="86" t="str">
        <x:v>Civil Resilience Authority</x:v>
      </x:c>
      <x:c r="H115" s="88" t="n">
        <x:v>0.02</x:v>
      </x:c>
      <x:c r="I115" s="85" t="n">
        <x:f>INDEX('Root Registry'!$G$6:$G$29,MATCH(B115,'Root Registry'!$A$6:$A$29,0))</x:f>
        <x:v>13.65</x:v>
      </x:c>
      <x:c r="J115" s="75" t="str">
        <x:f>INDEX('Root Registry'!$D$6:$D$29,MATCH(B115,'Root Registry'!$A$6:$A$29,0))</x:f>
      </x:c>
      <x:c r="K115" s="75" t="str">
        <x:f>INDEX('Root Registry'!$F$6:$F$29,MATCH(B115,'Root Registry'!$A$6:$A$29,0))</x:f>
      </x:c>
      <x:c r="L115" s="43" t="str"/>
      <x:c r="M115" s="43" t="str"/>
      <x:c r="N115" s="43" t="str"/>
      <x:c r="O115" s="43" t="str"/>
      <x:c r="P115" s="43" t="str"/>
      <x:c r="Q115" s="75" t="str">
        <x:f>S114</x:f>
        <x:v>SOURCE EMPTY</x:v>
      </x:c>
      <x:c r="R115" s="75" t="str">
        <x:f>IF(L115="","SOURCE EMPTY",IF(L115=J115,"ROOT COLLISION",IF(AND(M115&lt;&gt;"",M115=L115),"DUAL-KEY COLLISION","CLEAR")))</x:f>
        <x:v>SOURCE EMPTY</x:v>
      </x:c>
      <x:c r="S115" s="75" t="str">
        <x:f>IF(OR(J115="",L115="",M115="",N115="",O115=""),"SOURCE EMPTY",IF(AND(OR(D115=4,D115=5,D115=8),K115=""),"SOURCE EMPTY",IF(R115&lt;&gt;"CLEAR","COLLISION",IF(P115&lt;&gt;"","ROLLBACK",IF(O115&lt;&gt;"ACCEPT","HOLD",IF(OR(D115=1,Q115="ACCEPTED"),"ACCEPTED","SEQUENCE HOLD"))))))</x:f>
        <x:v>SOURCE EMPTY</x:v>
      </x:c>
      <x:c r="T115" s="85" t="n">
        <x:f>IF(S115="ACCEPTED",H115*I115,0)</x:f>
        <x:v>0</x:v>
      </x:c>
      <x:c r="U115" s="75"/>
      <x:c r="V115" s="75"/>
      <x:c r="W115" s="75"/>
      <x:c r="X115" s="75"/>
      <x:c r="Y115" s="75"/>
      <x:c r="Z115" s="75"/>
    </x:row>
    <x:row r="116" ht="20" customHeight="1">
      <x:c r="A116" s="86" t="str">
        <x:v>MS-HC-B-FW-03</x:v>
      </x:c>
      <x:c r="B116" s="75" t="str">
        <x:v>MS-HC-B</x:v>
      </x:c>
      <x:c r="C116" s="75" t="str">
        <x:v>MS-HC</x:v>
      </x:c>
      <x:c r="D116" s="75" t="n">
        <x:v>3</x:v>
      </x:c>
      <x:c r="E116" s="75" t="str">
        <x:v>FW-03</x:v>
      </x:c>
      <x:c r="F116" s="86" t="str">
        <x:v>Department Capital Board</x:v>
      </x:c>
      <x:c r="G116" s="86" t="str">
        <x:v>Failure Reserve Trustee</x:v>
      </x:c>
      <x:c r="H116" s="88" t="n">
        <x:v>0.05</x:v>
      </x:c>
      <x:c r="I116" s="85" t="n">
        <x:f>INDEX('Root Registry'!$G$6:$G$29,MATCH(B116,'Root Registry'!$A$6:$A$29,0))</x:f>
        <x:v>13.65</x:v>
      </x:c>
      <x:c r="J116" s="75" t="str">
        <x:f>INDEX('Root Registry'!$D$6:$D$29,MATCH(B116,'Root Registry'!$A$6:$A$29,0))</x:f>
      </x:c>
      <x:c r="K116" s="75" t="str">
        <x:f>INDEX('Root Registry'!$F$6:$F$29,MATCH(B116,'Root Registry'!$A$6:$A$29,0))</x:f>
      </x:c>
      <x:c r="L116" s="43" t="str"/>
      <x:c r="M116" s="43" t="str"/>
      <x:c r="N116" s="43" t="str"/>
      <x:c r="O116" s="43" t="str"/>
      <x:c r="P116" s="43" t="str"/>
      <x:c r="Q116" s="75" t="str">
        <x:f>S115</x:f>
        <x:v>SOURCE EMPTY</x:v>
      </x:c>
      <x:c r="R116" s="75" t="str">
        <x:f>IF(L116="","SOURCE EMPTY",IF(L116=J116,"ROOT COLLISION",IF(AND(M116&lt;&gt;"",M116=L116),"DUAL-KEY COLLISION","CLEAR")))</x:f>
        <x:v>SOURCE EMPTY</x:v>
      </x:c>
      <x:c r="S116" s="75" t="str">
        <x:f>IF(OR(J116="",L116="",M116="",N116="",O116=""),"SOURCE EMPTY",IF(AND(OR(D116=4,D116=5,D116=8),K116=""),"SOURCE EMPTY",IF(R116&lt;&gt;"CLEAR","COLLISION",IF(P116&lt;&gt;"","ROLLBACK",IF(O116&lt;&gt;"ACCEPT","HOLD",IF(OR(D116=1,Q116="ACCEPTED"),"ACCEPTED","SEQUENCE HOLD"))))))</x:f>
        <x:v>SOURCE EMPTY</x:v>
      </x:c>
      <x:c r="T116" s="85" t="n">
        <x:f>IF(S116="ACCEPTED",H116*I116,0)</x:f>
        <x:v>0</x:v>
      </x:c>
      <x:c r="U116" s="75"/>
      <x:c r="V116" s="75"/>
      <x:c r="W116" s="75"/>
      <x:c r="X116" s="75"/>
      <x:c r="Y116" s="75"/>
      <x:c r="Z116" s="75"/>
    </x:row>
    <x:row r="117" ht="20" customHeight="1">
      <x:c r="A117" s="86" t="str">
        <x:v>MS-HC-B-CW-04</x:v>
      </x:c>
      <x:c r="B117" s="75" t="str">
        <x:v>MS-HC-B</x:v>
      </x:c>
      <x:c r="C117" s="75" t="str">
        <x:v>MS-HC</x:v>
      </x:c>
      <x:c r="D117" s="75" t="n">
        <x:v>4</x:v>
      </x:c>
      <x:c r="E117" s="75" t="str">
        <x:v>CW-04</x:v>
      </x:c>
      <x:c r="F117" s="86" t="str">
        <x:v>Service Technical College</x:v>
      </x:c>
      <x:c r="G117" s="86" t="str">
        <x:v>Independent Root House</x:v>
      </x:c>
      <x:c r="H117" s="88" t="n">
        <x:v>0.12</x:v>
      </x:c>
      <x:c r="I117" s="85" t="n">
        <x:f>INDEX('Root Registry'!$G$6:$G$29,MATCH(B117,'Root Registry'!$A$6:$A$29,0))</x:f>
        <x:v>13.65</x:v>
      </x:c>
      <x:c r="J117" s="75" t="str">
        <x:f>INDEX('Root Registry'!$D$6:$D$29,MATCH(B117,'Root Registry'!$A$6:$A$29,0))</x:f>
      </x:c>
      <x:c r="K117" s="75" t="str">
        <x:f>INDEX('Root Registry'!$F$6:$F$29,MATCH(B117,'Root Registry'!$A$6:$A$29,0))</x:f>
      </x:c>
      <x:c r="L117" s="43" t="str"/>
      <x:c r="M117" s="43" t="str"/>
      <x:c r="N117" s="43" t="str"/>
      <x:c r="O117" s="43" t="str"/>
      <x:c r="P117" s="43" t="str"/>
      <x:c r="Q117" s="75" t="str">
        <x:f>S116</x:f>
        <x:v>SOURCE EMPTY</x:v>
      </x:c>
      <x:c r="R117" s="75" t="str">
        <x:f>IF(L117="","SOURCE EMPTY",IF(L117=J117,"ROOT COLLISION",IF(AND(M117&lt;&gt;"",M117=L117),"DUAL-KEY COLLISION","CLEAR")))</x:f>
        <x:v>SOURCE EMPTY</x:v>
      </x:c>
      <x:c r="S117" s="75" t="str">
        <x:f>IF(OR(J117="",L117="",M117="",N117="",O117=""),"SOURCE EMPTY",IF(AND(OR(D117=4,D117=5,D117=8),K117=""),"SOURCE EMPTY",IF(R117&lt;&gt;"CLEAR","COLLISION",IF(P117&lt;&gt;"","ROLLBACK",IF(O117&lt;&gt;"ACCEPT","HOLD",IF(OR(D117=1,Q117="ACCEPTED"),"ACCEPTED","SEQUENCE HOLD"))))))</x:f>
        <x:v>SOURCE EMPTY</x:v>
      </x:c>
      <x:c r="T117" s="85" t="n">
        <x:f>IF(S117="ACCEPTED",H117*I117,0)</x:f>
        <x:v>0</x:v>
      </x:c>
      <x:c r="U117" s="75"/>
      <x:c r="V117" s="75"/>
      <x:c r="W117" s="75"/>
      <x:c r="X117" s="75"/>
      <x:c r="Y117" s="75"/>
      <x:c r="Z117" s="75"/>
    </x:row>
    <x:row r="118" ht="20" customHeight="1">
      <x:c r="A118" s="86" t="str">
        <x:v>MS-HC-B-TW-05</x:v>
      </x:c>
      <x:c r="B118" s="75" t="str">
        <x:v>MS-HC-B</x:v>
      </x:c>
      <x:c r="C118" s="75" t="str">
        <x:v>MS-HC</x:v>
      </x:c>
      <x:c r="D118" s="75" t="n">
        <x:v>5</x:v>
      </x:c>
      <x:c r="E118" s="75" t="str">
        <x:v>TW-05</x:v>
      </x:c>
      <x:c r="F118" s="86" t="str">
        <x:v>Service Technical College</x:v>
      </x:c>
      <x:c r="G118" s="86" t="str">
        <x:v>Public Protection Inspectorate</x:v>
      </x:c>
      <x:c r="H118" s="88" t="n">
        <x:v>0.08</x:v>
      </x:c>
      <x:c r="I118" s="85" t="n">
        <x:f>INDEX('Root Registry'!$G$6:$G$29,MATCH(B118,'Root Registry'!$A$6:$A$29,0))</x:f>
        <x:v>13.65</x:v>
      </x:c>
      <x:c r="J118" s="75" t="str">
        <x:f>INDEX('Root Registry'!$D$6:$D$29,MATCH(B118,'Root Registry'!$A$6:$A$29,0))</x:f>
      </x:c>
      <x:c r="K118" s="75" t="str">
        <x:f>INDEX('Root Registry'!$F$6:$F$29,MATCH(B118,'Root Registry'!$A$6:$A$29,0))</x:f>
      </x:c>
      <x:c r="L118" s="43" t="str"/>
      <x:c r="M118" s="43" t="str"/>
      <x:c r="N118" s="43" t="str"/>
      <x:c r="O118" s="43" t="str"/>
      <x:c r="P118" s="43" t="str"/>
      <x:c r="Q118" s="75" t="str">
        <x:f>S117</x:f>
        <x:v>SOURCE EMPTY</x:v>
      </x:c>
      <x:c r="R118" s="75" t="str">
        <x:f>IF(L118="","SOURCE EMPTY",IF(L118=J118,"ROOT COLLISION",IF(AND(M118&lt;&gt;"",M118=L118),"DUAL-KEY COLLISION","CLEAR")))</x:f>
        <x:v>SOURCE EMPTY</x:v>
      </x:c>
      <x:c r="S118" s="75" t="str">
        <x:f>IF(OR(J118="",L118="",M118="",N118="",O118=""),"SOURCE EMPTY",IF(AND(OR(D118=4,D118=5,D118=8),K118=""),"SOURCE EMPTY",IF(R118&lt;&gt;"CLEAR","COLLISION",IF(P118&lt;&gt;"","ROLLBACK",IF(O118&lt;&gt;"ACCEPT","HOLD",IF(OR(D118=1,Q118="ACCEPTED"),"ACCEPTED","SEQUENCE HOLD"))))))</x:f>
        <x:v>SOURCE EMPTY</x:v>
      </x:c>
      <x:c r="T118" s="85" t="n">
        <x:f>IF(S118="ACCEPTED",H118*I118,0)</x:f>
        <x:v>0</x:v>
      </x:c>
      <x:c r="U118" s="75"/>
      <x:c r="V118" s="75"/>
      <x:c r="W118" s="75"/>
      <x:c r="X118" s="75"/>
      <x:c r="Y118" s="75"/>
      <x:c r="Z118" s="75"/>
    </x:row>
    <x:row r="119" ht="20" customHeight="1">
      <x:c r="A119" s="86" t="str">
        <x:v>MS-HC-B-EW-06</x:v>
      </x:c>
      <x:c r="B119" s="75" t="str">
        <x:v>MS-HC-B</x:v>
      </x:c>
      <x:c r="C119" s="75" t="str">
        <x:v>MS-HC</x:v>
      </x:c>
      <x:c r="D119" s="75" t="n">
        <x:v>6</x:v>
      </x:c>
      <x:c r="E119" s="75" t="str">
        <x:v>EW-06</x:v>
      </x:c>
      <x:c r="F119" s="86" t="str">
        <x:v>Resilience Proving Service</x:v>
      </x:c>
      <x:c r="G119" s="86" t="str">
        <x:v>Public Effect College</x:v>
      </x:c>
      <x:c r="H119" s="88" t="n">
        <x:v>0.2</x:v>
      </x:c>
      <x:c r="I119" s="85" t="n">
        <x:f>INDEX('Root Registry'!$G$6:$G$29,MATCH(B119,'Root Registry'!$A$6:$A$29,0))</x:f>
        <x:v>13.65</x:v>
      </x:c>
      <x:c r="J119" s="75" t="str">
        <x:f>INDEX('Root Registry'!$D$6:$D$29,MATCH(B119,'Root Registry'!$A$6:$A$29,0))</x:f>
      </x:c>
      <x:c r="K119" s="75" t="str">
        <x:f>INDEX('Root Registry'!$F$6:$F$29,MATCH(B119,'Root Registry'!$A$6:$A$29,0))</x:f>
      </x:c>
      <x:c r="L119" s="43" t="str"/>
      <x:c r="M119" s="43" t="str"/>
      <x:c r="N119" s="43" t="str"/>
      <x:c r="O119" s="43" t="str"/>
      <x:c r="P119" s="43" t="str"/>
      <x:c r="Q119" s="75" t="str">
        <x:f>S118</x:f>
        <x:v>SOURCE EMPTY</x:v>
      </x:c>
      <x:c r="R119" s="75" t="str">
        <x:f>IF(L119="","SOURCE EMPTY",IF(L119=J119,"ROOT COLLISION",IF(AND(M119&lt;&gt;"",M119=L119),"DUAL-KEY COLLISION","CLEAR")))</x:f>
        <x:v>SOURCE EMPTY</x:v>
      </x:c>
      <x:c r="S119" s="75" t="str">
        <x:f>IF(OR(J119="",L119="",M119="",N119="",O119=""),"SOURCE EMPTY",IF(AND(OR(D119=4,D119=5,D119=8),K119=""),"SOURCE EMPTY",IF(R119&lt;&gt;"CLEAR","COLLISION",IF(P119&lt;&gt;"","ROLLBACK",IF(O119&lt;&gt;"ACCEPT","HOLD",IF(OR(D119=1,Q119="ACCEPTED"),"ACCEPTED","SEQUENCE HOLD"))))))</x:f>
        <x:v>SOURCE EMPTY</x:v>
      </x:c>
      <x:c r="T119" s="85" t="n">
        <x:f>IF(S119="ACCEPTED",H119*I119,0)</x:f>
        <x:v>0</x:v>
      </x:c>
      <x:c r="U119" s="75"/>
      <x:c r="V119" s="75"/>
      <x:c r="W119" s="75"/>
      <x:c r="X119" s="75"/>
      <x:c r="Y119" s="75"/>
      <x:c r="Z119" s="75"/>
    </x:row>
    <x:row r="120" ht="20" customHeight="1">
      <x:c r="A120" s="86" t="str">
        <x:v>MS-HC-B-IW-07</x:v>
      </x:c>
      <x:c r="B120" s="75" t="str">
        <x:v>MS-HC-B</x:v>
      </x:c>
      <x:c r="C120" s="75" t="str">
        <x:v>MS-HC</x:v>
      </x:c>
      <x:c r="D120" s="75" t="n">
        <x:v>7</x:v>
      </x:c>
      <x:c r="E120" s="75" t="str">
        <x:v>IW-07</x:v>
      </x:c>
      <x:c r="F120" s="86" t="str">
        <x:v>Industrial Mobilization Administration</x:v>
      </x:c>
      <x:c r="G120" s="86" t="str">
        <x:v>Reconstruction Command</x:v>
      </x:c>
      <x:c r="H120" s="88" t="n">
        <x:v>0.15</x:v>
      </x:c>
      <x:c r="I120" s="85" t="n">
        <x:f>INDEX('Root Registry'!$G$6:$G$29,MATCH(B120,'Root Registry'!$A$6:$A$29,0))</x:f>
        <x:v>13.65</x:v>
      </x:c>
      <x:c r="J120" s="75" t="str">
        <x:f>INDEX('Root Registry'!$D$6:$D$29,MATCH(B120,'Root Registry'!$A$6:$A$29,0))</x:f>
      </x:c>
      <x:c r="K120" s="75" t="str">
        <x:f>INDEX('Root Registry'!$F$6:$F$29,MATCH(B120,'Root Registry'!$A$6:$A$29,0))</x:f>
      </x:c>
      <x:c r="L120" s="43" t="str"/>
      <x:c r="M120" s="43" t="str"/>
      <x:c r="N120" s="43" t="str"/>
      <x:c r="O120" s="43" t="str"/>
      <x:c r="P120" s="43" t="str"/>
      <x:c r="Q120" s="75" t="str">
        <x:f>S119</x:f>
        <x:v>SOURCE EMPTY</x:v>
      </x:c>
      <x:c r="R120" s="75" t="str">
        <x:f>IF(L120="","SOURCE EMPTY",IF(L120=J120,"ROOT COLLISION",IF(AND(M120&lt;&gt;"",M120=L120),"DUAL-KEY COLLISION","CLEAR")))</x:f>
        <x:v>SOURCE EMPTY</x:v>
      </x:c>
      <x:c r="S120" s="75" t="str">
        <x:f>IF(OR(J120="",L120="",M120="",N120="",O120=""),"SOURCE EMPTY",IF(AND(OR(D120=4,D120=5,D120=8),K120=""),"SOURCE EMPTY",IF(R120&lt;&gt;"CLEAR","COLLISION",IF(P120&lt;&gt;"","ROLLBACK",IF(O120&lt;&gt;"ACCEPT","HOLD",IF(OR(D120=1,Q120="ACCEPTED"),"ACCEPTED","SEQUENCE HOLD"))))))</x:f>
        <x:v>SOURCE EMPTY</x:v>
      </x:c>
      <x:c r="T120" s="85" t="n">
        <x:f>IF(S120="ACCEPTED",H120*I120,0)</x:f>
        <x:v>0</x:v>
      </x:c>
      <x:c r="U120" s="75"/>
      <x:c r="V120" s="75"/>
      <x:c r="W120" s="75"/>
      <x:c r="X120" s="75"/>
      <x:c r="Y120" s="75"/>
      <x:c r="Z120" s="75"/>
    </x:row>
    <x:row r="121" ht="20" customHeight="1">
      <x:c r="A121" s="86" t="str">
        <x:v>MS-HC-B-CW-08</x:v>
      </x:c>
      <x:c r="B121" s="75" t="str">
        <x:v>MS-HC-B</x:v>
      </x:c>
      <x:c r="C121" s="75" t="str">
        <x:v>MS-HC</x:v>
      </x:c>
      <x:c r="D121" s="75" t="n">
        <x:v>8</x:v>
      </x:c>
      <x:c r="E121" s="75" t="str">
        <x:v>CW-08</x:v>
      </x:c>
      <x:c r="F121" s="86" t="str">
        <x:v>Operating Services</x:v>
      </x:c>
      <x:c r="G121" s="86" t="str">
        <x:v>Joint Capacity Authority</x:v>
      </x:c>
      <x:c r="H121" s="88" t="n">
        <x:v>0.12</x:v>
      </x:c>
      <x:c r="I121" s="85" t="n">
        <x:f>INDEX('Root Registry'!$G$6:$G$29,MATCH(B121,'Root Registry'!$A$6:$A$29,0))</x:f>
        <x:v>13.65</x:v>
      </x:c>
      <x:c r="J121" s="75" t="str">
        <x:f>INDEX('Root Registry'!$D$6:$D$29,MATCH(B121,'Root Registry'!$A$6:$A$29,0))</x:f>
      </x:c>
      <x:c r="K121" s="75" t="str">
        <x:f>INDEX('Root Registry'!$F$6:$F$29,MATCH(B121,'Root Registry'!$A$6:$A$29,0))</x:f>
      </x:c>
      <x:c r="L121" s="43" t="str"/>
      <x:c r="M121" s="43" t="str"/>
      <x:c r="N121" s="43" t="str"/>
      <x:c r="O121" s="43" t="str"/>
      <x:c r="P121" s="43" t="str"/>
      <x:c r="Q121" s="75" t="str">
        <x:f>S120</x:f>
        <x:v>SOURCE EMPTY</x:v>
      </x:c>
      <x:c r="R121" s="75" t="str">
        <x:f>IF(L121="","SOURCE EMPTY",IF(L121=J121,"ROOT COLLISION",IF(AND(M121&lt;&gt;"",M121=L121),"DUAL-KEY COLLISION","CLEAR")))</x:f>
        <x:v>SOURCE EMPTY</x:v>
      </x:c>
      <x:c r="S121" s="75" t="str">
        <x:f>IF(OR(J121="",L121="",M121="",N121="",O121=""),"SOURCE EMPTY",IF(AND(OR(D121=4,D121=5,D121=8),K121=""),"SOURCE EMPTY",IF(R121&lt;&gt;"CLEAR","COLLISION",IF(P121&lt;&gt;"","ROLLBACK",IF(O121&lt;&gt;"ACCEPT","HOLD",IF(OR(D121=1,Q121="ACCEPTED"),"ACCEPTED","SEQUENCE HOLD"))))))</x:f>
        <x:v>SOURCE EMPTY</x:v>
      </x:c>
      <x:c r="T121" s="85" t="n">
        <x:f>IF(S121="ACCEPTED",H121*I121,0)</x:f>
        <x:v>0</x:v>
      </x:c>
      <x:c r="U121" s="75"/>
      <x:c r="V121" s="75"/>
      <x:c r="W121" s="75"/>
      <x:c r="X121" s="75"/>
      <x:c r="Y121" s="75"/>
      <x:c r="Z121" s="75"/>
    </x:row>
    <x:row r="122" ht="20" customHeight="1">
      <x:c r="A122" s="86" t="str">
        <x:v>MS-HC-B-RW-09</x:v>
      </x:c>
      <x:c r="B122" s="75" t="str">
        <x:v>MS-HC-B</x:v>
      </x:c>
      <x:c r="C122" s="75" t="str">
        <x:v>MS-HC</x:v>
      </x:c>
      <x:c r="D122" s="75" t="n">
        <x:v>9</x:v>
      </x:c>
      <x:c r="E122" s="75" t="str">
        <x:v>RW-09</x:v>
      </x:c>
      <x:c r="F122" s="86" t="str">
        <x:v>Joint Capacity Authority</x:v>
      </x:c>
      <x:c r="G122" s="86" t="str">
        <x:v>Department Comptroller</x:v>
      </x:c>
      <x:c r="H122" s="88" t="n">
        <x:v>0.08</x:v>
      </x:c>
      <x:c r="I122" s="85" t="n">
        <x:f>INDEX('Root Registry'!$G$6:$G$29,MATCH(B122,'Root Registry'!$A$6:$A$29,0))</x:f>
        <x:v>13.65</x:v>
      </x:c>
      <x:c r="J122" s="75" t="str">
        <x:f>INDEX('Root Registry'!$D$6:$D$29,MATCH(B122,'Root Registry'!$A$6:$A$29,0))</x:f>
      </x:c>
      <x:c r="K122" s="75" t="str">
        <x:f>INDEX('Root Registry'!$F$6:$F$29,MATCH(B122,'Root Registry'!$A$6:$A$29,0))</x:f>
      </x:c>
      <x:c r="L122" s="43" t="str"/>
      <x:c r="M122" s="43" t="str"/>
      <x:c r="N122" s="43" t="str"/>
      <x:c r="O122" s="43" t="str"/>
      <x:c r="P122" s="43" t="str"/>
      <x:c r="Q122" s="75" t="str">
        <x:f>S121</x:f>
        <x:v>SOURCE EMPTY</x:v>
      </x:c>
      <x:c r="R122" s="75" t="str">
        <x:f>IF(L122="","SOURCE EMPTY",IF(L122=J122,"ROOT COLLISION",IF(AND(M122&lt;&gt;"",M122=L122),"DUAL-KEY COLLISION","CLEAR")))</x:f>
        <x:v>SOURCE EMPTY</x:v>
      </x:c>
      <x:c r="S122" s="75" t="str">
        <x:f>IF(OR(J122="",L122="",M122="",N122="",O122=""),"SOURCE EMPTY",IF(AND(OR(D122=4,D122=5,D122=8),K122=""),"SOURCE EMPTY",IF(R122&lt;&gt;"CLEAR","COLLISION",IF(P122&lt;&gt;"","ROLLBACK",IF(O122&lt;&gt;"ACCEPT","HOLD",IF(OR(D122=1,Q122="ACCEPTED"),"ACCEPTED","SEQUENCE HOLD"))))))</x:f>
        <x:v>SOURCE EMPTY</x:v>
      </x:c>
      <x:c r="T122" s="85" t="n">
        <x:f>IF(S122="ACCEPTED",H122*I122,0)</x:f>
        <x:v>0</x:v>
      </x:c>
      <x:c r="U122" s="75"/>
      <x:c r="V122" s="75"/>
      <x:c r="W122" s="75"/>
      <x:c r="X122" s="75"/>
      <x:c r="Y122" s="75"/>
      <x:c r="Z122" s="75"/>
    </x:row>
    <x:row r="123" ht="20" customHeight="1">
      <x:c r="A123" s="86" t="str">
        <x:v>MS-HC-B-OW-10</x:v>
      </x:c>
      <x:c r="B123" s="75" t="str">
        <x:v>MS-HC-B</x:v>
      </x:c>
      <x:c r="C123" s="75" t="str">
        <x:v>MS-HC</x:v>
      </x:c>
      <x:c r="D123" s="75" t="n">
        <x:v>10</x:v>
      </x:c>
      <x:c r="E123" s="75" t="str">
        <x:v>OW-10</x:v>
      </x:c>
      <x:c r="F123" s="86" t="str">
        <x:v>Operational Command</x:v>
      </x:c>
      <x:c r="G123" s="86" t="str">
        <x:v>Civil Resilience Authority</x:v>
      </x:c>
      <x:c r="H123" s="88" t="n">
        <x:v>0.05</x:v>
      </x:c>
      <x:c r="I123" s="85" t="n">
        <x:f>INDEX('Root Registry'!$G$6:$G$29,MATCH(B123,'Root Registry'!$A$6:$A$29,0))</x:f>
        <x:v>13.65</x:v>
      </x:c>
      <x:c r="J123" s="75" t="str">
        <x:f>INDEX('Root Registry'!$D$6:$D$29,MATCH(B123,'Root Registry'!$A$6:$A$29,0))</x:f>
      </x:c>
      <x:c r="K123" s="75" t="str">
        <x:f>INDEX('Root Registry'!$F$6:$F$29,MATCH(B123,'Root Registry'!$A$6:$A$29,0))</x:f>
      </x:c>
      <x:c r="L123" s="43" t="str"/>
      <x:c r="M123" s="43" t="str"/>
      <x:c r="N123" s="43" t="str"/>
      <x:c r="O123" s="43" t="str"/>
      <x:c r="P123" s="43" t="str"/>
      <x:c r="Q123" s="75" t="str">
        <x:f>S122</x:f>
        <x:v>SOURCE EMPTY</x:v>
      </x:c>
      <x:c r="R123" s="75" t="str">
        <x:f>IF(L123="","SOURCE EMPTY",IF(L123=J123,"ROOT COLLISION",IF(AND(M123&lt;&gt;"",M123=L123),"DUAL-KEY COLLISION","CLEAR")))</x:f>
        <x:v>SOURCE EMPTY</x:v>
      </x:c>
      <x:c r="S123" s="75" t="str">
        <x:f>IF(OR(J123="",L123="",M123="",N123="",O123=""),"SOURCE EMPTY",IF(AND(OR(D123=4,D123=5,D123=8),K123=""),"SOURCE EMPTY",IF(R123&lt;&gt;"CLEAR","COLLISION",IF(P123&lt;&gt;"","ROLLBACK",IF(O123&lt;&gt;"ACCEPT","HOLD",IF(OR(D123=1,Q123="ACCEPTED"),"ACCEPTED","SEQUENCE HOLD"))))))</x:f>
        <x:v>SOURCE EMPTY</x:v>
      </x:c>
      <x:c r="T123" s="85" t="n">
        <x:f>IF(S123="ACCEPTED",H123*I123,0)</x:f>
        <x:v>0</x:v>
      </x:c>
      <x:c r="U123" s="75"/>
      <x:c r="V123" s="75"/>
      <x:c r="W123" s="75"/>
      <x:c r="X123" s="75"/>
      <x:c r="Y123" s="75"/>
      <x:c r="Z123" s="75"/>
    </x:row>
    <x:row r="124" ht="20" customHeight="1">
      <x:c r="A124" s="86" t="str">
        <x:v>MS-HC-B-SW-11</x:v>
      </x:c>
      <x:c r="B124" s="75" t="str">
        <x:v>MS-HC-B</x:v>
      </x:c>
      <x:c r="C124" s="75" t="str">
        <x:v>MS-HC</x:v>
      </x:c>
      <x:c r="D124" s="75" t="n">
        <x:v>11</x:v>
      </x:c>
      <x:c r="E124" s="75" t="str">
        <x:v>SW-11</x:v>
      </x:c>
      <x:c r="F124" s="86" t="str">
        <x:v>Civil Resilience Authority</x:v>
      </x:c>
      <x:c r="G124" s="86" t="str">
        <x:v>Affected Civil Authority</x:v>
      </x:c>
      <x:c r="H124" s="88" t="n">
        <x:v>0.07</x:v>
      </x:c>
      <x:c r="I124" s="85" t="n">
        <x:f>INDEX('Root Registry'!$G$6:$G$29,MATCH(B124,'Root Registry'!$A$6:$A$29,0))</x:f>
        <x:v>13.65</x:v>
      </x:c>
      <x:c r="J124" s="75" t="str">
        <x:f>INDEX('Root Registry'!$D$6:$D$29,MATCH(B124,'Root Registry'!$A$6:$A$29,0))</x:f>
      </x:c>
      <x:c r="K124" s="75" t="str">
        <x:f>INDEX('Root Registry'!$F$6:$F$29,MATCH(B124,'Root Registry'!$A$6:$A$29,0))</x:f>
      </x:c>
      <x:c r="L124" s="43" t="str"/>
      <x:c r="M124" s="43" t="str"/>
      <x:c r="N124" s="43" t="str"/>
      <x:c r="O124" s="43" t="str"/>
      <x:c r="P124" s="43" t="str"/>
      <x:c r="Q124" s="75" t="str">
        <x:f>S123</x:f>
        <x:v>SOURCE EMPTY</x:v>
      </x:c>
      <x:c r="R124" s="75" t="str">
        <x:f>IF(L124="","SOURCE EMPTY",IF(L124=J124,"ROOT COLLISION",IF(AND(M124&lt;&gt;"",M124=L124),"DUAL-KEY COLLISION","CLEAR")))</x:f>
        <x:v>SOURCE EMPTY</x:v>
      </x:c>
      <x:c r="S124" s="75" t="str">
        <x:f>IF(OR(J124="",L124="",M124="",N124="",O124=""),"SOURCE EMPTY",IF(AND(OR(D124=4,D124=5,D124=8),K124=""),"SOURCE EMPTY",IF(R124&lt;&gt;"CLEAR","COLLISION",IF(P124&lt;&gt;"","ROLLBACK",IF(O124&lt;&gt;"ACCEPT","HOLD",IF(OR(D124=1,Q124="ACCEPTED"),"ACCEPTED","SEQUENCE HOLD"))))))</x:f>
        <x:v>SOURCE EMPTY</x:v>
      </x:c>
      <x:c r="T124" s="85" t="n">
        <x:f>IF(S124="ACCEPTED",H124*I124,0)</x:f>
        <x:v>0</x:v>
      </x:c>
      <x:c r="U124" s="75"/>
      <x:c r="V124" s="75"/>
      <x:c r="W124" s="75"/>
      <x:c r="X124" s="75"/>
      <x:c r="Y124" s="75"/>
      <x:c r="Z124" s="75"/>
    </x:row>
    <x:row r="125" ht="20" customHeight="1">
      <x:c r="A125" s="86" t="str">
        <x:v>MS-HC-B-GW-12</x:v>
      </x:c>
      <x:c r="B125" s="75" t="str">
        <x:v>MS-HC-B</x:v>
      </x:c>
      <x:c r="C125" s="75" t="str">
        <x:v>MS-HC</x:v>
      </x:c>
      <x:c r="D125" s="75" t="n">
        <x:v>12</x:v>
      </x:c>
      <x:c r="E125" s="75" t="str">
        <x:v>GW-12</x:v>
      </x:c>
      <x:c r="F125" s="86" t="str">
        <x:v>Strategic Sustainment Command</x:v>
      </x:c>
      <x:c r="G125" s="86" t="str">
        <x:v>Joint Capacity Authority</x:v>
      </x:c>
      <x:c r="H125" s="88" t="n">
        <x:v>0.05</x:v>
      </x:c>
      <x:c r="I125" s="85" t="n">
        <x:f>INDEX('Root Registry'!$G$6:$G$29,MATCH(B125,'Root Registry'!$A$6:$A$29,0))</x:f>
        <x:v>13.65</x:v>
      </x:c>
      <x:c r="J125" s="75" t="str">
        <x:f>INDEX('Root Registry'!$D$6:$D$29,MATCH(B125,'Root Registry'!$A$6:$A$29,0))</x:f>
      </x:c>
      <x:c r="K125" s="75" t="str">
        <x:f>INDEX('Root Registry'!$F$6:$F$29,MATCH(B125,'Root Registry'!$A$6:$A$29,0))</x:f>
      </x:c>
      <x:c r="L125" s="43" t="str"/>
      <x:c r="M125" s="43" t="str"/>
      <x:c r="N125" s="43" t="str"/>
      <x:c r="O125" s="43" t="str"/>
      <x:c r="P125" s="43" t="str"/>
      <x:c r="Q125" s="75" t="str">
        <x:f>S124</x:f>
        <x:v>SOURCE EMPTY</x:v>
      </x:c>
      <x:c r="R125" s="75" t="str">
        <x:f>IF(L125="","SOURCE EMPTY",IF(L125=J125,"ROOT COLLISION",IF(AND(M125&lt;&gt;"",M125=L125),"DUAL-KEY COLLISION","CLEAR")))</x:f>
        <x:v>SOURCE EMPTY</x:v>
      </x:c>
      <x:c r="S125" s="75" t="str">
        <x:f>IF(OR(J125="",L125="",M125="",N125="",O125=""),"SOURCE EMPTY",IF(AND(OR(D125=4,D125=5,D125=8),K125=""),"SOURCE EMPTY",IF(R125&lt;&gt;"CLEAR","COLLISION",IF(P125&lt;&gt;"","ROLLBACK",IF(O125&lt;&gt;"ACCEPT","HOLD",IF(OR(D125=1,Q125="ACCEPTED"),"ACCEPTED","SEQUENCE HOLD"))))))</x:f>
        <x:v>SOURCE EMPTY</x:v>
      </x:c>
      <x:c r="T125" s="85" t="n">
        <x:f>IF(S125="ACCEPTED",H125*I125,0)</x:f>
        <x:v>0</x:v>
      </x:c>
      <x:c r="U125" s="75"/>
      <x:c r="V125" s="75"/>
      <x:c r="W125" s="75"/>
      <x:c r="X125" s="75"/>
      <x:c r="Y125" s="75"/>
      <x:c r="Z125" s="75"/>
    </x:row>
    <x:row r="126" ht="20" customHeight="1">
      <x:c r="A126" s="86" t="str">
        <x:v>MS-HC-C-PW-01</x:v>
      </x:c>
      <x:c r="B126" s="75" t="str">
        <x:v>MS-HC-C</x:v>
      </x:c>
      <x:c r="C126" s="75" t="str">
        <x:v>MS-HC</x:v>
      </x:c>
      <x:c r="D126" s="75" t="n">
        <x:v>1</x:v>
      </x:c>
      <x:c r="E126" s="75" t="str">
        <x:v>PW-01</x:v>
      </x:c>
      <x:c r="F126" s="86" t="str">
        <x:v>Civil Resilience Authority</x:v>
      </x:c>
      <x:c r="G126" s="86" t="str">
        <x:v>Public Effect College</x:v>
      </x:c>
      <x:c r="H126" s="88" t="n">
        <x:v>0.01</x:v>
      </x:c>
      <x:c r="I126" s="85" t="n">
        <x:f>INDEX('Root Registry'!$G$6:$G$29,MATCH(B126,'Root Registry'!$A$6:$A$29,0))</x:f>
        <x:v>13.65</x:v>
      </x:c>
      <x:c r="J126" s="75" t="str">
        <x:f>INDEX('Root Registry'!$D$6:$D$29,MATCH(B126,'Root Registry'!$A$6:$A$29,0))</x:f>
      </x:c>
      <x:c r="K126" s="75" t="str">
        <x:f>INDEX('Root Registry'!$F$6:$F$29,MATCH(B126,'Root Registry'!$A$6:$A$29,0))</x:f>
      </x:c>
      <x:c r="L126" s="43" t="str"/>
      <x:c r="M126" s="43" t="str"/>
      <x:c r="N126" s="43" t="str"/>
      <x:c r="O126" s="43" t="str"/>
      <x:c r="P126" s="43" t="str"/>
      <x:c r="Q126" s="75" t="str">
        <x:f>"ORIGIN"</x:f>
        <x:v>ORIGIN</x:v>
      </x:c>
      <x:c r="R126" s="75" t="str">
        <x:f>IF(L126="","SOURCE EMPTY",IF(L126=J126,"ROOT COLLISION",IF(AND(M126&lt;&gt;"",M126=L126),"DUAL-KEY COLLISION","CLEAR")))</x:f>
        <x:v>SOURCE EMPTY</x:v>
      </x:c>
      <x:c r="S126" s="75" t="str">
        <x:f>IF(OR(J126="",L126="",M126="",N126="",O126=""),"SOURCE EMPTY",IF(AND(OR(D126=4,D126=5,D126=8),K126=""),"SOURCE EMPTY",IF(R126&lt;&gt;"CLEAR","COLLISION",IF(P126&lt;&gt;"","ROLLBACK",IF(O126&lt;&gt;"ACCEPT","HOLD",IF(OR(D126=1,Q126="ACCEPTED"),"ACCEPTED","SEQUENCE HOLD"))))))</x:f>
        <x:v>SOURCE EMPTY</x:v>
      </x:c>
      <x:c r="T126" s="85" t="n">
        <x:f>IF(S126="ACCEPTED",H126*I126,0)</x:f>
        <x:v>0</x:v>
      </x:c>
      <x:c r="U126" s="75"/>
      <x:c r="V126" s="75"/>
      <x:c r="W126" s="75"/>
      <x:c r="X126" s="75"/>
      <x:c r="Y126" s="75"/>
      <x:c r="Z126" s="75"/>
    </x:row>
    <x:row r="127" ht="20" customHeight="1">
      <x:c r="A127" s="86" t="str">
        <x:v>MS-HC-C-MW-02</x:v>
      </x:c>
      <x:c r="B127" s="75" t="str">
        <x:v>MS-HC-C</x:v>
      </x:c>
      <x:c r="C127" s="75" t="str">
        <x:v>MS-HC</x:v>
      </x:c>
      <x:c r="D127" s="75" t="n">
        <x:v>2</x:v>
      </x:c>
      <x:c r="E127" s="75" t="str">
        <x:v>MW-02</x:v>
      </x:c>
      <x:c r="F127" s="86" t="str">
        <x:v>Mission System Command</x:v>
      </x:c>
      <x:c r="G127" s="86" t="str">
        <x:v>Civil Resilience Authority</x:v>
      </x:c>
      <x:c r="H127" s="88" t="n">
        <x:v>0.02</x:v>
      </x:c>
      <x:c r="I127" s="85" t="n">
        <x:f>INDEX('Root Registry'!$G$6:$G$29,MATCH(B127,'Root Registry'!$A$6:$A$29,0))</x:f>
        <x:v>13.65</x:v>
      </x:c>
      <x:c r="J127" s="75" t="str">
        <x:f>INDEX('Root Registry'!$D$6:$D$29,MATCH(B127,'Root Registry'!$A$6:$A$29,0))</x:f>
      </x:c>
      <x:c r="K127" s="75" t="str">
        <x:f>INDEX('Root Registry'!$F$6:$F$29,MATCH(B127,'Root Registry'!$A$6:$A$29,0))</x:f>
      </x:c>
      <x:c r="L127" s="43" t="str"/>
      <x:c r="M127" s="43" t="str"/>
      <x:c r="N127" s="43" t="str"/>
      <x:c r="O127" s="43" t="str"/>
      <x:c r="P127" s="43" t="str"/>
      <x:c r="Q127" s="75" t="str">
        <x:f>S126</x:f>
        <x:v>SOURCE EMPTY</x:v>
      </x:c>
      <x:c r="R127" s="75" t="str">
        <x:f>IF(L127="","SOURCE EMPTY",IF(L127=J127,"ROOT COLLISION",IF(AND(M127&lt;&gt;"",M127=L127),"DUAL-KEY COLLISION","CLEAR")))</x:f>
        <x:v>SOURCE EMPTY</x:v>
      </x:c>
      <x:c r="S127" s="75" t="str">
        <x:f>IF(OR(J127="",L127="",M127="",N127="",O127=""),"SOURCE EMPTY",IF(AND(OR(D127=4,D127=5,D127=8),K127=""),"SOURCE EMPTY",IF(R127&lt;&gt;"CLEAR","COLLISION",IF(P127&lt;&gt;"","ROLLBACK",IF(O127&lt;&gt;"ACCEPT","HOLD",IF(OR(D127=1,Q127="ACCEPTED"),"ACCEPTED","SEQUENCE HOLD"))))))</x:f>
        <x:v>SOURCE EMPTY</x:v>
      </x:c>
      <x:c r="T127" s="85" t="n">
        <x:f>IF(S127="ACCEPTED",H127*I127,0)</x:f>
        <x:v>0</x:v>
      </x:c>
      <x:c r="U127" s="75"/>
      <x:c r="V127" s="75"/>
      <x:c r="W127" s="75"/>
      <x:c r="X127" s="75"/>
      <x:c r="Y127" s="75"/>
      <x:c r="Z127" s="75"/>
    </x:row>
    <x:row r="128" ht="20" customHeight="1">
      <x:c r="A128" s="86" t="str">
        <x:v>MS-HC-C-FW-03</x:v>
      </x:c>
      <x:c r="B128" s="75" t="str">
        <x:v>MS-HC-C</x:v>
      </x:c>
      <x:c r="C128" s="75" t="str">
        <x:v>MS-HC</x:v>
      </x:c>
      <x:c r="D128" s="75" t="n">
        <x:v>3</x:v>
      </x:c>
      <x:c r="E128" s="75" t="str">
        <x:v>FW-03</x:v>
      </x:c>
      <x:c r="F128" s="86" t="str">
        <x:v>Department Capital Board</x:v>
      </x:c>
      <x:c r="G128" s="86" t="str">
        <x:v>Failure Reserve Trustee</x:v>
      </x:c>
      <x:c r="H128" s="88" t="n">
        <x:v>0.05</x:v>
      </x:c>
      <x:c r="I128" s="85" t="n">
        <x:f>INDEX('Root Registry'!$G$6:$G$29,MATCH(B128,'Root Registry'!$A$6:$A$29,0))</x:f>
        <x:v>13.65</x:v>
      </x:c>
      <x:c r="J128" s="75" t="str">
        <x:f>INDEX('Root Registry'!$D$6:$D$29,MATCH(B128,'Root Registry'!$A$6:$A$29,0))</x:f>
      </x:c>
      <x:c r="K128" s="75" t="str">
        <x:f>INDEX('Root Registry'!$F$6:$F$29,MATCH(B128,'Root Registry'!$A$6:$A$29,0))</x:f>
      </x:c>
      <x:c r="L128" s="43" t="str"/>
      <x:c r="M128" s="43" t="str"/>
      <x:c r="N128" s="43" t="str"/>
      <x:c r="O128" s="43" t="str"/>
      <x:c r="P128" s="43" t="str"/>
      <x:c r="Q128" s="75" t="str">
        <x:f>S127</x:f>
        <x:v>SOURCE EMPTY</x:v>
      </x:c>
      <x:c r="R128" s="75" t="str">
        <x:f>IF(L128="","SOURCE EMPTY",IF(L128=J128,"ROOT COLLISION",IF(AND(M128&lt;&gt;"",M128=L128),"DUAL-KEY COLLISION","CLEAR")))</x:f>
        <x:v>SOURCE EMPTY</x:v>
      </x:c>
      <x:c r="S128" s="75" t="str">
        <x:f>IF(OR(J128="",L128="",M128="",N128="",O128=""),"SOURCE EMPTY",IF(AND(OR(D128=4,D128=5,D128=8),K128=""),"SOURCE EMPTY",IF(R128&lt;&gt;"CLEAR","COLLISION",IF(P128&lt;&gt;"","ROLLBACK",IF(O128&lt;&gt;"ACCEPT","HOLD",IF(OR(D128=1,Q128="ACCEPTED"),"ACCEPTED","SEQUENCE HOLD"))))))</x:f>
        <x:v>SOURCE EMPTY</x:v>
      </x:c>
      <x:c r="T128" s="85" t="n">
        <x:f>IF(S128="ACCEPTED",H128*I128,0)</x:f>
        <x:v>0</x:v>
      </x:c>
      <x:c r="U128" s="75"/>
      <x:c r="V128" s="75"/>
      <x:c r="W128" s="75"/>
      <x:c r="X128" s="75"/>
      <x:c r="Y128" s="75"/>
      <x:c r="Z128" s="75"/>
    </x:row>
    <x:row r="129" ht="20" customHeight="1">
      <x:c r="A129" s="86" t="str">
        <x:v>MS-HC-C-CW-04</x:v>
      </x:c>
      <x:c r="B129" s="75" t="str">
        <x:v>MS-HC-C</x:v>
      </x:c>
      <x:c r="C129" s="75" t="str">
        <x:v>MS-HC</x:v>
      </x:c>
      <x:c r="D129" s="75" t="n">
        <x:v>4</x:v>
      </x:c>
      <x:c r="E129" s="75" t="str">
        <x:v>CW-04</x:v>
      </x:c>
      <x:c r="F129" s="86" t="str">
        <x:v>Service Technical College</x:v>
      </x:c>
      <x:c r="G129" s="86" t="str">
        <x:v>Independent Root House</x:v>
      </x:c>
      <x:c r="H129" s="88" t="n">
        <x:v>0.12</x:v>
      </x:c>
      <x:c r="I129" s="85" t="n">
        <x:f>INDEX('Root Registry'!$G$6:$G$29,MATCH(B129,'Root Registry'!$A$6:$A$29,0))</x:f>
        <x:v>13.65</x:v>
      </x:c>
      <x:c r="J129" s="75" t="str">
        <x:f>INDEX('Root Registry'!$D$6:$D$29,MATCH(B129,'Root Registry'!$A$6:$A$29,0))</x:f>
      </x:c>
      <x:c r="K129" s="75" t="str">
        <x:f>INDEX('Root Registry'!$F$6:$F$29,MATCH(B129,'Root Registry'!$A$6:$A$29,0))</x:f>
      </x:c>
      <x:c r="L129" s="43" t="str"/>
      <x:c r="M129" s="43" t="str"/>
      <x:c r="N129" s="43" t="str"/>
      <x:c r="O129" s="43" t="str"/>
      <x:c r="P129" s="43" t="str"/>
      <x:c r="Q129" s="75" t="str">
        <x:f>S128</x:f>
        <x:v>SOURCE EMPTY</x:v>
      </x:c>
      <x:c r="R129" s="75" t="str">
        <x:f>IF(L129="","SOURCE EMPTY",IF(L129=J129,"ROOT COLLISION",IF(AND(M129&lt;&gt;"",M129=L129),"DUAL-KEY COLLISION","CLEAR")))</x:f>
        <x:v>SOURCE EMPTY</x:v>
      </x:c>
      <x:c r="S129" s="75" t="str">
        <x:f>IF(OR(J129="",L129="",M129="",N129="",O129=""),"SOURCE EMPTY",IF(AND(OR(D129=4,D129=5,D129=8),K129=""),"SOURCE EMPTY",IF(R129&lt;&gt;"CLEAR","COLLISION",IF(P129&lt;&gt;"","ROLLBACK",IF(O129&lt;&gt;"ACCEPT","HOLD",IF(OR(D129=1,Q129="ACCEPTED"),"ACCEPTED","SEQUENCE HOLD"))))))</x:f>
        <x:v>SOURCE EMPTY</x:v>
      </x:c>
      <x:c r="T129" s="85" t="n">
        <x:f>IF(S129="ACCEPTED",H129*I129,0)</x:f>
        <x:v>0</x:v>
      </x:c>
      <x:c r="U129" s="75"/>
      <x:c r="V129" s="75"/>
      <x:c r="W129" s="75"/>
      <x:c r="X129" s="75"/>
      <x:c r="Y129" s="75"/>
      <x:c r="Z129" s="75"/>
    </x:row>
    <x:row r="130" ht="20" customHeight="1">
      <x:c r="A130" s="86" t="str">
        <x:v>MS-HC-C-TW-05</x:v>
      </x:c>
      <x:c r="B130" s="75" t="str">
        <x:v>MS-HC-C</x:v>
      </x:c>
      <x:c r="C130" s="75" t="str">
        <x:v>MS-HC</x:v>
      </x:c>
      <x:c r="D130" s="75" t="n">
        <x:v>5</x:v>
      </x:c>
      <x:c r="E130" s="75" t="str">
        <x:v>TW-05</x:v>
      </x:c>
      <x:c r="F130" s="86" t="str">
        <x:v>Service Technical College</x:v>
      </x:c>
      <x:c r="G130" s="86" t="str">
        <x:v>Public Protection Inspectorate</x:v>
      </x:c>
      <x:c r="H130" s="88" t="n">
        <x:v>0.08</x:v>
      </x:c>
      <x:c r="I130" s="85" t="n">
        <x:f>INDEX('Root Registry'!$G$6:$G$29,MATCH(B130,'Root Registry'!$A$6:$A$29,0))</x:f>
        <x:v>13.65</x:v>
      </x:c>
      <x:c r="J130" s="75" t="str">
        <x:f>INDEX('Root Registry'!$D$6:$D$29,MATCH(B130,'Root Registry'!$A$6:$A$29,0))</x:f>
      </x:c>
      <x:c r="K130" s="75" t="str">
        <x:f>INDEX('Root Registry'!$F$6:$F$29,MATCH(B130,'Root Registry'!$A$6:$A$29,0))</x:f>
      </x:c>
      <x:c r="L130" s="43" t="str"/>
      <x:c r="M130" s="43" t="str"/>
      <x:c r="N130" s="43" t="str"/>
      <x:c r="O130" s="43" t="str"/>
      <x:c r="P130" s="43" t="str"/>
      <x:c r="Q130" s="75" t="str">
        <x:f>S129</x:f>
        <x:v>SOURCE EMPTY</x:v>
      </x:c>
      <x:c r="R130" s="75" t="str">
        <x:f>IF(L130="","SOURCE EMPTY",IF(L130=J130,"ROOT COLLISION",IF(AND(M130&lt;&gt;"",M130=L130),"DUAL-KEY COLLISION","CLEAR")))</x:f>
        <x:v>SOURCE EMPTY</x:v>
      </x:c>
      <x:c r="S130" s="75" t="str">
        <x:f>IF(OR(J130="",L130="",M130="",N130="",O130=""),"SOURCE EMPTY",IF(AND(OR(D130=4,D130=5,D130=8),K130=""),"SOURCE EMPTY",IF(R130&lt;&gt;"CLEAR","COLLISION",IF(P130&lt;&gt;"","ROLLBACK",IF(O130&lt;&gt;"ACCEPT","HOLD",IF(OR(D130=1,Q130="ACCEPTED"),"ACCEPTED","SEQUENCE HOLD"))))))</x:f>
        <x:v>SOURCE EMPTY</x:v>
      </x:c>
      <x:c r="T130" s="85" t="n">
        <x:f>IF(S130="ACCEPTED",H130*I130,0)</x:f>
        <x:v>0</x:v>
      </x:c>
      <x:c r="U130" s="75"/>
      <x:c r="V130" s="75"/>
      <x:c r="W130" s="75"/>
      <x:c r="X130" s="75"/>
      <x:c r="Y130" s="75"/>
      <x:c r="Z130" s="75"/>
    </x:row>
    <x:row r="131" ht="20" customHeight="1">
      <x:c r="A131" s="86" t="str">
        <x:v>MS-HC-C-EW-06</x:v>
      </x:c>
      <x:c r="B131" s="75" t="str">
        <x:v>MS-HC-C</x:v>
      </x:c>
      <x:c r="C131" s="75" t="str">
        <x:v>MS-HC</x:v>
      </x:c>
      <x:c r="D131" s="75" t="n">
        <x:v>6</x:v>
      </x:c>
      <x:c r="E131" s="75" t="str">
        <x:v>EW-06</x:v>
      </x:c>
      <x:c r="F131" s="86" t="str">
        <x:v>Resilience Proving Service</x:v>
      </x:c>
      <x:c r="G131" s="86" t="str">
        <x:v>Public Effect College</x:v>
      </x:c>
      <x:c r="H131" s="88" t="n">
        <x:v>0.2</x:v>
      </x:c>
      <x:c r="I131" s="85" t="n">
        <x:f>INDEX('Root Registry'!$G$6:$G$29,MATCH(B131,'Root Registry'!$A$6:$A$29,0))</x:f>
        <x:v>13.65</x:v>
      </x:c>
      <x:c r="J131" s="75" t="str">
        <x:f>INDEX('Root Registry'!$D$6:$D$29,MATCH(B131,'Root Registry'!$A$6:$A$29,0))</x:f>
      </x:c>
      <x:c r="K131" s="75" t="str">
        <x:f>INDEX('Root Registry'!$F$6:$F$29,MATCH(B131,'Root Registry'!$A$6:$A$29,0))</x:f>
      </x:c>
      <x:c r="L131" s="43" t="str"/>
      <x:c r="M131" s="43" t="str"/>
      <x:c r="N131" s="43" t="str"/>
      <x:c r="O131" s="43" t="str"/>
      <x:c r="P131" s="43" t="str"/>
      <x:c r="Q131" s="75" t="str">
        <x:f>S130</x:f>
        <x:v>SOURCE EMPTY</x:v>
      </x:c>
      <x:c r="R131" s="75" t="str">
        <x:f>IF(L131="","SOURCE EMPTY",IF(L131=J131,"ROOT COLLISION",IF(AND(M131&lt;&gt;"",M131=L131),"DUAL-KEY COLLISION","CLEAR")))</x:f>
        <x:v>SOURCE EMPTY</x:v>
      </x:c>
      <x:c r="S131" s="75" t="str">
        <x:f>IF(OR(J131="",L131="",M131="",N131="",O131=""),"SOURCE EMPTY",IF(AND(OR(D131=4,D131=5,D131=8),K131=""),"SOURCE EMPTY",IF(R131&lt;&gt;"CLEAR","COLLISION",IF(P131&lt;&gt;"","ROLLBACK",IF(O131&lt;&gt;"ACCEPT","HOLD",IF(OR(D131=1,Q131="ACCEPTED"),"ACCEPTED","SEQUENCE HOLD"))))))</x:f>
        <x:v>SOURCE EMPTY</x:v>
      </x:c>
      <x:c r="T131" s="85" t="n">
        <x:f>IF(S131="ACCEPTED",H131*I131,0)</x:f>
        <x:v>0</x:v>
      </x:c>
      <x:c r="U131" s="75"/>
      <x:c r="V131" s="75"/>
      <x:c r="W131" s="75"/>
      <x:c r="X131" s="75"/>
      <x:c r="Y131" s="75"/>
      <x:c r="Z131" s="75"/>
    </x:row>
    <x:row r="132" ht="20" customHeight="1">
      <x:c r="A132" s="86" t="str">
        <x:v>MS-HC-C-IW-07</x:v>
      </x:c>
      <x:c r="B132" s="75" t="str">
        <x:v>MS-HC-C</x:v>
      </x:c>
      <x:c r="C132" s="75" t="str">
        <x:v>MS-HC</x:v>
      </x:c>
      <x:c r="D132" s="75" t="n">
        <x:v>7</x:v>
      </x:c>
      <x:c r="E132" s="75" t="str">
        <x:v>IW-07</x:v>
      </x:c>
      <x:c r="F132" s="86" t="str">
        <x:v>Industrial Mobilization Administration</x:v>
      </x:c>
      <x:c r="G132" s="86" t="str">
        <x:v>Reconstruction Command</x:v>
      </x:c>
      <x:c r="H132" s="88" t="n">
        <x:v>0.15</x:v>
      </x:c>
      <x:c r="I132" s="85" t="n">
        <x:f>INDEX('Root Registry'!$G$6:$G$29,MATCH(B132,'Root Registry'!$A$6:$A$29,0))</x:f>
        <x:v>13.65</x:v>
      </x:c>
      <x:c r="J132" s="75" t="str">
        <x:f>INDEX('Root Registry'!$D$6:$D$29,MATCH(B132,'Root Registry'!$A$6:$A$29,0))</x:f>
      </x:c>
      <x:c r="K132" s="75" t="str">
        <x:f>INDEX('Root Registry'!$F$6:$F$29,MATCH(B132,'Root Registry'!$A$6:$A$29,0))</x:f>
      </x:c>
      <x:c r="L132" s="43" t="str"/>
      <x:c r="M132" s="43" t="str"/>
      <x:c r="N132" s="43" t="str"/>
      <x:c r="O132" s="43" t="str"/>
      <x:c r="P132" s="43" t="str"/>
      <x:c r="Q132" s="75" t="str">
        <x:f>S131</x:f>
        <x:v>SOURCE EMPTY</x:v>
      </x:c>
      <x:c r="R132" s="75" t="str">
        <x:f>IF(L132="","SOURCE EMPTY",IF(L132=J132,"ROOT COLLISION",IF(AND(M132&lt;&gt;"",M132=L132),"DUAL-KEY COLLISION","CLEAR")))</x:f>
        <x:v>SOURCE EMPTY</x:v>
      </x:c>
      <x:c r="S132" s="75" t="str">
        <x:f>IF(OR(J132="",L132="",M132="",N132="",O132=""),"SOURCE EMPTY",IF(AND(OR(D132=4,D132=5,D132=8),K132=""),"SOURCE EMPTY",IF(R132&lt;&gt;"CLEAR","COLLISION",IF(P132&lt;&gt;"","ROLLBACK",IF(O132&lt;&gt;"ACCEPT","HOLD",IF(OR(D132=1,Q132="ACCEPTED"),"ACCEPTED","SEQUENCE HOLD"))))))</x:f>
        <x:v>SOURCE EMPTY</x:v>
      </x:c>
      <x:c r="T132" s="85" t="n">
        <x:f>IF(S132="ACCEPTED",H132*I132,0)</x:f>
        <x:v>0</x:v>
      </x:c>
      <x:c r="U132" s="75"/>
      <x:c r="V132" s="75"/>
      <x:c r="W132" s="75"/>
      <x:c r="X132" s="75"/>
      <x:c r="Y132" s="75"/>
      <x:c r="Z132" s="75"/>
    </x:row>
    <x:row r="133" ht="20" customHeight="1">
      <x:c r="A133" s="86" t="str">
        <x:v>MS-HC-C-CW-08</x:v>
      </x:c>
      <x:c r="B133" s="75" t="str">
        <x:v>MS-HC-C</x:v>
      </x:c>
      <x:c r="C133" s="75" t="str">
        <x:v>MS-HC</x:v>
      </x:c>
      <x:c r="D133" s="75" t="n">
        <x:v>8</x:v>
      </x:c>
      <x:c r="E133" s="75" t="str">
        <x:v>CW-08</x:v>
      </x:c>
      <x:c r="F133" s="86" t="str">
        <x:v>Operating Services</x:v>
      </x:c>
      <x:c r="G133" s="86" t="str">
        <x:v>Joint Capacity Authority</x:v>
      </x:c>
      <x:c r="H133" s="88" t="n">
        <x:v>0.12</x:v>
      </x:c>
      <x:c r="I133" s="85" t="n">
        <x:f>INDEX('Root Registry'!$G$6:$G$29,MATCH(B133,'Root Registry'!$A$6:$A$29,0))</x:f>
        <x:v>13.65</x:v>
      </x:c>
      <x:c r="J133" s="75" t="str">
        <x:f>INDEX('Root Registry'!$D$6:$D$29,MATCH(B133,'Root Registry'!$A$6:$A$29,0))</x:f>
      </x:c>
      <x:c r="K133" s="75" t="str">
        <x:f>INDEX('Root Registry'!$F$6:$F$29,MATCH(B133,'Root Registry'!$A$6:$A$29,0))</x:f>
      </x:c>
      <x:c r="L133" s="43" t="str"/>
      <x:c r="M133" s="43" t="str"/>
      <x:c r="N133" s="43" t="str"/>
      <x:c r="O133" s="43" t="str"/>
      <x:c r="P133" s="43" t="str"/>
      <x:c r="Q133" s="75" t="str">
        <x:f>S132</x:f>
        <x:v>SOURCE EMPTY</x:v>
      </x:c>
      <x:c r="R133" s="75" t="str">
        <x:f>IF(L133="","SOURCE EMPTY",IF(L133=J133,"ROOT COLLISION",IF(AND(M133&lt;&gt;"",M133=L133),"DUAL-KEY COLLISION","CLEAR")))</x:f>
        <x:v>SOURCE EMPTY</x:v>
      </x:c>
      <x:c r="S133" s="75" t="str">
        <x:f>IF(OR(J133="",L133="",M133="",N133="",O133=""),"SOURCE EMPTY",IF(AND(OR(D133=4,D133=5,D133=8),K133=""),"SOURCE EMPTY",IF(R133&lt;&gt;"CLEAR","COLLISION",IF(P133&lt;&gt;"","ROLLBACK",IF(O133&lt;&gt;"ACCEPT","HOLD",IF(OR(D133=1,Q133="ACCEPTED"),"ACCEPTED","SEQUENCE HOLD"))))))</x:f>
        <x:v>SOURCE EMPTY</x:v>
      </x:c>
      <x:c r="T133" s="85" t="n">
        <x:f>IF(S133="ACCEPTED",H133*I133,0)</x:f>
        <x:v>0</x:v>
      </x:c>
      <x:c r="U133" s="75"/>
      <x:c r="V133" s="75"/>
      <x:c r="W133" s="75"/>
      <x:c r="X133" s="75"/>
      <x:c r="Y133" s="75"/>
      <x:c r="Z133" s="75"/>
    </x:row>
    <x:row r="134" ht="20" customHeight="1">
      <x:c r="A134" s="86" t="str">
        <x:v>MS-HC-C-RW-09</x:v>
      </x:c>
      <x:c r="B134" s="75" t="str">
        <x:v>MS-HC-C</x:v>
      </x:c>
      <x:c r="C134" s="75" t="str">
        <x:v>MS-HC</x:v>
      </x:c>
      <x:c r="D134" s="75" t="n">
        <x:v>9</x:v>
      </x:c>
      <x:c r="E134" s="75" t="str">
        <x:v>RW-09</x:v>
      </x:c>
      <x:c r="F134" s="86" t="str">
        <x:v>Joint Capacity Authority</x:v>
      </x:c>
      <x:c r="G134" s="86" t="str">
        <x:v>Department Comptroller</x:v>
      </x:c>
      <x:c r="H134" s="88" t="n">
        <x:v>0.08</x:v>
      </x:c>
      <x:c r="I134" s="85" t="n">
        <x:f>INDEX('Root Registry'!$G$6:$G$29,MATCH(B134,'Root Registry'!$A$6:$A$29,0))</x:f>
        <x:v>13.65</x:v>
      </x:c>
      <x:c r="J134" s="75" t="str">
        <x:f>INDEX('Root Registry'!$D$6:$D$29,MATCH(B134,'Root Registry'!$A$6:$A$29,0))</x:f>
      </x:c>
      <x:c r="K134" s="75" t="str">
        <x:f>INDEX('Root Registry'!$F$6:$F$29,MATCH(B134,'Root Registry'!$A$6:$A$29,0))</x:f>
      </x:c>
      <x:c r="L134" s="43" t="str"/>
      <x:c r="M134" s="43" t="str"/>
      <x:c r="N134" s="43" t="str"/>
      <x:c r="O134" s="43" t="str"/>
      <x:c r="P134" s="43" t="str"/>
      <x:c r="Q134" s="75" t="str">
        <x:f>S133</x:f>
        <x:v>SOURCE EMPTY</x:v>
      </x:c>
      <x:c r="R134" s="75" t="str">
        <x:f>IF(L134="","SOURCE EMPTY",IF(L134=J134,"ROOT COLLISION",IF(AND(M134&lt;&gt;"",M134=L134),"DUAL-KEY COLLISION","CLEAR")))</x:f>
        <x:v>SOURCE EMPTY</x:v>
      </x:c>
      <x:c r="S134" s="75" t="str">
        <x:f>IF(OR(J134="",L134="",M134="",N134="",O134=""),"SOURCE EMPTY",IF(AND(OR(D134=4,D134=5,D134=8),K134=""),"SOURCE EMPTY",IF(R134&lt;&gt;"CLEAR","COLLISION",IF(P134&lt;&gt;"","ROLLBACK",IF(O134&lt;&gt;"ACCEPT","HOLD",IF(OR(D134=1,Q134="ACCEPTED"),"ACCEPTED","SEQUENCE HOLD"))))))</x:f>
        <x:v>SOURCE EMPTY</x:v>
      </x:c>
      <x:c r="T134" s="85" t="n">
        <x:f>IF(S134="ACCEPTED",H134*I134,0)</x:f>
        <x:v>0</x:v>
      </x:c>
      <x:c r="U134" s="75"/>
      <x:c r="V134" s="75"/>
      <x:c r="W134" s="75"/>
      <x:c r="X134" s="75"/>
      <x:c r="Y134" s="75"/>
      <x:c r="Z134" s="75"/>
    </x:row>
    <x:row r="135" ht="20" customHeight="1">
      <x:c r="A135" s="86" t="str">
        <x:v>MS-HC-C-OW-10</x:v>
      </x:c>
      <x:c r="B135" s="75" t="str">
        <x:v>MS-HC-C</x:v>
      </x:c>
      <x:c r="C135" s="75" t="str">
        <x:v>MS-HC</x:v>
      </x:c>
      <x:c r="D135" s="75" t="n">
        <x:v>10</x:v>
      </x:c>
      <x:c r="E135" s="75" t="str">
        <x:v>OW-10</x:v>
      </x:c>
      <x:c r="F135" s="86" t="str">
        <x:v>Operational Command</x:v>
      </x:c>
      <x:c r="G135" s="86" t="str">
        <x:v>Civil Resilience Authority</x:v>
      </x:c>
      <x:c r="H135" s="88" t="n">
        <x:v>0.05</x:v>
      </x:c>
      <x:c r="I135" s="85" t="n">
        <x:f>INDEX('Root Registry'!$G$6:$G$29,MATCH(B135,'Root Registry'!$A$6:$A$29,0))</x:f>
        <x:v>13.65</x:v>
      </x:c>
      <x:c r="J135" s="75" t="str">
        <x:f>INDEX('Root Registry'!$D$6:$D$29,MATCH(B135,'Root Registry'!$A$6:$A$29,0))</x:f>
      </x:c>
      <x:c r="K135" s="75" t="str">
        <x:f>INDEX('Root Registry'!$F$6:$F$29,MATCH(B135,'Root Registry'!$A$6:$A$29,0))</x:f>
      </x:c>
      <x:c r="L135" s="43" t="str"/>
      <x:c r="M135" s="43" t="str"/>
      <x:c r="N135" s="43" t="str"/>
      <x:c r="O135" s="43" t="str"/>
      <x:c r="P135" s="43" t="str"/>
      <x:c r="Q135" s="75" t="str">
        <x:f>S134</x:f>
        <x:v>SOURCE EMPTY</x:v>
      </x:c>
      <x:c r="R135" s="75" t="str">
        <x:f>IF(L135="","SOURCE EMPTY",IF(L135=J135,"ROOT COLLISION",IF(AND(M135&lt;&gt;"",M135=L135),"DUAL-KEY COLLISION","CLEAR")))</x:f>
        <x:v>SOURCE EMPTY</x:v>
      </x:c>
      <x:c r="S135" s="75" t="str">
        <x:f>IF(OR(J135="",L135="",M135="",N135="",O135=""),"SOURCE EMPTY",IF(AND(OR(D135=4,D135=5,D135=8),K135=""),"SOURCE EMPTY",IF(R135&lt;&gt;"CLEAR","COLLISION",IF(P135&lt;&gt;"","ROLLBACK",IF(O135&lt;&gt;"ACCEPT","HOLD",IF(OR(D135=1,Q135="ACCEPTED"),"ACCEPTED","SEQUENCE HOLD"))))))</x:f>
        <x:v>SOURCE EMPTY</x:v>
      </x:c>
      <x:c r="T135" s="85" t="n">
        <x:f>IF(S135="ACCEPTED",H135*I135,0)</x:f>
        <x:v>0</x:v>
      </x:c>
      <x:c r="U135" s="75"/>
      <x:c r="V135" s="75"/>
      <x:c r="W135" s="75"/>
      <x:c r="X135" s="75"/>
      <x:c r="Y135" s="75"/>
      <x:c r="Z135" s="75"/>
    </x:row>
    <x:row r="136" ht="20" customHeight="1">
      <x:c r="A136" s="86" t="str">
        <x:v>MS-HC-C-SW-11</x:v>
      </x:c>
      <x:c r="B136" s="75" t="str">
        <x:v>MS-HC-C</x:v>
      </x:c>
      <x:c r="C136" s="75" t="str">
        <x:v>MS-HC</x:v>
      </x:c>
      <x:c r="D136" s="75" t="n">
        <x:v>11</x:v>
      </x:c>
      <x:c r="E136" s="75" t="str">
        <x:v>SW-11</x:v>
      </x:c>
      <x:c r="F136" s="86" t="str">
        <x:v>Civil Resilience Authority</x:v>
      </x:c>
      <x:c r="G136" s="86" t="str">
        <x:v>Affected Civil Authority</x:v>
      </x:c>
      <x:c r="H136" s="88" t="n">
        <x:v>0.07</x:v>
      </x:c>
      <x:c r="I136" s="85" t="n">
        <x:f>INDEX('Root Registry'!$G$6:$G$29,MATCH(B136,'Root Registry'!$A$6:$A$29,0))</x:f>
        <x:v>13.65</x:v>
      </x:c>
      <x:c r="J136" s="75" t="str">
        <x:f>INDEX('Root Registry'!$D$6:$D$29,MATCH(B136,'Root Registry'!$A$6:$A$29,0))</x:f>
      </x:c>
      <x:c r="K136" s="75" t="str">
        <x:f>INDEX('Root Registry'!$F$6:$F$29,MATCH(B136,'Root Registry'!$A$6:$A$29,0))</x:f>
      </x:c>
      <x:c r="L136" s="43" t="str"/>
      <x:c r="M136" s="43" t="str"/>
      <x:c r="N136" s="43" t="str"/>
      <x:c r="O136" s="43" t="str"/>
      <x:c r="P136" s="43" t="str"/>
      <x:c r="Q136" s="75" t="str">
        <x:f>S135</x:f>
        <x:v>SOURCE EMPTY</x:v>
      </x:c>
      <x:c r="R136" s="75" t="str">
        <x:f>IF(L136="","SOURCE EMPTY",IF(L136=J136,"ROOT COLLISION",IF(AND(M136&lt;&gt;"",M136=L136),"DUAL-KEY COLLISION","CLEAR")))</x:f>
        <x:v>SOURCE EMPTY</x:v>
      </x:c>
      <x:c r="S136" s="75" t="str">
        <x:f>IF(OR(J136="",L136="",M136="",N136="",O136=""),"SOURCE EMPTY",IF(AND(OR(D136=4,D136=5,D136=8),K136=""),"SOURCE EMPTY",IF(R136&lt;&gt;"CLEAR","COLLISION",IF(P136&lt;&gt;"","ROLLBACK",IF(O136&lt;&gt;"ACCEPT","HOLD",IF(OR(D136=1,Q136="ACCEPTED"),"ACCEPTED","SEQUENCE HOLD"))))))</x:f>
        <x:v>SOURCE EMPTY</x:v>
      </x:c>
      <x:c r="T136" s="85" t="n">
        <x:f>IF(S136="ACCEPTED",H136*I136,0)</x:f>
        <x:v>0</x:v>
      </x:c>
      <x:c r="U136" s="75"/>
      <x:c r="V136" s="75"/>
      <x:c r="W136" s="75"/>
      <x:c r="X136" s="75"/>
      <x:c r="Y136" s="75"/>
      <x:c r="Z136" s="75"/>
    </x:row>
    <x:row r="137" ht="20" customHeight="1">
      <x:c r="A137" s="86" t="str">
        <x:v>MS-HC-C-GW-12</x:v>
      </x:c>
      <x:c r="B137" s="75" t="str">
        <x:v>MS-HC-C</x:v>
      </x:c>
      <x:c r="C137" s="75" t="str">
        <x:v>MS-HC</x:v>
      </x:c>
      <x:c r="D137" s="75" t="n">
        <x:v>12</x:v>
      </x:c>
      <x:c r="E137" s="75" t="str">
        <x:v>GW-12</x:v>
      </x:c>
      <x:c r="F137" s="86" t="str">
        <x:v>Strategic Sustainment Command</x:v>
      </x:c>
      <x:c r="G137" s="86" t="str">
        <x:v>Joint Capacity Authority</x:v>
      </x:c>
      <x:c r="H137" s="88" t="n">
        <x:v>0.05</x:v>
      </x:c>
      <x:c r="I137" s="85" t="n">
        <x:f>INDEX('Root Registry'!$G$6:$G$29,MATCH(B137,'Root Registry'!$A$6:$A$29,0))</x:f>
        <x:v>13.65</x:v>
      </x:c>
      <x:c r="J137" s="75" t="str">
        <x:f>INDEX('Root Registry'!$D$6:$D$29,MATCH(B137,'Root Registry'!$A$6:$A$29,0))</x:f>
      </x:c>
      <x:c r="K137" s="75" t="str">
        <x:f>INDEX('Root Registry'!$F$6:$F$29,MATCH(B137,'Root Registry'!$A$6:$A$29,0))</x:f>
      </x:c>
      <x:c r="L137" s="43" t="str"/>
      <x:c r="M137" s="43" t="str"/>
      <x:c r="N137" s="43" t="str"/>
      <x:c r="O137" s="43" t="str"/>
      <x:c r="P137" s="43" t="str"/>
      <x:c r="Q137" s="75" t="str">
        <x:f>S136</x:f>
        <x:v>SOURCE EMPTY</x:v>
      </x:c>
      <x:c r="R137" s="75" t="str">
        <x:f>IF(L137="","SOURCE EMPTY",IF(L137=J137,"ROOT COLLISION",IF(AND(M137&lt;&gt;"",M137=L137),"DUAL-KEY COLLISION","CLEAR")))</x:f>
        <x:v>SOURCE EMPTY</x:v>
      </x:c>
      <x:c r="S137" s="75" t="str">
        <x:f>IF(OR(J137="",L137="",M137="",N137="",O137=""),"SOURCE EMPTY",IF(AND(OR(D137=4,D137=5,D137=8),K137=""),"SOURCE EMPTY",IF(R137&lt;&gt;"CLEAR","COLLISION",IF(P137&lt;&gt;"","ROLLBACK",IF(O137&lt;&gt;"ACCEPT","HOLD",IF(OR(D137=1,Q137="ACCEPTED"),"ACCEPTED","SEQUENCE HOLD"))))))</x:f>
        <x:v>SOURCE EMPTY</x:v>
      </x:c>
      <x:c r="T137" s="85" t="n">
        <x:f>IF(S137="ACCEPTED",H137*I137,0)</x:f>
        <x:v>0</x:v>
      </x:c>
      <x:c r="U137" s="75"/>
      <x:c r="V137" s="75"/>
      <x:c r="W137" s="75"/>
      <x:c r="X137" s="75"/>
      <x:c r="Y137" s="75"/>
      <x:c r="Z137" s="75"/>
    </x:row>
    <x:row r="138" ht="20" customHeight="1">
      <x:c r="A138" s="86" t="str">
        <x:v>MS-HC-D-PW-01</x:v>
      </x:c>
      <x:c r="B138" s="75" t="str">
        <x:v>MS-HC-D</x:v>
      </x:c>
      <x:c r="C138" s="75" t="str">
        <x:v>MS-HC</x:v>
      </x:c>
      <x:c r="D138" s="75" t="n">
        <x:v>1</x:v>
      </x:c>
      <x:c r="E138" s="75" t="str">
        <x:v>PW-01</x:v>
      </x:c>
      <x:c r="F138" s="86" t="str">
        <x:v>Civil Resilience Authority</x:v>
      </x:c>
      <x:c r="G138" s="86" t="str">
        <x:v>Public Effect College</x:v>
      </x:c>
      <x:c r="H138" s="88" t="n">
        <x:v>0.01</x:v>
      </x:c>
      <x:c r="I138" s="85" t="n">
        <x:f>INDEX('Root Registry'!$G$6:$G$29,MATCH(B138,'Root Registry'!$A$6:$A$29,0))</x:f>
        <x:v>13.65</x:v>
      </x:c>
      <x:c r="J138" s="75" t="str">
        <x:f>INDEX('Root Registry'!$D$6:$D$29,MATCH(B138,'Root Registry'!$A$6:$A$29,0))</x:f>
      </x:c>
      <x:c r="K138" s="75" t="str">
        <x:f>INDEX('Root Registry'!$F$6:$F$29,MATCH(B138,'Root Registry'!$A$6:$A$29,0))</x:f>
      </x:c>
      <x:c r="L138" s="43" t="str"/>
      <x:c r="M138" s="43" t="str"/>
      <x:c r="N138" s="43" t="str"/>
      <x:c r="O138" s="43" t="str"/>
      <x:c r="P138" s="43" t="str"/>
      <x:c r="Q138" s="75" t="str">
        <x:f>"ORIGIN"</x:f>
        <x:v>ORIGIN</x:v>
      </x:c>
      <x:c r="R138" s="75" t="str">
        <x:f>IF(L138="","SOURCE EMPTY",IF(L138=J138,"ROOT COLLISION",IF(AND(M138&lt;&gt;"",M138=L138),"DUAL-KEY COLLISION","CLEAR")))</x:f>
        <x:v>SOURCE EMPTY</x:v>
      </x:c>
      <x:c r="S138" s="75" t="str">
        <x:f>IF(OR(J138="",L138="",M138="",N138="",O138=""),"SOURCE EMPTY",IF(AND(OR(D138=4,D138=5,D138=8),K138=""),"SOURCE EMPTY",IF(R138&lt;&gt;"CLEAR","COLLISION",IF(P138&lt;&gt;"","ROLLBACK",IF(O138&lt;&gt;"ACCEPT","HOLD",IF(OR(D138=1,Q138="ACCEPTED"),"ACCEPTED","SEQUENCE HOLD"))))))</x:f>
        <x:v>SOURCE EMPTY</x:v>
      </x:c>
      <x:c r="T138" s="85" t="n">
        <x:f>IF(S138="ACCEPTED",H138*I138,0)</x:f>
        <x:v>0</x:v>
      </x:c>
      <x:c r="U138" s="75"/>
      <x:c r="V138" s="75"/>
      <x:c r="W138" s="75"/>
      <x:c r="X138" s="75"/>
      <x:c r="Y138" s="75"/>
      <x:c r="Z138" s="75"/>
    </x:row>
    <x:row r="139" ht="20" customHeight="1">
      <x:c r="A139" s="86" t="str">
        <x:v>MS-HC-D-MW-02</x:v>
      </x:c>
      <x:c r="B139" s="75" t="str">
        <x:v>MS-HC-D</x:v>
      </x:c>
      <x:c r="C139" s="75" t="str">
        <x:v>MS-HC</x:v>
      </x:c>
      <x:c r="D139" s="75" t="n">
        <x:v>2</x:v>
      </x:c>
      <x:c r="E139" s="75" t="str">
        <x:v>MW-02</x:v>
      </x:c>
      <x:c r="F139" s="86" t="str">
        <x:v>Mission System Command</x:v>
      </x:c>
      <x:c r="G139" s="86" t="str">
        <x:v>Civil Resilience Authority</x:v>
      </x:c>
      <x:c r="H139" s="88" t="n">
        <x:v>0.02</x:v>
      </x:c>
      <x:c r="I139" s="85" t="n">
        <x:f>INDEX('Root Registry'!$G$6:$G$29,MATCH(B139,'Root Registry'!$A$6:$A$29,0))</x:f>
        <x:v>13.65</x:v>
      </x:c>
      <x:c r="J139" s="75" t="str">
        <x:f>INDEX('Root Registry'!$D$6:$D$29,MATCH(B139,'Root Registry'!$A$6:$A$29,0))</x:f>
      </x:c>
      <x:c r="K139" s="75" t="str">
        <x:f>INDEX('Root Registry'!$F$6:$F$29,MATCH(B139,'Root Registry'!$A$6:$A$29,0))</x:f>
      </x:c>
      <x:c r="L139" s="43" t="str"/>
      <x:c r="M139" s="43" t="str"/>
      <x:c r="N139" s="43" t="str"/>
      <x:c r="O139" s="43" t="str"/>
      <x:c r="P139" s="43" t="str"/>
      <x:c r="Q139" s="75" t="str">
        <x:f>S138</x:f>
        <x:v>SOURCE EMPTY</x:v>
      </x:c>
      <x:c r="R139" s="75" t="str">
        <x:f>IF(L139="","SOURCE EMPTY",IF(L139=J139,"ROOT COLLISION",IF(AND(M139&lt;&gt;"",M139=L139),"DUAL-KEY COLLISION","CLEAR")))</x:f>
        <x:v>SOURCE EMPTY</x:v>
      </x:c>
      <x:c r="S139" s="75" t="str">
        <x:f>IF(OR(J139="",L139="",M139="",N139="",O139=""),"SOURCE EMPTY",IF(AND(OR(D139=4,D139=5,D139=8),K139=""),"SOURCE EMPTY",IF(R139&lt;&gt;"CLEAR","COLLISION",IF(P139&lt;&gt;"","ROLLBACK",IF(O139&lt;&gt;"ACCEPT","HOLD",IF(OR(D139=1,Q139="ACCEPTED"),"ACCEPTED","SEQUENCE HOLD"))))))</x:f>
        <x:v>SOURCE EMPTY</x:v>
      </x:c>
      <x:c r="T139" s="85" t="n">
        <x:f>IF(S139="ACCEPTED",H139*I139,0)</x:f>
        <x:v>0</x:v>
      </x:c>
      <x:c r="U139" s="75"/>
      <x:c r="V139" s="75"/>
      <x:c r="W139" s="75"/>
      <x:c r="X139" s="75"/>
      <x:c r="Y139" s="75"/>
      <x:c r="Z139" s="75"/>
    </x:row>
    <x:row r="140" ht="20" customHeight="1">
      <x:c r="A140" s="86" t="str">
        <x:v>MS-HC-D-FW-03</x:v>
      </x:c>
      <x:c r="B140" s="75" t="str">
        <x:v>MS-HC-D</x:v>
      </x:c>
      <x:c r="C140" s="75" t="str">
        <x:v>MS-HC</x:v>
      </x:c>
      <x:c r="D140" s="75" t="n">
        <x:v>3</x:v>
      </x:c>
      <x:c r="E140" s="75" t="str">
        <x:v>FW-03</x:v>
      </x:c>
      <x:c r="F140" s="86" t="str">
        <x:v>Department Capital Board</x:v>
      </x:c>
      <x:c r="G140" s="86" t="str">
        <x:v>Failure Reserve Trustee</x:v>
      </x:c>
      <x:c r="H140" s="88" t="n">
        <x:v>0.05</x:v>
      </x:c>
      <x:c r="I140" s="85" t="n">
        <x:f>INDEX('Root Registry'!$G$6:$G$29,MATCH(B140,'Root Registry'!$A$6:$A$29,0))</x:f>
        <x:v>13.65</x:v>
      </x:c>
      <x:c r="J140" s="75" t="str">
        <x:f>INDEX('Root Registry'!$D$6:$D$29,MATCH(B140,'Root Registry'!$A$6:$A$29,0))</x:f>
      </x:c>
      <x:c r="K140" s="75" t="str">
        <x:f>INDEX('Root Registry'!$F$6:$F$29,MATCH(B140,'Root Registry'!$A$6:$A$29,0))</x:f>
      </x:c>
      <x:c r="L140" s="43" t="str"/>
      <x:c r="M140" s="43" t="str"/>
      <x:c r="N140" s="43" t="str"/>
      <x:c r="O140" s="43" t="str"/>
      <x:c r="P140" s="43" t="str"/>
      <x:c r="Q140" s="75" t="str">
        <x:f>S139</x:f>
        <x:v>SOURCE EMPTY</x:v>
      </x:c>
      <x:c r="R140" s="75" t="str">
        <x:f>IF(L140="","SOURCE EMPTY",IF(L140=J140,"ROOT COLLISION",IF(AND(M140&lt;&gt;"",M140=L140),"DUAL-KEY COLLISION","CLEAR")))</x:f>
        <x:v>SOURCE EMPTY</x:v>
      </x:c>
      <x:c r="S140" s="75" t="str">
        <x:f>IF(OR(J140="",L140="",M140="",N140="",O140=""),"SOURCE EMPTY",IF(AND(OR(D140=4,D140=5,D140=8),K140=""),"SOURCE EMPTY",IF(R140&lt;&gt;"CLEAR","COLLISION",IF(P140&lt;&gt;"","ROLLBACK",IF(O140&lt;&gt;"ACCEPT","HOLD",IF(OR(D140=1,Q140="ACCEPTED"),"ACCEPTED","SEQUENCE HOLD"))))))</x:f>
        <x:v>SOURCE EMPTY</x:v>
      </x:c>
      <x:c r="T140" s="85" t="n">
        <x:f>IF(S140="ACCEPTED",H140*I140,0)</x:f>
        <x:v>0</x:v>
      </x:c>
      <x:c r="U140" s="75"/>
      <x:c r="V140" s="75"/>
      <x:c r="W140" s="75"/>
      <x:c r="X140" s="75"/>
      <x:c r="Y140" s="75"/>
      <x:c r="Z140" s="75"/>
    </x:row>
    <x:row r="141" ht="20" customHeight="1">
      <x:c r="A141" s="86" t="str">
        <x:v>MS-HC-D-CW-04</x:v>
      </x:c>
      <x:c r="B141" s="75" t="str">
        <x:v>MS-HC-D</x:v>
      </x:c>
      <x:c r="C141" s="75" t="str">
        <x:v>MS-HC</x:v>
      </x:c>
      <x:c r="D141" s="75" t="n">
        <x:v>4</x:v>
      </x:c>
      <x:c r="E141" s="75" t="str">
        <x:v>CW-04</x:v>
      </x:c>
      <x:c r="F141" s="86" t="str">
        <x:v>Service Technical College</x:v>
      </x:c>
      <x:c r="G141" s="86" t="str">
        <x:v>Independent Root House</x:v>
      </x:c>
      <x:c r="H141" s="88" t="n">
        <x:v>0.12</x:v>
      </x:c>
      <x:c r="I141" s="85" t="n">
        <x:f>INDEX('Root Registry'!$G$6:$G$29,MATCH(B141,'Root Registry'!$A$6:$A$29,0))</x:f>
        <x:v>13.65</x:v>
      </x:c>
      <x:c r="J141" s="75" t="str">
        <x:f>INDEX('Root Registry'!$D$6:$D$29,MATCH(B141,'Root Registry'!$A$6:$A$29,0))</x:f>
      </x:c>
      <x:c r="K141" s="75" t="str">
        <x:f>INDEX('Root Registry'!$F$6:$F$29,MATCH(B141,'Root Registry'!$A$6:$A$29,0))</x:f>
      </x:c>
      <x:c r="L141" s="43" t="str"/>
      <x:c r="M141" s="43" t="str"/>
      <x:c r="N141" s="43" t="str"/>
      <x:c r="O141" s="43" t="str"/>
      <x:c r="P141" s="43" t="str"/>
      <x:c r="Q141" s="75" t="str">
        <x:f>S140</x:f>
        <x:v>SOURCE EMPTY</x:v>
      </x:c>
      <x:c r="R141" s="75" t="str">
        <x:f>IF(L141="","SOURCE EMPTY",IF(L141=J141,"ROOT COLLISION",IF(AND(M141&lt;&gt;"",M141=L141),"DUAL-KEY COLLISION","CLEAR")))</x:f>
        <x:v>SOURCE EMPTY</x:v>
      </x:c>
      <x:c r="S141" s="75" t="str">
        <x:f>IF(OR(J141="",L141="",M141="",N141="",O141=""),"SOURCE EMPTY",IF(AND(OR(D141=4,D141=5,D141=8),K141=""),"SOURCE EMPTY",IF(R141&lt;&gt;"CLEAR","COLLISION",IF(P141&lt;&gt;"","ROLLBACK",IF(O141&lt;&gt;"ACCEPT","HOLD",IF(OR(D141=1,Q141="ACCEPTED"),"ACCEPTED","SEQUENCE HOLD"))))))</x:f>
        <x:v>SOURCE EMPTY</x:v>
      </x:c>
      <x:c r="T141" s="85" t="n">
        <x:f>IF(S141="ACCEPTED",H141*I141,0)</x:f>
        <x:v>0</x:v>
      </x:c>
      <x:c r="U141" s="75"/>
      <x:c r="V141" s="75"/>
      <x:c r="W141" s="75"/>
      <x:c r="X141" s="75"/>
      <x:c r="Y141" s="75"/>
      <x:c r="Z141" s="75"/>
    </x:row>
    <x:row r="142" ht="20" customHeight="1">
      <x:c r="A142" s="86" t="str">
        <x:v>MS-HC-D-TW-05</x:v>
      </x:c>
      <x:c r="B142" s="75" t="str">
        <x:v>MS-HC-D</x:v>
      </x:c>
      <x:c r="C142" s="75" t="str">
        <x:v>MS-HC</x:v>
      </x:c>
      <x:c r="D142" s="75" t="n">
        <x:v>5</x:v>
      </x:c>
      <x:c r="E142" s="75" t="str">
        <x:v>TW-05</x:v>
      </x:c>
      <x:c r="F142" s="86" t="str">
        <x:v>Service Technical College</x:v>
      </x:c>
      <x:c r="G142" s="86" t="str">
        <x:v>Public Protection Inspectorate</x:v>
      </x:c>
      <x:c r="H142" s="88" t="n">
        <x:v>0.08</x:v>
      </x:c>
      <x:c r="I142" s="85" t="n">
        <x:f>INDEX('Root Registry'!$G$6:$G$29,MATCH(B142,'Root Registry'!$A$6:$A$29,0))</x:f>
        <x:v>13.65</x:v>
      </x:c>
      <x:c r="J142" s="75" t="str">
        <x:f>INDEX('Root Registry'!$D$6:$D$29,MATCH(B142,'Root Registry'!$A$6:$A$29,0))</x:f>
      </x:c>
      <x:c r="K142" s="75" t="str">
        <x:f>INDEX('Root Registry'!$F$6:$F$29,MATCH(B142,'Root Registry'!$A$6:$A$29,0))</x:f>
      </x:c>
      <x:c r="L142" s="43" t="str"/>
      <x:c r="M142" s="43" t="str"/>
      <x:c r="N142" s="43" t="str"/>
      <x:c r="O142" s="43" t="str"/>
      <x:c r="P142" s="43" t="str"/>
      <x:c r="Q142" s="75" t="str">
        <x:f>S141</x:f>
        <x:v>SOURCE EMPTY</x:v>
      </x:c>
      <x:c r="R142" s="75" t="str">
        <x:f>IF(L142="","SOURCE EMPTY",IF(L142=J142,"ROOT COLLISION",IF(AND(M142&lt;&gt;"",M142=L142),"DUAL-KEY COLLISION","CLEAR")))</x:f>
        <x:v>SOURCE EMPTY</x:v>
      </x:c>
      <x:c r="S142" s="75" t="str">
        <x:f>IF(OR(J142="",L142="",M142="",N142="",O142=""),"SOURCE EMPTY",IF(AND(OR(D142=4,D142=5,D142=8),K142=""),"SOURCE EMPTY",IF(R142&lt;&gt;"CLEAR","COLLISION",IF(P142&lt;&gt;"","ROLLBACK",IF(O142&lt;&gt;"ACCEPT","HOLD",IF(OR(D142=1,Q142="ACCEPTED"),"ACCEPTED","SEQUENCE HOLD"))))))</x:f>
        <x:v>SOURCE EMPTY</x:v>
      </x:c>
      <x:c r="T142" s="85" t="n">
        <x:f>IF(S142="ACCEPTED",H142*I142,0)</x:f>
        <x:v>0</x:v>
      </x:c>
      <x:c r="U142" s="75"/>
      <x:c r="V142" s="75"/>
      <x:c r="W142" s="75"/>
      <x:c r="X142" s="75"/>
      <x:c r="Y142" s="75"/>
      <x:c r="Z142" s="75"/>
    </x:row>
    <x:row r="143" ht="20" customHeight="1">
      <x:c r="A143" s="86" t="str">
        <x:v>MS-HC-D-EW-06</x:v>
      </x:c>
      <x:c r="B143" s="75" t="str">
        <x:v>MS-HC-D</x:v>
      </x:c>
      <x:c r="C143" s="75" t="str">
        <x:v>MS-HC</x:v>
      </x:c>
      <x:c r="D143" s="75" t="n">
        <x:v>6</x:v>
      </x:c>
      <x:c r="E143" s="75" t="str">
        <x:v>EW-06</x:v>
      </x:c>
      <x:c r="F143" s="86" t="str">
        <x:v>Resilience Proving Service</x:v>
      </x:c>
      <x:c r="G143" s="86" t="str">
        <x:v>Public Effect College</x:v>
      </x:c>
      <x:c r="H143" s="88" t="n">
        <x:v>0.2</x:v>
      </x:c>
      <x:c r="I143" s="85" t="n">
        <x:f>INDEX('Root Registry'!$G$6:$G$29,MATCH(B143,'Root Registry'!$A$6:$A$29,0))</x:f>
        <x:v>13.65</x:v>
      </x:c>
      <x:c r="J143" s="75" t="str">
        <x:f>INDEX('Root Registry'!$D$6:$D$29,MATCH(B143,'Root Registry'!$A$6:$A$29,0))</x:f>
      </x:c>
      <x:c r="K143" s="75" t="str">
        <x:f>INDEX('Root Registry'!$F$6:$F$29,MATCH(B143,'Root Registry'!$A$6:$A$29,0))</x:f>
      </x:c>
      <x:c r="L143" s="43" t="str"/>
      <x:c r="M143" s="43" t="str"/>
      <x:c r="N143" s="43" t="str"/>
      <x:c r="O143" s="43" t="str"/>
      <x:c r="P143" s="43" t="str"/>
      <x:c r="Q143" s="75" t="str">
        <x:f>S142</x:f>
        <x:v>SOURCE EMPTY</x:v>
      </x:c>
      <x:c r="R143" s="75" t="str">
        <x:f>IF(L143="","SOURCE EMPTY",IF(L143=J143,"ROOT COLLISION",IF(AND(M143&lt;&gt;"",M143=L143),"DUAL-KEY COLLISION","CLEAR")))</x:f>
        <x:v>SOURCE EMPTY</x:v>
      </x:c>
      <x:c r="S143" s="75" t="str">
        <x:f>IF(OR(J143="",L143="",M143="",N143="",O143=""),"SOURCE EMPTY",IF(AND(OR(D143=4,D143=5,D143=8),K143=""),"SOURCE EMPTY",IF(R143&lt;&gt;"CLEAR","COLLISION",IF(P143&lt;&gt;"","ROLLBACK",IF(O143&lt;&gt;"ACCEPT","HOLD",IF(OR(D143=1,Q143="ACCEPTED"),"ACCEPTED","SEQUENCE HOLD"))))))</x:f>
        <x:v>SOURCE EMPTY</x:v>
      </x:c>
      <x:c r="T143" s="85" t="n">
        <x:f>IF(S143="ACCEPTED",H143*I143,0)</x:f>
        <x:v>0</x:v>
      </x:c>
      <x:c r="U143" s="75"/>
      <x:c r="V143" s="75"/>
      <x:c r="W143" s="75"/>
      <x:c r="X143" s="75"/>
      <x:c r="Y143" s="75"/>
      <x:c r="Z143" s="75"/>
    </x:row>
    <x:row r="144" ht="20" customHeight="1">
      <x:c r="A144" s="86" t="str">
        <x:v>MS-HC-D-IW-07</x:v>
      </x:c>
      <x:c r="B144" s="75" t="str">
        <x:v>MS-HC-D</x:v>
      </x:c>
      <x:c r="C144" s="75" t="str">
        <x:v>MS-HC</x:v>
      </x:c>
      <x:c r="D144" s="75" t="n">
        <x:v>7</x:v>
      </x:c>
      <x:c r="E144" s="75" t="str">
        <x:v>IW-07</x:v>
      </x:c>
      <x:c r="F144" s="86" t="str">
        <x:v>Industrial Mobilization Administration</x:v>
      </x:c>
      <x:c r="G144" s="86" t="str">
        <x:v>Reconstruction Command</x:v>
      </x:c>
      <x:c r="H144" s="88" t="n">
        <x:v>0.15</x:v>
      </x:c>
      <x:c r="I144" s="85" t="n">
        <x:f>INDEX('Root Registry'!$G$6:$G$29,MATCH(B144,'Root Registry'!$A$6:$A$29,0))</x:f>
        <x:v>13.65</x:v>
      </x:c>
      <x:c r="J144" s="75" t="str">
        <x:f>INDEX('Root Registry'!$D$6:$D$29,MATCH(B144,'Root Registry'!$A$6:$A$29,0))</x:f>
      </x:c>
      <x:c r="K144" s="75" t="str">
        <x:f>INDEX('Root Registry'!$F$6:$F$29,MATCH(B144,'Root Registry'!$A$6:$A$29,0))</x:f>
      </x:c>
      <x:c r="L144" s="43" t="str"/>
      <x:c r="M144" s="43" t="str"/>
      <x:c r="N144" s="43" t="str"/>
      <x:c r="O144" s="43" t="str"/>
      <x:c r="P144" s="43" t="str"/>
      <x:c r="Q144" s="75" t="str">
        <x:f>S143</x:f>
        <x:v>SOURCE EMPTY</x:v>
      </x:c>
      <x:c r="R144" s="75" t="str">
        <x:f>IF(L144="","SOURCE EMPTY",IF(L144=J144,"ROOT COLLISION",IF(AND(M144&lt;&gt;"",M144=L144),"DUAL-KEY COLLISION","CLEAR")))</x:f>
        <x:v>SOURCE EMPTY</x:v>
      </x:c>
      <x:c r="S144" s="75" t="str">
        <x:f>IF(OR(J144="",L144="",M144="",N144="",O144=""),"SOURCE EMPTY",IF(AND(OR(D144=4,D144=5,D144=8),K144=""),"SOURCE EMPTY",IF(R144&lt;&gt;"CLEAR","COLLISION",IF(P144&lt;&gt;"","ROLLBACK",IF(O144&lt;&gt;"ACCEPT","HOLD",IF(OR(D144=1,Q144="ACCEPTED"),"ACCEPTED","SEQUENCE HOLD"))))))</x:f>
        <x:v>SOURCE EMPTY</x:v>
      </x:c>
      <x:c r="T144" s="85" t="n">
        <x:f>IF(S144="ACCEPTED",H144*I144,0)</x:f>
        <x:v>0</x:v>
      </x:c>
      <x:c r="U144" s="75"/>
      <x:c r="V144" s="75"/>
      <x:c r="W144" s="75"/>
      <x:c r="X144" s="75"/>
      <x:c r="Y144" s="75"/>
      <x:c r="Z144" s="75"/>
    </x:row>
    <x:row r="145" ht="20" customHeight="1">
      <x:c r="A145" s="86" t="str">
        <x:v>MS-HC-D-CW-08</x:v>
      </x:c>
      <x:c r="B145" s="75" t="str">
        <x:v>MS-HC-D</x:v>
      </x:c>
      <x:c r="C145" s="75" t="str">
        <x:v>MS-HC</x:v>
      </x:c>
      <x:c r="D145" s="75" t="n">
        <x:v>8</x:v>
      </x:c>
      <x:c r="E145" s="75" t="str">
        <x:v>CW-08</x:v>
      </x:c>
      <x:c r="F145" s="86" t="str">
        <x:v>Operating Services</x:v>
      </x:c>
      <x:c r="G145" s="86" t="str">
        <x:v>Joint Capacity Authority</x:v>
      </x:c>
      <x:c r="H145" s="88" t="n">
        <x:v>0.12</x:v>
      </x:c>
      <x:c r="I145" s="85" t="n">
        <x:f>INDEX('Root Registry'!$G$6:$G$29,MATCH(B145,'Root Registry'!$A$6:$A$29,0))</x:f>
        <x:v>13.65</x:v>
      </x:c>
      <x:c r="J145" s="75" t="str">
        <x:f>INDEX('Root Registry'!$D$6:$D$29,MATCH(B145,'Root Registry'!$A$6:$A$29,0))</x:f>
      </x:c>
      <x:c r="K145" s="75" t="str">
        <x:f>INDEX('Root Registry'!$F$6:$F$29,MATCH(B145,'Root Registry'!$A$6:$A$29,0))</x:f>
      </x:c>
      <x:c r="L145" s="43" t="str"/>
      <x:c r="M145" s="43" t="str"/>
      <x:c r="N145" s="43" t="str"/>
      <x:c r="O145" s="43" t="str"/>
      <x:c r="P145" s="43" t="str"/>
      <x:c r="Q145" s="75" t="str">
        <x:f>S144</x:f>
        <x:v>SOURCE EMPTY</x:v>
      </x:c>
      <x:c r="R145" s="75" t="str">
        <x:f>IF(L145="","SOURCE EMPTY",IF(L145=J145,"ROOT COLLISION",IF(AND(M145&lt;&gt;"",M145=L145),"DUAL-KEY COLLISION","CLEAR")))</x:f>
        <x:v>SOURCE EMPTY</x:v>
      </x:c>
      <x:c r="S145" s="75" t="str">
        <x:f>IF(OR(J145="",L145="",M145="",N145="",O145=""),"SOURCE EMPTY",IF(AND(OR(D145=4,D145=5,D145=8),K145=""),"SOURCE EMPTY",IF(R145&lt;&gt;"CLEAR","COLLISION",IF(P145&lt;&gt;"","ROLLBACK",IF(O145&lt;&gt;"ACCEPT","HOLD",IF(OR(D145=1,Q145="ACCEPTED"),"ACCEPTED","SEQUENCE HOLD"))))))</x:f>
        <x:v>SOURCE EMPTY</x:v>
      </x:c>
      <x:c r="T145" s="85" t="n">
        <x:f>IF(S145="ACCEPTED",H145*I145,0)</x:f>
        <x:v>0</x:v>
      </x:c>
      <x:c r="U145" s="75"/>
      <x:c r="V145" s="75"/>
      <x:c r="W145" s="75"/>
      <x:c r="X145" s="75"/>
      <x:c r="Y145" s="75"/>
      <x:c r="Z145" s="75"/>
    </x:row>
    <x:row r="146" ht="20" customHeight="1">
      <x:c r="A146" s="86" t="str">
        <x:v>MS-HC-D-RW-09</x:v>
      </x:c>
      <x:c r="B146" s="75" t="str">
        <x:v>MS-HC-D</x:v>
      </x:c>
      <x:c r="C146" s="75" t="str">
        <x:v>MS-HC</x:v>
      </x:c>
      <x:c r="D146" s="75" t="n">
        <x:v>9</x:v>
      </x:c>
      <x:c r="E146" s="75" t="str">
        <x:v>RW-09</x:v>
      </x:c>
      <x:c r="F146" s="86" t="str">
        <x:v>Joint Capacity Authority</x:v>
      </x:c>
      <x:c r="G146" s="86" t="str">
        <x:v>Department Comptroller</x:v>
      </x:c>
      <x:c r="H146" s="88" t="n">
        <x:v>0.08</x:v>
      </x:c>
      <x:c r="I146" s="85" t="n">
        <x:f>INDEX('Root Registry'!$G$6:$G$29,MATCH(B146,'Root Registry'!$A$6:$A$29,0))</x:f>
        <x:v>13.65</x:v>
      </x:c>
      <x:c r="J146" s="75" t="str">
        <x:f>INDEX('Root Registry'!$D$6:$D$29,MATCH(B146,'Root Registry'!$A$6:$A$29,0))</x:f>
      </x:c>
      <x:c r="K146" s="75" t="str">
        <x:f>INDEX('Root Registry'!$F$6:$F$29,MATCH(B146,'Root Registry'!$A$6:$A$29,0))</x:f>
      </x:c>
      <x:c r="L146" s="43" t="str"/>
      <x:c r="M146" s="43" t="str"/>
      <x:c r="N146" s="43" t="str"/>
      <x:c r="O146" s="43" t="str"/>
      <x:c r="P146" s="43" t="str"/>
      <x:c r="Q146" s="75" t="str">
        <x:f>S145</x:f>
        <x:v>SOURCE EMPTY</x:v>
      </x:c>
      <x:c r="R146" s="75" t="str">
        <x:f>IF(L146="","SOURCE EMPTY",IF(L146=J146,"ROOT COLLISION",IF(AND(M146&lt;&gt;"",M146=L146),"DUAL-KEY COLLISION","CLEAR")))</x:f>
        <x:v>SOURCE EMPTY</x:v>
      </x:c>
      <x:c r="S146" s="75" t="str">
        <x:f>IF(OR(J146="",L146="",M146="",N146="",O146=""),"SOURCE EMPTY",IF(AND(OR(D146=4,D146=5,D146=8),K146=""),"SOURCE EMPTY",IF(R146&lt;&gt;"CLEAR","COLLISION",IF(P146&lt;&gt;"","ROLLBACK",IF(O146&lt;&gt;"ACCEPT","HOLD",IF(OR(D146=1,Q146="ACCEPTED"),"ACCEPTED","SEQUENCE HOLD"))))))</x:f>
        <x:v>SOURCE EMPTY</x:v>
      </x:c>
      <x:c r="T146" s="85" t="n">
        <x:f>IF(S146="ACCEPTED",H146*I146,0)</x:f>
        <x:v>0</x:v>
      </x:c>
      <x:c r="U146" s="75"/>
      <x:c r="V146" s="75"/>
      <x:c r="W146" s="75"/>
      <x:c r="X146" s="75"/>
      <x:c r="Y146" s="75"/>
      <x:c r="Z146" s="75"/>
    </x:row>
    <x:row r="147" ht="20" customHeight="1">
      <x:c r="A147" s="86" t="str">
        <x:v>MS-HC-D-OW-10</x:v>
      </x:c>
      <x:c r="B147" s="75" t="str">
        <x:v>MS-HC-D</x:v>
      </x:c>
      <x:c r="C147" s="75" t="str">
        <x:v>MS-HC</x:v>
      </x:c>
      <x:c r="D147" s="75" t="n">
        <x:v>10</x:v>
      </x:c>
      <x:c r="E147" s="75" t="str">
        <x:v>OW-10</x:v>
      </x:c>
      <x:c r="F147" s="86" t="str">
        <x:v>Operational Command</x:v>
      </x:c>
      <x:c r="G147" s="86" t="str">
        <x:v>Civil Resilience Authority</x:v>
      </x:c>
      <x:c r="H147" s="88" t="n">
        <x:v>0.05</x:v>
      </x:c>
      <x:c r="I147" s="85" t="n">
        <x:f>INDEX('Root Registry'!$G$6:$G$29,MATCH(B147,'Root Registry'!$A$6:$A$29,0))</x:f>
        <x:v>13.65</x:v>
      </x:c>
      <x:c r="J147" s="75" t="str">
        <x:f>INDEX('Root Registry'!$D$6:$D$29,MATCH(B147,'Root Registry'!$A$6:$A$29,0))</x:f>
      </x:c>
      <x:c r="K147" s="75" t="str">
        <x:f>INDEX('Root Registry'!$F$6:$F$29,MATCH(B147,'Root Registry'!$A$6:$A$29,0))</x:f>
      </x:c>
      <x:c r="L147" s="43" t="str"/>
      <x:c r="M147" s="43" t="str"/>
      <x:c r="N147" s="43" t="str"/>
      <x:c r="O147" s="43" t="str"/>
      <x:c r="P147" s="43" t="str"/>
      <x:c r="Q147" s="75" t="str">
        <x:f>S146</x:f>
        <x:v>SOURCE EMPTY</x:v>
      </x:c>
      <x:c r="R147" s="75" t="str">
        <x:f>IF(L147="","SOURCE EMPTY",IF(L147=J147,"ROOT COLLISION",IF(AND(M147&lt;&gt;"",M147=L147),"DUAL-KEY COLLISION","CLEAR")))</x:f>
        <x:v>SOURCE EMPTY</x:v>
      </x:c>
      <x:c r="S147" s="75" t="str">
        <x:f>IF(OR(J147="",L147="",M147="",N147="",O147=""),"SOURCE EMPTY",IF(AND(OR(D147=4,D147=5,D147=8),K147=""),"SOURCE EMPTY",IF(R147&lt;&gt;"CLEAR","COLLISION",IF(P147&lt;&gt;"","ROLLBACK",IF(O147&lt;&gt;"ACCEPT","HOLD",IF(OR(D147=1,Q147="ACCEPTED"),"ACCEPTED","SEQUENCE HOLD"))))))</x:f>
        <x:v>SOURCE EMPTY</x:v>
      </x:c>
      <x:c r="T147" s="85" t="n">
        <x:f>IF(S147="ACCEPTED",H147*I147,0)</x:f>
        <x:v>0</x:v>
      </x:c>
      <x:c r="U147" s="75"/>
      <x:c r="V147" s="75"/>
      <x:c r="W147" s="75"/>
      <x:c r="X147" s="75"/>
      <x:c r="Y147" s="75"/>
      <x:c r="Z147" s="75"/>
    </x:row>
    <x:row r="148" ht="20" customHeight="1">
      <x:c r="A148" s="86" t="str">
        <x:v>MS-HC-D-SW-11</x:v>
      </x:c>
      <x:c r="B148" s="75" t="str">
        <x:v>MS-HC-D</x:v>
      </x:c>
      <x:c r="C148" s="75" t="str">
        <x:v>MS-HC</x:v>
      </x:c>
      <x:c r="D148" s="75" t="n">
        <x:v>11</x:v>
      </x:c>
      <x:c r="E148" s="75" t="str">
        <x:v>SW-11</x:v>
      </x:c>
      <x:c r="F148" s="86" t="str">
        <x:v>Civil Resilience Authority</x:v>
      </x:c>
      <x:c r="G148" s="86" t="str">
        <x:v>Affected Civil Authority</x:v>
      </x:c>
      <x:c r="H148" s="88" t="n">
        <x:v>0.07</x:v>
      </x:c>
      <x:c r="I148" s="85" t="n">
        <x:f>INDEX('Root Registry'!$G$6:$G$29,MATCH(B148,'Root Registry'!$A$6:$A$29,0))</x:f>
        <x:v>13.65</x:v>
      </x:c>
      <x:c r="J148" s="75" t="str">
        <x:f>INDEX('Root Registry'!$D$6:$D$29,MATCH(B148,'Root Registry'!$A$6:$A$29,0))</x:f>
      </x:c>
      <x:c r="K148" s="75" t="str">
        <x:f>INDEX('Root Registry'!$F$6:$F$29,MATCH(B148,'Root Registry'!$A$6:$A$29,0))</x:f>
      </x:c>
      <x:c r="L148" s="43" t="str"/>
      <x:c r="M148" s="43" t="str"/>
      <x:c r="N148" s="43" t="str"/>
      <x:c r="O148" s="43" t="str"/>
      <x:c r="P148" s="43" t="str"/>
      <x:c r="Q148" s="75" t="str">
        <x:f>S147</x:f>
        <x:v>SOURCE EMPTY</x:v>
      </x:c>
      <x:c r="R148" s="75" t="str">
        <x:f>IF(L148="","SOURCE EMPTY",IF(L148=J148,"ROOT COLLISION",IF(AND(M148&lt;&gt;"",M148=L148),"DUAL-KEY COLLISION","CLEAR")))</x:f>
        <x:v>SOURCE EMPTY</x:v>
      </x:c>
      <x:c r="S148" s="75" t="str">
        <x:f>IF(OR(J148="",L148="",M148="",N148="",O148=""),"SOURCE EMPTY",IF(AND(OR(D148=4,D148=5,D148=8),K148=""),"SOURCE EMPTY",IF(R148&lt;&gt;"CLEAR","COLLISION",IF(P148&lt;&gt;"","ROLLBACK",IF(O148&lt;&gt;"ACCEPT","HOLD",IF(OR(D148=1,Q148="ACCEPTED"),"ACCEPTED","SEQUENCE HOLD"))))))</x:f>
        <x:v>SOURCE EMPTY</x:v>
      </x:c>
      <x:c r="T148" s="85" t="n">
        <x:f>IF(S148="ACCEPTED",H148*I148,0)</x:f>
        <x:v>0</x:v>
      </x:c>
      <x:c r="U148" s="75"/>
      <x:c r="V148" s="75"/>
      <x:c r="W148" s="75"/>
      <x:c r="X148" s="75"/>
      <x:c r="Y148" s="75"/>
      <x:c r="Z148" s="75"/>
    </x:row>
    <x:row r="149" ht="20" customHeight="1">
      <x:c r="A149" s="86" t="str">
        <x:v>MS-HC-D-GW-12</x:v>
      </x:c>
      <x:c r="B149" s="75" t="str">
        <x:v>MS-HC-D</x:v>
      </x:c>
      <x:c r="C149" s="75" t="str">
        <x:v>MS-HC</x:v>
      </x:c>
      <x:c r="D149" s="75" t="n">
        <x:v>12</x:v>
      </x:c>
      <x:c r="E149" s="75" t="str">
        <x:v>GW-12</x:v>
      </x:c>
      <x:c r="F149" s="86" t="str">
        <x:v>Strategic Sustainment Command</x:v>
      </x:c>
      <x:c r="G149" s="86" t="str">
        <x:v>Joint Capacity Authority</x:v>
      </x:c>
      <x:c r="H149" s="88" t="n">
        <x:v>0.05</x:v>
      </x:c>
      <x:c r="I149" s="85" t="n">
        <x:f>INDEX('Root Registry'!$G$6:$G$29,MATCH(B149,'Root Registry'!$A$6:$A$29,0))</x:f>
        <x:v>13.65</x:v>
      </x:c>
      <x:c r="J149" s="75" t="str">
        <x:f>INDEX('Root Registry'!$D$6:$D$29,MATCH(B149,'Root Registry'!$A$6:$A$29,0))</x:f>
      </x:c>
      <x:c r="K149" s="75" t="str">
        <x:f>INDEX('Root Registry'!$F$6:$F$29,MATCH(B149,'Root Registry'!$A$6:$A$29,0))</x:f>
      </x:c>
      <x:c r="L149" s="43" t="str"/>
      <x:c r="M149" s="43" t="str"/>
      <x:c r="N149" s="43" t="str"/>
      <x:c r="O149" s="43" t="str"/>
      <x:c r="P149" s="43" t="str"/>
      <x:c r="Q149" s="75" t="str">
        <x:f>S148</x:f>
        <x:v>SOURCE EMPTY</x:v>
      </x:c>
      <x:c r="R149" s="75" t="str">
        <x:f>IF(L149="","SOURCE EMPTY",IF(L149=J149,"ROOT COLLISION",IF(AND(M149&lt;&gt;"",M149=L149),"DUAL-KEY COLLISION","CLEAR")))</x:f>
        <x:v>SOURCE EMPTY</x:v>
      </x:c>
      <x:c r="S149" s="75" t="str">
        <x:f>IF(OR(J149="",L149="",M149="",N149="",O149=""),"SOURCE EMPTY",IF(AND(OR(D149=4,D149=5,D149=8),K149=""),"SOURCE EMPTY",IF(R149&lt;&gt;"CLEAR","COLLISION",IF(P149&lt;&gt;"","ROLLBACK",IF(O149&lt;&gt;"ACCEPT","HOLD",IF(OR(D149=1,Q149="ACCEPTED"),"ACCEPTED","SEQUENCE HOLD"))))))</x:f>
        <x:v>SOURCE EMPTY</x:v>
      </x:c>
      <x:c r="T149" s="85" t="n">
        <x:f>IF(S149="ACCEPTED",H149*I149,0)</x:f>
        <x:v>0</x:v>
      </x:c>
      <x:c r="U149" s="75"/>
      <x:c r="V149" s="75"/>
      <x:c r="W149" s="75"/>
      <x:c r="X149" s="75"/>
      <x:c r="Y149" s="75"/>
      <x:c r="Z149" s="75"/>
    </x:row>
    <x:row r="150" ht="20" customHeight="1">
      <x:c r="A150" s="86" t="str">
        <x:v>MS-LF-A-PW-01</x:v>
      </x:c>
      <x:c r="B150" s="75" t="str">
        <x:v>MS-LF-A</x:v>
      </x:c>
      <x:c r="C150" s="75" t="str">
        <x:v>MS-LF</x:v>
      </x:c>
      <x:c r="D150" s="75" t="n">
        <x:v>1</x:v>
      </x:c>
      <x:c r="E150" s="75" t="str">
        <x:v>PW-01</x:v>
      </x:c>
      <x:c r="F150" s="86" t="str">
        <x:v>Civil Resilience Authority</x:v>
      </x:c>
      <x:c r="G150" s="86" t="str">
        <x:v>Public Effect College</x:v>
      </x:c>
      <x:c r="H150" s="88" t="n">
        <x:v>0.01</x:v>
      </x:c>
      <x:c r="I150" s="85" t="n">
        <x:f>INDEX('Root Registry'!$G$6:$G$29,MATCH(B150,'Root Registry'!$A$6:$A$29,0))</x:f>
        <x:v>18</x:v>
      </x:c>
      <x:c r="J150" s="75" t="str">
        <x:f>INDEX('Root Registry'!$D$6:$D$29,MATCH(B150,'Root Registry'!$A$6:$A$29,0))</x:f>
      </x:c>
      <x:c r="K150" s="75" t="str">
        <x:f>INDEX('Root Registry'!$F$6:$F$29,MATCH(B150,'Root Registry'!$A$6:$A$29,0))</x:f>
      </x:c>
      <x:c r="L150" s="43" t="str"/>
      <x:c r="M150" s="43" t="str"/>
      <x:c r="N150" s="43" t="str"/>
      <x:c r="O150" s="43" t="str"/>
      <x:c r="P150" s="43" t="str"/>
      <x:c r="Q150" s="75" t="str">
        <x:f>"ORIGIN"</x:f>
        <x:v>ORIGIN</x:v>
      </x:c>
      <x:c r="R150" s="75" t="str">
        <x:f>IF(L150="","SOURCE EMPTY",IF(L150=J150,"ROOT COLLISION",IF(AND(M150&lt;&gt;"",M150=L150),"DUAL-KEY COLLISION","CLEAR")))</x:f>
        <x:v>SOURCE EMPTY</x:v>
      </x:c>
      <x:c r="S150" s="75" t="str">
        <x:f>IF(OR(J150="",L150="",M150="",N150="",O150=""),"SOURCE EMPTY",IF(AND(OR(D150=4,D150=5,D150=8),K150=""),"SOURCE EMPTY",IF(R150&lt;&gt;"CLEAR","COLLISION",IF(P150&lt;&gt;"","ROLLBACK",IF(O150&lt;&gt;"ACCEPT","HOLD",IF(OR(D150=1,Q150="ACCEPTED"),"ACCEPTED","SEQUENCE HOLD"))))))</x:f>
        <x:v>SOURCE EMPTY</x:v>
      </x:c>
      <x:c r="T150" s="85" t="n">
        <x:f>IF(S150="ACCEPTED",H150*I150,0)</x:f>
        <x:v>0</x:v>
      </x:c>
      <x:c r="U150" s="75"/>
      <x:c r="V150" s="75"/>
      <x:c r="W150" s="75"/>
      <x:c r="X150" s="75"/>
      <x:c r="Y150" s="75"/>
      <x:c r="Z150" s="75"/>
    </x:row>
    <x:row r="151" ht="20" customHeight="1">
      <x:c r="A151" s="86" t="str">
        <x:v>MS-LF-A-MW-02</x:v>
      </x:c>
      <x:c r="B151" s="75" t="str">
        <x:v>MS-LF-A</x:v>
      </x:c>
      <x:c r="C151" s="75" t="str">
        <x:v>MS-LF</x:v>
      </x:c>
      <x:c r="D151" s="75" t="n">
        <x:v>2</x:v>
      </x:c>
      <x:c r="E151" s="75" t="str">
        <x:v>MW-02</x:v>
      </x:c>
      <x:c r="F151" s="86" t="str">
        <x:v>Mission System Command</x:v>
      </x:c>
      <x:c r="G151" s="86" t="str">
        <x:v>Civil Resilience Authority</x:v>
      </x:c>
      <x:c r="H151" s="88" t="n">
        <x:v>0.02</x:v>
      </x:c>
      <x:c r="I151" s="85" t="n">
        <x:f>INDEX('Root Registry'!$G$6:$G$29,MATCH(B151,'Root Registry'!$A$6:$A$29,0))</x:f>
        <x:v>18</x:v>
      </x:c>
      <x:c r="J151" s="75" t="str">
        <x:f>INDEX('Root Registry'!$D$6:$D$29,MATCH(B151,'Root Registry'!$A$6:$A$29,0))</x:f>
      </x:c>
      <x:c r="K151" s="75" t="str">
        <x:f>INDEX('Root Registry'!$F$6:$F$29,MATCH(B151,'Root Registry'!$A$6:$A$29,0))</x:f>
      </x:c>
      <x:c r="L151" s="43" t="str"/>
      <x:c r="M151" s="43" t="str"/>
      <x:c r="N151" s="43" t="str"/>
      <x:c r="O151" s="43" t="str"/>
      <x:c r="P151" s="43" t="str"/>
      <x:c r="Q151" s="75" t="str">
        <x:f>S150</x:f>
        <x:v>SOURCE EMPTY</x:v>
      </x:c>
      <x:c r="R151" s="75" t="str">
        <x:f>IF(L151="","SOURCE EMPTY",IF(L151=J151,"ROOT COLLISION",IF(AND(M151&lt;&gt;"",M151=L151),"DUAL-KEY COLLISION","CLEAR")))</x:f>
        <x:v>SOURCE EMPTY</x:v>
      </x:c>
      <x:c r="S151" s="75" t="str">
        <x:f>IF(OR(J151="",L151="",M151="",N151="",O151=""),"SOURCE EMPTY",IF(AND(OR(D151=4,D151=5,D151=8),K151=""),"SOURCE EMPTY",IF(R151&lt;&gt;"CLEAR","COLLISION",IF(P151&lt;&gt;"","ROLLBACK",IF(O151&lt;&gt;"ACCEPT","HOLD",IF(OR(D151=1,Q151="ACCEPTED"),"ACCEPTED","SEQUENCE HOLD"))))))</x:f>
        <x:v>SOURCE EMPTY</x:v>
      </x:c>
      <x:c r="T151" s="85" t="n">
        <x:f>IF(S151="ACCEPTED",H151*I151,0)</x:f>
        <x:v>0</x:v>
      </x:c>
      <x:c r="U151" s="75"/>
      <x:c r="V151" s="75"/>
      <x:c r="W151" s="75"/>
      <x:c r="X151" s="75"/>
      <x:c r="Y151" s="75"/>
      <x:c r="Z151" s="75"/>
    </x:row>
    <x:row r="152" ht="20" customHeight="1">
      <x:c r="A152" s="86" t="str">
        <x:v>MS-LF-A-FW-03</x:v>
      </x:c>
      <x:c r="B152" s="75" t="str">
        <x:v>MS-LF-A</x:v>
      </x:c>
      <x:c r="C152" s="75" t="str">
        <x:v>MS-LF</x:v>
      </x:c>
      <x:c r="D152" s="75" t="n">
        <x:v>3</x:v>
      </x:c>
      <x:c r="E152" s="75" t="str">
        <x:v>FW-03</x:v>
      </x:c>
      <x:c r="F152" s="86" t="str">
        <x:v>Department Capital Board</x:v>
      </x:c>
      <x:c r="G152" s="86" t="str">
        <x:v>Failure Reserve Trustee</x:v>
      </x:c>
      <x:c r="H152" s="88" t="n">
        <x:v>0.05</x:v>
      </x:c>
      <x:c r="I152" s="85" t="n">
        <x:f>INDEX('Root Registry'!$G$6:$G$29,MATCH(B152,'Root Registry'!$A$6:$A$29,0))</x:f>
        <x:v>18</x:v>
      </x:c>
      <x:c r="J152" s="75" t="str">
        <x:f>INDEX('Root Registry'!$D$6:$D$29,MATCH(B152,'Root Registry'!$A$6:$A$29,0))</x:f>
      </x:c>
      <x:c r="K152" s="75" t="str">
        <x:f>INDEX('Root Registry'!$F$6:$F$29,MATCH(B152,'Root Registry'!$A$6:$A$29,0))</x:f>
      </x:c>
      <x:c r="L152" s="43" t="str"/>
      <x:c r="M152" s="43" t="str"/>
      <x:c r="N152" s="43" t="str"/>
      <x:c r="O152" s="43" t="str"/>
      <x:c r="P152" s="43" t="str"/>
      <x:c r="Q152" s="75" t="str">
        <x:f>S151</x:f>
        <x:v>SOURCE EMPTY</x:v>
      </x:c>
      <x:c r="R152" s="75" t="str">
        <x:f>IF(L152="","SOURCE EMPTY",IF(L152=J152,"ROOT COLLISION",IF(AND(M152&lt;&gt;"",M152=L152),"DUAL-KEY COLLISION","CLEAR")))</x:f>
        <x:v>SOURCE EMPTY</x:v>
      </x:c>
      <x:c r="S152" s="75" t="str">
        <x:f>IF(OR(J152="",L152="",M152="",N152="",O152=""),"SOURCE EMPTY",IF(AND(OR(D152=4,D152=5,D152=8),K152=""),"SOURCE EMPTY",IF(R152&lt;&gt;"CLEAR","COLLISION",IF(P152&lt;&gt;"","ROLLBACK",IF(O152&lt;&gt;"ACCEPT","HOLD",IF(OR(D152=1,Q152="ACCEPTED"),"ACCEPTED","SEQUENCE HOLD"))))))</x:f>
        <x:v>SOURCE EMPTY</x:v>
      </x:c>
      <x:c r="T152" s="85" t="n">
        <x:f>IF(S152="ACCEPTED",H152*I152,0)</x:f>
        <x:v>0</x:v>
      </x:c>
      <x:c r="U152" s="75"/>
      <x:c r="V152" s="75"/>
      <x:c r="W152" s="75"/>
      <x:c r="X152" s="75"/>
      <x:c r="Y152" s="75"/>
      <x:c r="Z152" s="75"/>
    </x:row>
    <x:row r="153" ht="20" customHeight="1">
      <x:c r="A153" s="86" t="str">
        <x:v>MS-LF-A-CW-04</x:v>
      </x:c>
      <x:c r="B153" s="75" t="str">
        <x:v>MS-LF-A</x:v>
      </x:c>
      <x:c r="C153" s="75" t="str">
        <x:v>MS-LF</x:v>
      </x:c>
      <x:c r="D153" s="75" t="n">
        <x:v>4</x:v>
      </x:c>
      <x:c r="E153" s="75" t="str">
        <x:v>CW-04</x:v>
      </x:c>
      <x:c r="F153" s="86" t="str">
        <x:v>Service Technical College</x:v>
      </x:c>
      <x:c r="G153" s="86" t="str">
        <x:v>Independent Root House</x:v>
      </x:c>
      <x:c r="H153" s="88" t="n">
        <x:v>0.12</x:v>
      </x:c>
      <x:c r="I153" s="85" t="n">
        <x:f>INDEX('Root Registry'!$G$6:$G$29,MATCH(B153,'Root Registry'!$A$6:$A$29,0))</x:f>
        <x:v>18</x:v>
      </x:c>
      <x:c r="J153" s="75" t="str">
        <x:f>INDEX('Root Registry'!$D$6:$D$29,MATCH(B153,'Root Registry'!$A$6:$A$29,0))</x:f>
      </x:c>
      <x:c r="K153" s="75" t="str">
        <x:f>INDEX('Root Registry'!$F$6:$F$29,MATCH(B153,'Root Registry'!$A$6:$A$29,0))</x:f>
      </x:c>
      <x:c r="L153" s="43" t="str"/>
      <x:c r="M153" s="43" t="str"/>
      <x:c r="N153" s="43" t="str"/>
      <x:c r="O153" s="43" t="str"/>
      <x:c r="P153" s="43" t="str"/>
      <x:c r="Q153" s="75" t="str">
        <x:f>S152</x:f>
        <x:v>SOURCE EMPTY</x:v>
      </x:c>
      <x:c r="R153" s="75" t="str">
        <x:f>IF(L153="","SOURCE EMPTY",IF(L153=J153,"ROOT COLLISION",IF(AND(M153&lt;&gt;"",M153=L153),"DUAL-KEY COLLISION","CLEAR")))</x:f>
        <x:v>SOURCE EMPTY</x:v>
      </x:c>
      <x:c r="S153" s="75" t="str">
        <x:f>IF(OR(J153="",L153="",M153="",N153="",O153=""),"SOURCE EMPTY",IF(AND(OR(D153=4,D153=5,D153=8),K153=""),"SOURCE EMPTY",IF(R153&lt;&gt;"CLEAR","COLLISION",IF(P153&lt;&gt;"","ROLLBACK",IF(O153&lt;&gt;"ACCEPT","HOLD",IF(OR(D153=1,Q153="ACCEPTED"),"ACCEPTED","SEQUENCE HOLD"))))))</x:f>
        <x:v>SOURCE EMPTY</x:v>
      </x:c>
      <x:c r="T153" s="85" t="n">
        <x:f>IF(S153="ACCEPTED",H153*I153,0)</x:f>
        <x:v>0</x:v>
      </x:c>
      <x:c r="U153" s="75"/>
      <x:c r="V153" s="75"/>
      <x:c r="W153" s="75"/>
      <x:c r="X153" s="75"/>
      <x:c r="Y153" s="75"/>
      <x:c r="Z153" s="75"/>
    </x:row>
    <x:row r="154" ht="20" customHeight="1">
      <x:c r="A154" s="86" t="str">
        <x:v>MS-LF-A-TW-05</x:v>
      </x:c>
      <x:c r="B154" s="75" t="str">
        <x:v>MS-LF-A</x:v>
      </x:c>
      <x:c r="C154" s="75" t="str">
        <x:v>MS-LF</x:v>
      </x:c>
      <x:c r="D154" s="75" t="n">
        <x:v>5</x:v>
      </x:c>
      <x:c r="E154" s="75" t="str">
        <x:v>TW-05</x:v>
      </x:c>
      <x:c r="F154" s="86" t="str">
        <x:v>Service Technical College</x:v>
      </x:c>
      <x:c r="G154" s="86" t="str">
        <x:v>Public Protection Inspectorate</x:v>
      </x:c>
      <x:c r="H154" s="88" t="n">
        <x:v>0.08</x:v>
      </x:c>
      <x:c r="I154" s="85" t="n">
        <x:f>INDEX('Root Registry'!$G$6:$G$29,MATCH(B154,'Root Registry'!$A$6:$A$29,0))</x:f>
        <x:v>18</x:v>
      </x:c>
      <x:c r="J154" s="75" t="str">
        <x:f>INDEX('Root Registry'!$D$6:$D$29,MATCH(B154,'Root Registry'!$A$6:$A$29,0))</x:f>
      </x:c>
      <x:c r="K154" s="75" t="str">
        <x:f>INDEX('Root Registry'!$F$6:$F$29,MATCH(B154,'Root Registry'!$A$6:$A$29,0))</x:f>
      </x:c>
      <x:c r="L154" s="43" t="str"/>
      <x:c r="M154" s="43" t="str"/>
      <x:c r="N154" s="43" t="str"/>
      <x:c r="O154" s="43" t="str"/>
      <x:c r="P154" s="43" t="str"/>
      <x:c r="Q154" s="75" t="str">
        <x:f>S153</x:f>
        <x:v>SOURCE EMPTY</x:v>
      </x:c>
      <x:c r="R154" s="75" t="str">
        <x:f>IF(L154="","SOURCE EMPTY",IF(L154=J154,"ROOT COLLISION",IF(AND(M154&lt;&gt;"",M154=L154),"DUAL-KEY COLLISION","CLEAR")))</x:f>
        <x:v>SOURCE EMPTY</x:v>
      </x:c>
      <x:c r="S154" s="75" t="str">
        <x:f>IF(OR(J154="",L154="",M154="",N154="",O154=""),"SOURCE EMPTY",IF(AND(OR(D154=4,D154=5,D154=8),K154=""),"SOURCE EMPTY",IF(R154&lt;&gt;"CLEAR","COLLISION",IF(P154&lt;&gt;"","ROLLBACK",IF(O154&lt;&gt;"ACCEPT","HOLD",IF(OR(D154=1,Q154="ACCEPTED"),"ACCEPTED","SEQUENCE HOLD"))))))</x:f>
        <x:v>SOURCE EMPTY</x:v>
      </x:c>
      <x:c r="T154" s="85" t="n">
        <x:f>IF(S154="ACCEPTED",H154*I154,0)</x:f>
        <x:v>0</x:v>
      </x:c>
      <x:c r="U154" s="75"/>
      <x:c r="V154" s="75"/>
      <x:c r="W154" s="75"/>
      <x:c r="X154" s="75"/>
      <x:c r="Y154" s="75"/>
      <x:c r="Z154" s="75"/>
    </x:row>
    <x:row r="155" ht="20" customHeight="1">
      <x:c r="A155" s="86" t="str">
        <x:v>MS-LF-A-EW-06</x:v>
      </x:c>
      <x:c r="B155" s="75" t="str">
        <x:v>MS-LF-A</x:v>
      </x:c>
      <x:c r="C155" s="75" t="str">
        <x:v>MS-LF</x:v>
      </x:c>
      <x:c r="D155" s="75" t="n">
        <x:v>6</x:v>
      </x:c>
      <x:c r="E155" s="75" t="str">
        <x:v>EW-06</x:v>
      </x:c>
      <x:c r="F155" s="86" t="str">
        <x:v>Resilience Proving Service</x:v>
      </x:c>
      <x:c r="G155" s="86" t="str">
        <x:v>Public Effect College</x:v>
      </x:c>
      <x:c r="H155" s="88" t="n">
        <x:v>0.2</x:v>
      </x:c>
      <x:c r="I155" s="85" t="n">
        <x:f>INDEX('Root Registry'!$G$6:$G$29,MATCH(B155,'Root Registry'!$A$6:$A$29,0))</x:f>
        <x:v>18</x:v>
      </x:c>
      <x:c r="J155" s="75" t="str">
        <x:f>INDEX('Root Registry'!$D$6:$D$29,MATCH(B155,'Root Registry'!$A$6:$A$29,0))</x:f>
      </x:c>
      <x:c r="K155" s="75" t="str">
        <x:f>INDEX('Root Registry'!$F$6:$F$29,MATCH(B155,'Root Registry'!$A$6:$A$29,0))</x:f>
      </x:c>
      <x:c r="L155" s="43" t="str"/>
      <x:c r="M155" s="43" t="str"/>
      <x:c r="N155" s="43" t="str"/>
      <x:c r="O155" s="43" t="str"/>
      <x:c r="P155" s="43" t="str"/>
      <x:c r="Q155" s="75" t="str">
        <x:f>S154</x:f>
        <x:v>SOURCE EMPTY</x:v>
      </x:c>
      <x:c r="R155" s="75" t="str">
        <x:f>IF(L155="","SOURCE EMPTY",IF(L155=J155,"ROOT COLLISION",IF(AND(M155&lt;&gt;"",M155=L155),"DUAL-KEY COLLISION","CLEAR")))</x:f>
        <x:v>SOURCE EMPTY</x:v>
      </x:c>
      <x:c r="S155" s="75" t="str">
        <x:f>IF(OR(J155="",L155="",M155="",N155="",O155=""),"SOURCE EMPTY",IF(AND(OR(D155=4,D155=5,D155=8),K155=""),"SOURCE EMPTY",IF(R155&lt;&gt;"CLEAR","COLLISION",IF(P155&lt;&gt;"","ROLLBACK",IF(O155&lt;&gt;"ACCEPT","HOLD",IF(OR(D155=1,Q155="ACCEPTED"),"ACCEPTED","SEQUENCE HOLD"))))))</x:f>
        <x:v>SOURCE EMPTY</x:v>
      </x:c>
      <x:c r="T155" s="85" t="n">
        <x:f>IF(S155="ACCEPTED",H155*I155,0)</x:f>
        <x:v>0</x:v>
      </x:c>
      <x:c r="U155" s="75"/>
      <x:c r="V155" s="75"/>
      <x:c r="W155" s="75"/>
      <x:c r="X155" s="75"/>
      <x:c r="Y155" s="75"/>
      <x:c r="Z155" s="75"/>
    </x:row>
    <x:row r="156" ht="20" customHeight="1">
      <x:c r="A156" s="86" t="str">
        <x:v>MS-LF-A-IW-07</x:v>
      </x:c>
      <x:c r="B156" s="75" t="str">
        <x:v>MS-LF-A</x:v>
      </x:c>
      <x:c r="C156" s="75" t="str">
        <x:v>MS-LF</x:v>
      </x:c>
      <x:c r="D156" s="75" t="n">
        <x:v>7</x:v>
      </x:c>
      <x:c r="E156" s="75" t="str">
        <x:v>IW-07</x:v>
      </x:c>
      <x:c r="F156" s="86" t="str">
        <x:v>Industrial Mobilization Administration</x:v>
      </x:c>
      <x:c r="G156" s="86" t="str">
        <x:v>Reconstruction Command</x:v>
      </x:c>
      <x:c r="H156" s="88" t="n">
        <x:v>0.15</x:v>
      </x:c>
      <x:c r="I156" s="85" t="n">
        <x:f>INDEX('Root Registry'!$G$6:$G$29,MATCH(B156,'Root Registry'!$A$6:$A$29,0))</x:f>
        <x:v>18</x:v>
      </x:c>
      <x:c r="J156" s="75" t="str">
        <x:f>INDEX('Root Registry'!$D$6:$D$29,MATCH(B156,'Root Registry'!$A$6:$A$29,0))</x:f>
      </x:c>
      <x:c r="K156" s="75" t="str">
        <x:f>INDEX('Root Registry'!$F$6:$F$29,MATCH(B156,'Root Registry'!$A$6:$A$29,0))</x:f>
      </x:c>
      <x:c r="L156" s="43" t="str"/>
      <x:c r="M156" s="43" t="str"/>
      <x:c r="N156" s="43" t="str"/>
      <x:c r="O156" s="43" t="str"/>
      <x:c r="P156" s="43" t="str"/>
      <x:c r="Q156" s="75" t="str">
        <x:f>S155</x:f>
        <x:v>SOURCE EMPTY</x:v>
      </x:c>
      <x:c r="R156" s="75" t="str">
        <x:f>IF(L156="","SOURCE EMPTY",IF(L156=J156,"ROOT COLLISION",IF(AND(M156&lt;&gt;"",M156=L156),"DUAL-KEY COLLISION","CLEAR")))</x:f>
        <x:v>SOURCE EMPTY</x:v>
      </x:c>
      <x:c r="S156" s="75" t="str">
        <x:f>IF(OR(J156="",L156="",M156="",N156="",O156=""),"SOURCE EMPTY",IF(AND(OR(D156=4,D156=5,D156=8),K156=""),"SOURCE EMPTY",IF(R156&lt;&gt;"CLEAR","COLLISION",IF(P156&lt;&gt;"","ROLLBACK",IF(O156&lt;&gt;"ACCEPT","HOLD",IF(OR(D156=1,Q156="ACCEPTED"),"ACCEPTED","SEQUENCE HOLD"))))))</x:f>
        <x:v>SOURCE EMPTY</x:v>
      </x:c>
      <x:c r="T156" s="85" t="n">
        <x:f>IF(S156="ACCEPTED",H156*I156,0)</x:f>
        <x:v>0</x:v>
      </x:c>
      <x:c r="U156" s="75"/>
      <x:c r="V156" s="75"/>
      <x:c r="W156" s="75"/>
      <x:c r="X156" s="75"/>
      <x:c r="Y156" s="75"/>
      <x:c r="Z156" s="75"/>
    </x:row>
    <x:row r="157" ht="20" customHeight="1">
      <x:c r="A157" s="86" t="str">
        <x:v>MS-LF-A-CW-08</x:v>
      </x:c>
      <x:c r="B157" s="75" t="str">
        <x:v>MS-LF-A</x:v>
      </x:c>
      <x:c r="C157" s="75" t="str">
        <x:v>MS-LF</x:v>
      </x:c>
      <x:c r="D157" s="75" t="n">
        <x:v>8</x:v>
      </x:c>
      <x:c r="E157" s="75" t="str">
        <x:v>CW-08</x:v>
      </x:c>
      <x:c r="F157" s="86" t="str">
        <x:v>Operating Services</x:v>
      </x:c>
      <x:c r="G157" s="86" t="str">
        <x:v>Joint Capacity Authority</x:v>
      </x:c>
      <x:c r="H157" s="88" t="n">
        <x:v>0.12</x:v>
      </x:c>
      <x:c r="I157" s="85" t="n">
        <x:f>INDEX('Root Registry'!$G$6:$G$29,MATCH(B157,'Root Registry'!$A$6:$A$29,0))</x:f>
        <x:v>18</x:v>
      </x:c>
      <x:c r="J157" s="75" t="str">
        <x:f>INDEX('Root Registry'!$D$6:$D$29,MATCH(B157,'Root Registry'!$A$6:$A$29,0))</x:f>
      </x:c>
      <x:c r="K157" s="75" t="str">
        <x:f>INDEX('Root Registry'!$F$6:$F$29,MATCH(B157,'Root Registry'!$A$6:$A$29,0))</x:f>
      </x:c>
      <x:c r="L157" s="43" t="str"/>
      <x:c r="M157" s="43" t="str"/>
      <x:c r="N157" s="43" t="str"/>
      <x:c r="O157" s="43" t="str"/>
      <x:c r="P157" s="43" t="str"/>
      <x:c r="Q157" s="75" t="str">
        <x:f>S156</x:f>
        <x:v>SOURCE EMPTY</x:v>
      </x:c>
      <x:c r="R157" s="75" t="str">
        <x:f>IF(L157="","SOURCE EMPTY",IF(L157=J157,"ROOT COLLISION",IF(AND(M157&lt;&gt;"",M157=L157),"DUAL-KEY COLLISION","CLEAR")))</x:f>
        <x:v>SOURCE EMPTY</x:v>
      </x:c>
      <x:c r="S157" s="75" t="str">
        <x:f>IF(OR(J157="",L157="",M157="",N157="",O157=""),"SOURCE EMPTY",IF(AND(OR(D157=4,D157=5,D157=8),K157=""),"SOURCE EMPTY",IF(R157&lt;&gt;"CLEAR","COLLISION",IF(P157&lt;&gt;"","ROLLBACK",IF(O157&lt;&gt;"ACCEPT","HOLD",IF(OR(D157=1,Q157="ACCEPTED"),"ACCEPTED","SEQUENCE HOLD"))))))</x:f>
        <x:v>SOURCE EMPTY</x:v>
      </x:c>
      <x:c r="T157" s="85" t="n">
        <x:f>IF(S157="ACCEPTED",H157*I157,0)</x:f>
        <x:v>0</x:v>
      </x:c>
      <x:c r="U157" s="75"/>
      <x:c r="V157" s="75"/>
      <x:c r="W157" s="75"/>
      <x:c r="X157" s="75"/>
      <x:c r="Y157" s="75"/>
      <x:c r="Z157" s="75"/>
    </x:row>
    <x:row r="158" ht="20" customHeight="1">
      <x:c r="A158" s="86" t="str">
        <x:v>MS-LF-A-RW-09</x:v>
      </x:c>
      <x:c r="B158" s="75" t="str">
        <x:v>MS-LF-A</x:v>
      </x:c>
      <x:c r="C158" s="75" t="str">
        <x:v>MS-LF</x:v>
      </x:c>
      <x:c r="D158" s="75" t="n">
        <x:v>9</x:v>
      </x:c>
      <x:c r="E158" s="75" t="str">
        <x:v>RW-09</x:v>
      </x:c>
      <x:c r="F158" s="86" t="str">
        <x:v>Joint Capacity Authority</x:v>
      </x:c>
      <x:c r="G158" s="86" t="str">
        <x:v>Department Comptroller</x:v>
      </x:c>
      <x:c r="H158" s="88" t="n">
        <x:v>0.08</x:v>
      </x:c>
      <x:c r="I158" s="85" t="n">
        <x:f>INDEX('Root Registry'!$G$6:$G$29,MATCH(B158,'Root Registry'!$A$6:$A$29,0))</x:f>
        <x:v>18</x:v>
      </x:c>
      <x:c r="J158" s="75" t="str">
        <x:f>INDEX('Root Registry'!$D$6:$D$29,MATCH(B158,'Root Registry'!$A$6:$A$29,0))</x:f>
      </x:c>
      <x:c r="K158" s="75" t="str">
        <x:f>INDEX('Root Registry'!$F$6:$F$29,MATCH(B158,'Root Registry'!$A$6:$A$29,0))</x:f>
      </x:c>
      <x:c r="L158" s="43" t="str"/>
      <x:c r="M158" s="43" t="str"/>
      <x:c r="N158" s="43" t="str"/>
      <x:c r="O158" s="43" t="str"/>
      <x:c r="P158" s="43" t="str"/>
      <x:c r="Q158" s="75" t="str">
        <x:f>S157</x:f>
        <x:v>SOURCE EMPTY</x:v>
      </x:c>
      <x:c r="R158" s="75" t="str">
        <x:f>IF(L158="","SOURCE EMPTY",IF(L158=J158,"ROOT COLLISION",IF(AND(M158&lt;&gt;"",M158=L158),"DUAL-KEY COLLISION","CLEAR")))</x:f>
        <x:v>SOURCE EMPTY</x:v>
      </x:c>
      <x:c r="S158" s="75" t="str">
        <x:f>IF(OR(J158="",L158="",M158="",N158="",O158=""),"SOURCE EMPTY",IF(AND(OR(D158=4,D158=5,D158=8),K158=""),"SOURCE EMPTY",IF(R158&lt;&gt;"CLEAR","COLLISION",IF(P158&lt;&gt;"","ROLLBACK",IF(O158&lt;&gt;"ACCEPT","HOLD",IF(OR(D158=1,Q158="ACCEPTED"),"ACCEPTED","SEQUENCE HOLD"))))))</x:f>
        <x:v>SOURCE EMPTY</x:v>
      </x:c>
      <x:c r="T158" s="85" t="n">
        <x:f>IF(S158="ACCEPTED",H158*I158,0)</x:f>
        <x:v>0</x:v>
      </x:c>
      <x:c r="U158" s="75"/>
      <x:c r="V158" s="75"/>
      <x:c r="W158" s="75"/>
      <x:c r="X158" s="75"/>
      <x:c r="Y158" s="75"/>
      <x:c r="Z158" s="75"/>
    </x:row>
    <x:row r="159" ht="20" customHeight="1">
      <x:c r="A159" s="86" t="str">
        <x:v>MS-LF-A-OW-10</x:v>
      </x:c>
      <x:c r="B159" s="75" t="str">
        <x:v>MS-LF-A</x:v>
      </x:c>
      <x:c r="C159" s="75" t="str">
        <x:v>MS-LF</x:v>
      </x:c>
      <x:c r="D159" s="75" t="n">
        <x:v>10</x:v>
      </x:c>
      <x:c r="E159" s="75" t="str">
        <x:v>OW-10</x:v>
      </x:c>
      <x:c r="F159" s="86" t="str">
        <x:v>Operational Command</x:v>
      </x:c>
      <x:c r="G159" s="86" t="str">
        <x:v>Civil Resilience Authority</x:v>
      </x:c>
      <x:c r="H159" s="88" t="n">
        <x:v>0.05</x:v>
      </x:c>
      <x:c r="I159" s="85" t="n">
        <x:f>INDEX('Root Registry'!$G$6:$G$29,MATCH(B159,'Root Registry'!$A$6:$A$29,0))</x:f>
        <x:v>18</x:v>
      </x:c>
      <x:c r="J159" s="75" t="str">
        <x:f>INDEX('Root Registry'!$D$6:$D$29,MATCH(B159,'Root Registry'!$A$6:$A$29,0))</x:f>
      </x:c>
      <x:c r="K159" s="75" t="str">
        <x:f>INDEX('Root Registry'!$F$6:$F$29,MATCH(B159,'Root Registry'!$A$6:$A$29,0))</x:f>
      </x:c>
      <x:c r="L159" s="43" t="str"/>
      <x:c r="M159" s="43" t="str"/>
      <x:c r="N159" s="43" t="str"/>
      <x:c r="O159" s="43" t="str"/>
      <x:c r="P159" s="43" t="str"/>
      <x:c r="Q159" s="75" t="str">
        <x:f>S158</x:f>
        <x:v>SOURCE EMPTY</x:v>
      </x:c>
      <x:c r="R159" s="75" t="str">
        <x:f>IF(L159="","SOURCE EMPTY",IF(L159=J159,"ROOT COLLISION",IF(AND(M159&lt;&gt;"",M159=L159),"DUAL-KEY COLLISION","CLEAR")))</x:f>
        <x:v>SOURCE EMPTY</x:v>
      </x:c>
      <x:c r="S159" s="75" t="str">
        <x:f>IF(OR(J159="",L159="",M159="",N159="",O159=""),"SOURCE EMPTY",IF(AND(OR(D159=4,D159=5,D159=8),K159=""),"SOURCE EMPTY",IF(R159&lt;&gt;"CLEAR","COLLISION",IF(P159&lt;&gt;"","ROLLBACK",IF(O159&lt;&gt;"ACCEPT","HOLD",IF(OR(D159=1,Q159="ACCEPTED"),"ACCEPTED","SEQUENCE HOLD"))))))</x:f>
        <x:v>SOURCE EMPTY</x:v>
      </x:c>
      <x:c r="T159" s="85" t="n">
        <x:f>IF(S159="ACCEPTED",H159*I159,0)</x:f>
        <x:v>0</x:v>
      </x:c>
      <x:c r="U159" s="75"/>
      <x:c r="V159" s="75"/>
      <x:c r="W159" s="75"/>
      <x:c r="X159" s="75"/>
      <x:c r="Y159" s="75"/>
      <x:c r="Z159" s="75"/>
    </x:row>
    <x:row r="160" ht="20" customHeight="1">
      <x:c r="A160" s="86" t="str">
        <x:v>MS-LF-A-SW-11</x:v>
      </x:c>
      <x:c r="B160" s="75" t="str">
        <x:v>MS-LF-A</x:v>
      </x:c>
      <x:c r="C160" s="75" t="str">
        <x:v>MS-LF</x:v>
      </x:c>
      <x:c r="D160" s="75" t="n">
        <x:v>11</x:v>
      </x:c>
      <x:c r="E160" s="75" t="str">
        <x:v>SW-11</x:v>
      </x:c>
      <x:c r="F160" s="86" t="str">
        <x:v>Civil Resilience Authority</x:v>
      </x:c>
      <x:c r="G160" s="86" t="str">
        <x:v>Affected Civil Authority</x:v>
      </x:c>
      <x:c r="H160" s="88" t="n">
        <x:v>0.07</x:v>
      </x:c>
      <x:c r="I160" s="85" t="n">
        <x:f>INDEX('Root Registry'!$G$6:$G$29,MATCH(B160,'Root Registry'!$A$6:$A$29,0))</x:f>
        <x:v>18</x:v>
      </x:c>
      <x:c r="J160" s="75" t="str">
        <x:f>INDEX('Root Registry'!$D$6:$D$29,MATCH(B160,'Root Registry'!$A$6:$A$29,0))</x:f>
      </x:c>
      <x:c r="K160" s="75" t="str">
        <x:f>INDEX('Root Registry'!$F$6:$F$29,MATCH(B160,'Root Registry'!$A$6:$A$29,0))</x:f>
      </x:c>
      <x:c r="L160" s="43" t="str"/>
      <x:c r="M160" s="43" t="str"/>
      <x:c r="N160" s="43" t="str"/>
      <x:c r="O160" s="43" t="str"/>
      <x:c r="P160" s="43" t="str"/>
      <x:c r="Q160" s="75" t="str">
        <x:f>S159</x:f>
        <x:v>SOURCE EMPTY</x:v>
      </x:c>
      <x:c r="R160" s="75" t="str">
        <x:f>IF(L160="","SOURCE EMPTY",IF(L160=J160,"ROOT COLLISION",IF(AND(M160&lt;&gt;"",M160=L160),"DUAL-KEY COLLISION","CLEAR")))</x:f>
        <x:v>SOURCE EMPTY</x:v>
      </x:c>
      <x:c r="S160" s="75" t="str">
        <x:f>IF(OR(J160="",L160="",M160="",N160="",O160=""),"SOURCE EMPTY",IF(AND(OR(D160=4,D160=5,D160=8),K160=""),"SOURCE EMPTY",IF(R160&lt;&gt;"CLEAR","COLLISION",IF(P160&lt;&gt;"","ROLLBACK",IF(O160&lt;&gt;"ACCEPT","HOLD",IF(OR(D160=1,Q160="ACCEPTED"),"ACCEPTED","SEQUENCE HOLD"))))))</x:f>
        <x:v>SOURCE EMPTY</x:v>
      </x:c>
      <x:c r="T160" s="85" t="n">
        <x:f>IF(S160="ACCEPTED",H160*I160,0)</x:f>
        <x:v>0</x:v>
      </x:c>
      <x:c r="U160" s="75"/>
      <x:c r="V160" s="75"/>
      <x:c r="W160" s="75"/>
      <x:c r="X160" s="75"/>
      <x:c r="Y160" s="75"/>
      <x:c r="Z160" s="75"/>
    </x:row>
    <x:row r="161" ht="20" customHeight="1">
      <x:c r="A161" s="86" t="str">
        <x:v>MS-LF-A-GW-12</x:v>
      </x:c>
      <x:c r="B161" s="75" t="str">
        <x:v>MS-LF-A</x:v>
      </x:c>
      <x:c r="C161" s="75" t="str">
        <x:v>MS-LF</x:v>
      </x:c>
      <x:c r="D161" s="75" t="n">
        <x:v>12</x:v>
      </x:c>
      <x:c r="E161" s="75" t="str">
        <x:v>GW-12</x:v>
      </x:c>
      <x:c r="F161" s="86" t="str">
        <x:v>Strategic Sustainment Command</x:v>
      </x:c>
      <x:c r="G161" s="86" t="str">
        <x:v>Joint Capacity Authority</x:v>
      </x:c>
      <x:c r="H161" s="88" t="n">
        <x:v>0.05</x:v>
      </x:c>
      <x:c r="I161" s="85" t="n">
        <x:f>INDEX('Root Registry'!$G$6:$G$29,MATCH(B161,'Root Registry'!$A$6:$A$29,0))</x:f>
        <x:v>18</x:v>
      </x:c>
      <x:c r="J161" s="75" t="str">
        <x:f>INDEX('Root Registry'!$D$6:$D$29,MATCH(B161,'Root Registry'!$A$6:$A$29,0))</x:f>
      </x:c>
      <x:c r="K161" s="75" t="str">
        <x:f>INDEX('Root Registry'!$F$6:$F$29,MATCH(B161,'Root Registry'!$A$6:$A$29,0))</x:f>
      </x:c>
      <x:c r="L161" s="43" t="str"/>
      <x:c r="M161" s="43" t="str"/>
      <x:c r="N161" s="43" t="str"/>
      <x:c r="O161" s="43" t="str"/>
      <x:c r="P161" s="43" t="str"/>
      <x:c r="Q161" s="75" t="str">
        <x:f>S160</x:f>
        <x:v>SOURCE EMPTY</x:v>
      </x:c>
      <x:c r="R161" s="75" t="str">
        <x:f>IF(L161="","SOURCE EMPTY",IF(L161=J161,"ROOT COLLISION",IF(AND(M161&lt;&gt;"",M161=L161),"DUAL-KEY COLLISION","CLEAR")))</x:f>
        <x:v>SOURCE EMPTY</x:v>
      </x:c>
      <x:c r="S161" s="75" t="str">
        <x:f>IF(OR(J161="",L161="",M161="",N161="",O161=""),"SOURCE EMPTY",IF(AND(OR(D161=4,D161=5,D161=8),K161=""),"SOURCE EMPTY",IF(R161&lt;&gt;"CLEAR","COLLISION",IF(P161&lt;&gt;"","ROLLBACK",IF(O161&lt;&gt;"ACCEPT","HOLD",IF(OR(D161=1,Q161="ACCEPTED"),"ACCEPTED","SEQUENCE HOLD"))))))</x:f>
        <x:v>SOURCE EMPTY</x:v>
      </x:c>
      <x:c r="T161" s="85" t="n">
        <x:f>IF(S161="ACCEPTED",H161*I161,0)</x:f>
        <x:v>0</x:v>
      </x:c>
      <x:c r="U161" s="75"/>
      <x:c r="V161" s="75"/>
      <x:c r="W161" s="75"/>
      <x:c r="X161" s="75"/>
      <x:c r="Y161" s="75"/>
      <x:c r="Z161" s="75"/>
    </x:row>
    <x:row r="162" ht="20" customHeight="1">
      <x:c r="A162" s="86" t="str">
        <x:v>MS-LF-B-PW-01</x:v>
      </x:c>
      <x:c r="B162" s="75" t="str">
        <x:v>MS-LF-B</x:v>
      </x:c>
      <x:c r="C162" s="75" t="str">
        <x:v>MS-LF</x:v>
      </x:c>
      <x:c r="D162" s="75" t="n">
        <x:v>1</x:v>
      </x:c>
      <x:c r="E162" s="75" t="str">
        <x:v>PW-01</x:v>
      </x:c>
      <x:c r="F162" s="86" t="str">
        <x:v>Civil Resilience Authority</x:v>
      </x:c>
      <x:c r="G162" s="86" t="str">
        <x:v>Public Effect College</x:v>
      </x:c>
      <x:c r="H162" s="88" t="n">
        <x:v>0.01</x:v>
      </x:c>
      <x:c r="I162" s="85" t="n">
        <x:f>INDEX('Root Registry'!$G$6:$G$29,MATCH(B162,'Root Registry'!$A$6:$A$29,0))</x:f>
        <x:v>18</x:v>
      </x:c>
      <x:c r="J162" s="75" t="str">
        <x:f>INDEX('Root Registry'!$D$6:$D$29,MATCH(B162,'Root Registry'!$A$6:$A$29,0))</x:f>
      </x:c>
      <x:c r="K162" s="75" t="str">
        <x:f>INDEX('Root Registry'!$F$6:$F$29,MATCH(B162,'Root Registry'!$A$6:$A$29,0))</x:f>
      </x:c>
      <x:c r="L162" s="43" t="str"/>
      <x:c r="M162" s="43" t="str"/>
      <x:c r="N162" s="43" t="str"/>
      <x:c r="O162" s="43" t="str"/>
      <x:c r="P162" s="43" t="str"/>
      <x:c r="Q162" s="75" t="str">
        <x:f>"ORIGIN"</x:f>
        <x:v>ORIGIN</x:v>
      </x:c>
      <x:c r="R162" s="75" t="str">
        <x:f>IF(L162="","SOURCE EMPTY",IF(L162=J162,"ROOT COLLISION",IF(AND(M162&lt;&gt;"",M162=L162),"DUAL-KEY COLLISION","CLEAR")))</x:f>
        <x:v>SOURCE EMPTY</x:v>
      </x:c>
      <x:c r="S162" s="75" t="str">
        <x:f>IF(OR(J162="",L162="",M162="",N162="",O162=""),"SOURCE EMPTY",IF(AND(OR(D162=4,D162=5,D162=8),K162=""),"SOURCE EMPTY",IF(R162&lt;&gt;"CLEAR","COLLISION",IF(P162&lt;&gt;"","ROLLBACK",IF(O162&lt;&gt;"ACCEPT","HOLD",IF(OR(D162=1,Q162="ACCEPTED"),"ACCEPTED","SEQUENCE HOLD"))))))</x:f>
        <x:v>SOURCE EMPTY</x:v>
      </x:c>
      <x:c r="T162" s="85" t="n">
        <x:f>IF(S162="ACCEPTED",H162*I162,0)</x:f>
        <x:v>0</x:v>
      </x:c>
      <x:c r="U162" s="75"/>
      <x:c r="V162" s="75"/>
      <x:c r="W162" s="75"/>
      <x:c r="X162" s="75"/>
      <x:c r="Y162" s="75"/>
      <x:c r="Z162" s="75"/>
    </x:row>
    <x:row r="163" ht="20" customHeight="1">
      <x:c r="A163" s="86" t="str">
        <x:v>MS-LF-B-MW-02</x:v>
      </x:c>
      <x:c r="B163" s="75" t="str">
        <x:v>MS-LF-B</x:v>
      </x:c>
      <x:c r="C163" s="75" t="str">
        <x:v>MS-LF</x:v>
      </x:c>
      <x:c r="D163" s="75" t="n">
        <x:v>2</x:v>
      </x:c>
      <x:c r="E163" s="75" t="str">
        <x:v>MW-02</x:v>
      </x:c>
      <x:c r="F163" s="86" t="str">
        <x:v>Mission System Command</x:v>
      </x:c>
      <x:c r="G163" s="86" t="str">
        <x:v>Civil Resilience Authority</x:v>
      </x:c>
      <x:c r="H163" s="88" t="n">
        <x:v>0.02</x:v>
      </x:c>
      <x:c r="I163" s="85" t="n">
        <x:f>INDEX('Root Registry'!$G$6:$G$29,MATCH(B163,'Root Registry'!$A$6:$A$29,0))</x:f>
        <x:v>18</x:v>
      </x:c>
      <x:c r="J163" s="75" t="str">
        <x:f>INDEX('Root Registry'!$D$6:$D$29,MATCH(B163,'Root Registry'!$A$6:$A$29,0))</x:f>
      </x:c>
      <x:c r="K163" s="75" t="str">
        <x:f>INDEX('Root Registry'!$F$6:$F$29,MATCH(B163,'Root Registry'!$A$6:$A$29,0))</x:f>
      </x:c>
      <x:c r="L163" s="43" t="str"/>
      <x:c r="M163" s="43" t="str"/>
      <x:c r="N163" s="43" t="str"/>
      <x:c r="O163" s="43" t="str"/>
      <x:c r="P163" s="43" t="str"/>
      <x:c r="Q163" s="75" t="str">
        <x:f>S162</x:f>
        <x:v>SOURCE EMPTY</x:v>
      </x:c>
      <x:c r="R163" s="75" t="str">
        <x:f>IF(L163="","SOURCE EMPTY",IF(L163=J163,"ROOT COLLISION",IF(AND(M163&lt;&gt;"",M163=L163),"DUAL-KEY COLLISION","CLEAR")))</x:f>
        <x:v>SOURCE EMPTY</x:v>
      </x:c>
      <x:c r="S163" s="75" t="str">
        <x:f>IF(OR(J163="",L163="",M163="",N163="",O163=""),"SOURCE EMPTY",IF(AND(OR(D163=4,D163=5,D163=8),K163=""),"SOURCE EMPTY",IF(R163&lt;&gt;"CLEAR","COLLISION",IF(P163&lt;&gt;"","ROLLBACK",IF(O163&lt;&gt;"ACCEPT","HOLD",IF(OR(D163=1,Q163="ACCEPTED"),"ACCEPTED","SEQUENCE HOLD"))))))</x:f>
        <x:v>SOURCE EMPTY</x:v>
      </x:c>
      <x:c r="T163" s="85" t="n">
        <x:f>IF(S163="ACCEPTED",H163*I163,0)</x:f>
        <x:v>0</x:v>
      </x:c>
      <x:c r="U163" s="75"/>
      <x:c r="V163" s="75"/>
      <x:c r="W163" s="75"/>
      <x:c r="X163" s="75"/>
      <x:c r="Y163" s="75"/>
      <x:c r="Z163" s="75"/>
    </x:row>
    <x:row r="164" ht="20" customHeight="1">
      <x:c r="A164" s="86" t="str">
        <x:v>MS-LF-B-FW-03</x:v>
      </x:c>
      <x:c r="B164" s="75" t="str">
        <x:v>MS-LF-B</x:v>
      </x:c>
      <x:c r="C164" s="75" t="str">
        <x:v>MS-LF</x:v>
      </x:c>
      <x:c r="D164" s="75" t="n">
        <x:v>3</x:v>
      </x:c>
      <x:c r="E164" s="75" t="str">
        <x:v>FW-03</x:v>
      </x:c>
      <x:c r="F164" s="86" t="str">
        <x:v>Department Capital Board</x:v>
      </x:c>
      <x:c r="G164" s="86" t="str">
        <x:v>Failure Reserve Trustee</x:v>
      </x:c>
      <x:c r="H164" s="88" t="n">
        <x:v>0.05</x:v>
      </x:c>
      <x:c r="I164" s="85" t="n">
        <x:f>INDEX('Root Registry'!$G$6:$G$29,MATCH(B164,'Root Registry'!$A$6:$A$29,0))</x:f>
        <x:v>18</x:v>
      </x:c>
      <x:c r="J164" s="75" t="str">
        <x:f>INDEX('Root Registry'!$D$6:$D$29,MATCH(B164,'Root Registry'!$A$6:$A$29,0))</x:f>
      </x:c>
      <x:c r="K164" s="75" t="str">
        <x:f>INDEX('Root Registry'!$F$6:$F$29,MATCH(B164,'Root Registry'!$A$6:$A$29,0))</x:f>
      </x:c>
      <x:c r="L164" s="43" t="str"/>
      <x:c r="M164" s="43" t="str"/>
      <x:c r="N164" s="43" t="str"/>
      <x:c r="O164" s="43" t="str"/>
      <x:c r="P164" s="43" t="str"/>
      <x:c r="Q164" s="75" t="str">
        <x:f>S163</x:f>
        <x:v>SOURCE EMPTY</x:v>
      </x:c>
      <x:c r="R164" s="75" t="str">
        <x:f>IF(L164="","SOURCE EMPTY",IF(L164=J164,"ROOT COLLISION",IF(AND(M164&lt;&gt;"",M164=L164),"DUAL-KEY COLLISION","CLEAR")))</x:f>
        <x:v>SOURCE EMPTY</x:v>
      </x:c>
      <x:c r="S164" s="75" t="str">
        <x:f>IF(OR(J164="",L164="",M164="",N164="",O164=""),"SOURCE EMPTY",IF(AND(OR(D164=4,D164=5,D164=8),K164=""),"SOURCE EMPTY",IF(R164&lt;&gt;"CLEAR","COLLISION",IF(P164&lt;&gt;"","ROLLBACK",IF(O164&lt;&gt;"ACCEPT","HOLD",IF(OR(D164=1,Q164="ACCEPTED"),"ACCEPTED","SEQUENCE HOLD"))))))</x:f>
        <x:v>SOURCE EMPTY</x:v>
      </x:c>
      <x:c r="T164" s="85" t="n">
        <x:f>IF(S164="ACCEPTED",H164*I164,0)</x:f>
        <x:v>0</x:v>
      </x:c>
      <x:c r="U164" s="75"/>
      <x:c r="V164" s="75"/>
      <x:c r="W164" s="75"/>
      <x:c r="X164" s="75"/>
      <x:c r="Y164" s="75"/>
      <x:c r="Z164" s="75"/>
    </x:row>
    <x:row r="165" ht="20" customHeight="1">
      <x:c r="A165" s="86" t="str">
        <x:v>MS-LF-B-CW-04</x:v>
      </x:c>
      <x:c r="B165" s="75" t="str">
        <x:v>MS-LF-B</x:v>
      </x:c>
      <x:c r="C165" s="75" t="str">
        <x:v>MS-LF</x:v>
      </x:c>
      <x:c r="D165" s="75" t="n">
        <x:v>4</x:v>
      </x:c>
      <x:c r="E165" s="75" t="str">
        <x:v>CW-04</x:v>
      </x:c>
      <x:c r="F165" s="86" t="str">
        <x:v>Service Technical College</x:v>
      </x:c>
      <x:c r="G165" s="86" t="str">
        <x:v>Independent Root House</x:v>
      </x:c>
      <x:c r="H165" s="88" t="n">
        <x:v>0.12</x:v>
      </x:c>
      <x:c r="I165" s="85" t="n">
        <x:f>INDEX('Root Registry'!$G$6:$G$29,MATCH(B165,'Root Registry'!$A$6:$A$29,0))</x:f>
        <x:v>18</x:v>
      </x:c>
      <x:c r="J165" s="75" t="str">
        <x:f>INDEX('Root Registry'!$D$6:$D$29,MATCH(B165,'Root Registry'!$A$6:$A$29,0))</x:f>
      </x:c>
      <x:c r="K165" s="75" t="str">
        <x:f>INDEX('Root Registry'!$F$6:$F$29,MATCH(B165,'Root Registry'!$A$6:$A$29,0))</x:f>
      </x:c>
      <x:c r="L165" s="43" t="str"/>
      <x:c r="M165" s="43" t="str"/>
      <x:c r="N165" s="43" t="str"/>
      <x:c r="O165" s="43" t="str"/>
      <x:c r="P165" s="43" t="str"/>
      <x:c r="Q165" s="75" t="str">
        <x:f>S164</x:f>
        <x:v>SOURCE EMPTY</x:v>
      </x:c>
      <x:c r="R165" s="75" t="str">
        <x:f>IF(L165="","SOURCE EMPTY",IF(L165=J165,"ROOT COLLISION",IF(AND(M165&lt;&gt;"",M165=L165),"DUAL-KEY COLLISION","CLEAR")))</x:f>
        <x:v>SOURCE EMPTY</x:v>
      </x:c>
      <x:c r="S165" s="75" t="str">
        <x:f>IF(OR(J165="",L165="",M165="",N165="",O165=""),"SOURCE EMPTY",IF(AND(OR(D165=4,D165=5,D165=8),K165=""),"SOURCE EMPTY",IF(R165&lt;&gt;"CLEAR","COLLISION",IF(P165&lt;&gt;"","ROLLBACK",IF(O165&lt;&gt;"ACCEPT","HOLD",IF(OR(D165=1,Q165="ACCEPTED"),"ACCEPTED","SEQUENCE HOLD"))))))</x:f>
        <x:v>SOURCE EMPTY</x:v>
      </x:c>
      <x:c r="T165" s="85" t="n">
        <x:f>IF(S165="ACCEPTED",H165*I165,0)</x:f>
        <x:v>0</x:v>
      </x:c>
      <x:c r="U165" s="75"/>
      <x:c r="V165" s="75"/>
      <x:c r="W165" s="75"/>
      <x:c r="X165" s="75"/>
      <x:c r="Y165" s="75"/>
      <x:c r="Z165" s="75"/>
    </x:row>
    <x:row r="166" ht="20" customHeight="1">
      <x:c r="A166" s="86" t="str">
        <x:v>MS-LF-B-TW-05</x:v>
      </x:c>
      <x:c r="B166" s="75" t="str">
        <x:v>MS-LF-B</x:v>
      </x:c>
      <x:c r="C166" s="75" t="str">
        <x:v>MS-LF</x:v>
      </x:c>
      <x:c r="D166" s="75" t="n">
        <x:v>5</x:v>
      </x:c>
      <x:c r="E166" s="75" t="str">
        <x:v>TW-05</x:v>
      </x:c>
      <x:c r="F166" s="86" t="str">
        <x:v>Service Technical College</x:v>
      </x:c>
      <x:c r="G166" s="86" t="str">
        <x:v>Public Protection Inspectorate</x:v>
      </x:c>
      <x:c r="H166" s="88" t="n">
        <x:v>0.08</x:v>
      </x:c>
      <x:c r="I166" s="85" t="n">
        <x:f>INDEX('Root Registry'!$G$6:$G$29,MATCH(B166,'Root Registry'!$A$6:$A$29,0))</x:f>
        <x:v>18</x:v>
      </x:c>
      <x:c r="J166" s="75" t="str">
        <x:f>INDEX('Root Registry'!$D$6:$D$29,MATCH(B166,'Root Registry'!$A$6:$A$29,0))</x:f>
      </x:c>
      <x:c r="K166" s="75" t="str">
        <x:f>INDEX('Root Registry'!$F$6:$F$29,MATCH(B166,'Root Registry'!$A$6:$A$29,0))</x:f>
      </x:c>
      <x:c r="L166" s="43" t="str"/>
      <x:c r="M166" s="43" t="str"/>
      <x:c r="N166" s="43" t="str"/>
      <x:c r="O166" s="43" t="str"/>
      <x:c r="P166" s="43" t="str"/>
      <x:c r="Q166" s="75" t="str">
        <x:f>S165</x:f>
        <x:v>SOURCE EMPTY</x:v>
      </x:c>
      <x:c r="R166" s="75" t="str">
        <x:f>IF(L166="","SOURCE EMPTY",IF(L166=J166,"ROOT COLLISION",IF(AND(M166&lt;&gt;"",M166=L166),"DUAL-KEY COLLISION","CLEAR")))</x:f>
        <x:v>SOURCE EMPTY</x:v>
      </x:c>
      <x:c r="S166" s="75" t="str">
        <x:f>IF(OR(J166="",L166="",M166="",N166="",O166=""),"SOURCE EMPTY",IF(AND(OR(D166=4,D166=5,D166=8),K166=""),"SOURCE EMPTY",IF(R166&lt;&gt;"CLEAR","COLLISION",IF(P166&lt;&gt;"","ROLLBACK",IF(O166&lt;&gt;"ACCEPT","HOLD",IF(OR(D166=1,Q166="ACCEPTED"),"ACCEPTED","SEQUENCE HOLD"))))))</x:f>
        <x:v>SOURCE EMPTY</x:v>
      </x:c>
      <x:c r="T166" s="85" t="n">
        <x:f>IF(S166="ACCEPTED",H166*I166,0)</x:f>
        <x:v>0</x:v>
      </x:c>
      <x:c r="U166" s="75"/>
      <x:c r="V166" s="75"/>
      <x:c r="W166" s="75"/>
      <x:c r="X166" s="75"/>
      <x:c r="Y166" s="75"/>
      <x:c r="Z166" s="75"/>
    </x:row>
    <x:row r="167" ht="20" customHeight="1">
      <x:c r="A167" s="86" t="str">
        <x:v>MS-LF-B-EW-06</x:v>
      </x:c>
      <x:c r="B167" s="75" t="str">
        <x:v>MS-LF-B</x:v>
      </x:c>
      <x:c r="C167" s="75" t="str">
        <x:v>MS-LF</x:v>
      </x:c>
      <x:c r="D167" s="75" t="n">
        <x:v>6</x:v>
      </x:c>
      <x:c r="E167" s="75" t="str">
        <x:v>EW-06</x:v>
      </x:c>
      <x:c r="F167" s="86" t="str">
        <x:v>Resilience Proving Service</x:v>
      </x:c>
      <x:c r="G167" s="86" t="str">
        <x:v>Public Effect College</x:v>
      </x:c>
      <x:c r="H167" s="88" t="n">
        <x:v>0.2</x:v>
      </x:c>
      <x:c r="I167" s="85" t="n">
        <x:f>INDEX('Root Registry'!$G$6:$G$29,MATCH(B167,'Root Registry'!$A$6:$A$29,0))</x:f>
        <x:v>18</x:v>
      </x:c>
      <x:c r="J167" s="75" t="str">
        <x:f>INDEX('Root Registry'!$D$6:$D$29,MATCH(B167,'Root Registry'!$A$6:$A$29,0))</x:f>
      </x:c>
      <x:c r="K167" s="75" t="str">
        <x:f>INDEX('Root Registry'!$F$6:$F$29,MATCH(B167,'Root Registry'!$A$6:$A$29,0))</x:f>
      </x:c>
      <x:c r="L167" s="43" t="str"/>
      <x:c r="M167" s="43" t="str"/>
      <x:c r="N167" s="43" t="str"/>
      <x:c r="O167" s="43" t="str"/>
      <x:c r="P167" s="43" t="str"/>
      <x:c r="Q167" s="75" t="str">
        <x:f>S166</x:f>
        <x:v>SOURCE EMPTY</x:v>
      </x:c>
      <x:c r="R167" s="75" t="str">
        <x:f>IF(L167="","SOURCE EMPTY",IF(L167=J167,"ROOT COLLISION",IF(AND(M167&lt;&gt;"",M167=L167),"DUAL-KEY COLLISION","CLEAR")))</x:f>
        <x:v>SOURCE EMPTY</x:v>
      </x:c>
      <x:c r="S167" s="75" t="str">
        <x:f>IF(OR(J167="",L167="",M167="",N167="",O167=""),"SOURCE EMPTY",IF(AND(OR(D167=4,D167=5,D167=8),K167=""),"SOURCE EMPTY",IF(R167&lt;&gt;"CLEAR","COLLISION",IF(P167&lt;&gt;"","ROLLBACK",IF(O167&lt;&gt;"ACCEPT","HOLD",IF(OR(D167=1,Q167="ACCEPTED"),"ACCEPTED","SEQUENCE HOLD"))))))</x:f>
        <x:v>SOURCE EMPTY</x:v>
      </x:c>
      <x:c r="T167" s="85" t="n">
        <x:f>IF(S167="ACCEPTED",H167*I167,0)</x:f>
        <x:v>0</x:v>
      </x:c>
      <x:c r="U167" s="75"/>
      <x:c r="V167" s="75"/>
      <x:c r="W167" s="75"/>
      <x:c r="X167" s="75"/>
      <x:c r="Y167" s="75"/>
      <x:c r="Z167" s="75"/>
    </x:row>
    <x:row r="168" ht="20" customHeight="1">
      <x:c r="A168" s="86" t="str">
        <x:v>MS-LF-B-IW-07</x:v>
      </x:c>
      <x:c r="B168" s="75" t="str">
        <x:v>MS-LF-B</x:v>
      </x:c>
      <x:c r="C168" s="75" t="str">
        <x:v>MS-LF</x:v>
      </x:c>
      <x:c r="D168" s="75" t="n">
        <x:v>7</x:v>
      </x:c>
      <x:c r="E168" s="75" t="str">
        <x:v>IW-07</x:v>
      </x:c>
      <x:c r="F168" s="86" t="str">
        <x:v>Industrial Mobilization Administration</x:v>
      </x:c>
      <x:c r="G168" s="86" t="str">
        <x:v>Reconstruction Command</x:v>
      </x:c>
      <x:c r="H168" s="88" t="n">
        <x:v>0.15</x:v>
      </x:c>
      <x:c r="I168" s="85" t="n">
        <x:f>INDEX('Root Registry'!$G$6:$G$29,MATCH(B168,'Root Registry'!$A$6:$A$29,0))</x:f>
        <x:v>18</x:v>
      </x:c>
      <x:c r="J168" s="75" t="str">
        <x:f>INDEX('Root Registry'!$D$6:$D$29,MATCH(B168,'Root Registry'!$A$6:$A$29,0))</x:f>
      </x:c>
      <x:c r="K168" s="75" t="str">
        <x:f>INDEX('Root Registry'!$F$6:$F$29,MATCH(B168,'Root Registry'!$A$6:$A$29,0))</x:f>
      </x:c>
      <x:c r="L168" s="43" t="str"/>
      <x:c r="M168" s="43" t="str"/>
      <x:c r="N168" s="43" t="str"/>
      <x:c r="O168" s="43" t="str"/>
      <x:c r="P168" s="43" t="str"/>
      <x:c r="Q168" s="75" t="str">
        <x:f>S167</x:f>
        <x:v>SOURCE EMPTY</x:v>
      </x:c>
      <x:c r="R168" s="75" t="str">
        <x:f>IF(L168="","SOURCE EMPTY",IF(L168=J168,"ROOT COLLISION",IF(AND(M168&lt;&gt;"",M168=L168),"DUAL-KEY COLLISION","CLEAR")))</x:f>
        <x:v>SOURCE EMPTY</x:v>
      </x:c>
      <x:c r="S168" s="75" t="str">
        <x:f>IF(OR(J168="",L168="",M168="",N168="",O168=""),"SOURCE EMPTY",IF(AND(OR(D168=4,D168=5,D168=8),K168=""),"SOURCE EMPTY",IF(R168&lt;&gt;"CLEAR","COLLISION",IF(P168&lt;&gt;"","ROLLBACK",IF(O168&lt;&gt;"ACCEPT","HOLD",IF(OR(D168=1,Q168="ACCEPTED"),"ACCEPTED","SEQUENCE HOLD"))))))</x:f>
        <x:v>SOURCE EMPTY</x:v>
      </x:c>
      <x:c r="T168" s="85" t="n">
        <x:f>IF(S168="ACCEPTED",H168*I168,0)</x:f>
        <x:v>0</x:v>
      </x:c>
      <x:c r="U168" s="75"/>
      <x:c r="V168" s="75"/>
      <x:c r="W168" s="75"/>
      <x:c r="X168" s="75"/>
      <x:c r="Y168" s="75"/>
      <x:c r="Z168" s="75"/>
    </x:row>
    <x:row r="169" ht="20" customHeight="1">
      <x:c r="A169" s="86" t="str">
        <x:v>MS-LF-B-CW-08</x:v>
      </x:c>
      <x:c r="B169" s="75" t="str">
        <x:v>MS-LF-B</x:v>
      </x:c>
      <x:c r="C169" s="75" t="str">
        <x:v>MS-LF</x:v>
      </x:c>
      <x:c r="D169" s="75" t="n">
        <x:v>8</x:v>
      </x:c>
      <x:c r="E169" s="75" t="str">
        <x:v>CW-08</x:v>
      </x:c>
      <x:c r="F169" s="86" t="str">
        <x:v>Operating Services</x:v>
      </x:c>
      <x:c r="G169" s="86" t="str">
        <x:v>Joint Capacity Authority</x:v>
      </x:c>
      <x:c r="H169" s="88" t="n">
        <x:v>0.12</x:v>
      </x:c>
      <x:c r="I169" s="85" t="n">
        <x:f>INDEX('Root Registry'!$G$6:$G$29,MATCH(B169,'Root Registry'!$A$6:$A$29,0))</x:f>
        <x:v>18</x:v>
      </x:c>
      <x:c r="J169" s="75" t="str">
        <x:f>INDEX('Root Registry'!$D$6:$D$29,MATCH(B169,'Root Registry'!$A$6:$A$29,0))</x:f>
      </x:c>
      <x:c r="K169" s="75" t="str">
        <x:f>INDEX('Root Registry'!$F$6:$F$29,MATCH(B169,'Root Registry'!$A$6:$A$29,0))</x:f>
      </x:c>
      <x:c r="L169" s="43" t="str"/>
      <x:c r="M169" s="43" t="str"/>
      <x:c r="N169" s="43" t="str"/>
      <x:c r="O169" s="43" t="str"/>
      <x:c r="P169" s="43" t="str"/>
      <x:c r="Q169" s="75" t="str">
        <x:f>S168</x:f>
        <x:v>SOURCE EMPTY</x:v>
      </x:c>
      <x:c r="R169" s="75" t="str">
        <x:f>IF(L169="","SOURCE EMPTY",IF(L169=J169,"ROOT COLLISION",IF(AND(M169&lt;&gt;"",M169=L169),"DUAL-KEY COLLISION","CLEAR")))</x:f>
        <x:v>SOURCE EMPTY</x:v>
      </x:c>
      <x:c r="S169" s="75" t="str">
        <x:f>IF(OR(J169="",L169="",M169="",N169="",O169=""),"SOURCE EMPTY",IF(AND(OR(D169=4,D169=5,D169=8),K169=""),"SOURCE EMPTY",IF(R169&lt;&gt;"CLEAR","COLLISION",IF(P169&lt;&gt;"","ROLLBACK",IF(O169&lt;&gt;"ACCEPT","HOLD",IF(OR(D169=1,Q169="ACCEPTED"),"ACCEPTED","SEQUENCE HOLD"))))))</x:f>
        <x:v>SOURCE EMPTY</x:v>
      </x:c>
      <x:c r="T169" s="85" t="n">
        <x:f>IF(S169="ACCEPTED",H169*I169,0)</x:f>
        <x:v>0</x:v>
      </x:c>
      <x:c r="U169" s="75"/>
      <x:c r="V169" s="75"/>
      <x:c r="W169" s="75"/>
      <x:c r="X169" s="75"/>
      <x:c r="Y169" s="75"/>
      <x:c r="Z169" s="75"/>
    </x:row>
    <x:row r="170" ht="20" customHeight="1">
      <x:c r="A170" s="86" t="str">
        <x:v>MS-LF-B-RW-09</x:v>
      </x:c>
      <x:c r="B170" s="75" t="str">
        <x:v>MS-LF-B</x:v>
      </x:c>
      <x:c r="C170" s="75" t="str">
        <x:v>MS-LF</x:v>
      </x:c>
      <x:c r="D170" s="75" t="n">
        <x:v>9</x:v>
      </x:c>
      <x:c r="E170" s="75" t="str">
        <x:v>RW-09</x:v>
      </x:c>
      <x:c r="F170" s="86" t="str">
        <x:v>Joint Capacity Authority</x:v>
      </x:c>
      <x:c r="G170" s="86" t="str">
        <x:v>Department Comptroller</x:v>
      </x:c>
      <x:c r="H170" s="88" t="n">
        <x:v>0.08</x:v>
      </x:c>
      <x:c r="I170" s="85" t="n">
        <x:f>INDEX('Root Registry'!$G$6:$G$29,MATCH(B170,'Root Registry'!$A$6:$A$29,0))</x:f>
        <x:v>18</x:v>
      </x:c>
      <x:c r="J170" s="75" t="str">
        <x:f>INDEX('Root Registry'!$D$6:$D$29,MATCH(B170,'Root Registry'!$A$6:$A$29,0))</x:f>
      </x:c>
      <x:c r="K170" s="75" t="str">
        <x:f>INDEX('Root Registry'!$F$6:$F$29,MATCH(B170,'Root Registry'!$A$6:$A$29,0))</x:f>
      </x:c>
      <x:c r="L170" s="43" t="str"/>
      <x:c r="M170" s="43" t="str"/>
      <x:c r="N170" s="43" t="str"/>
      <x:c r="O170" s="43" t="str"/>
      <x:c r="P170" s="43" t="str"/>
      <x:c r="Q170" s="75" t="str">
        <x:f>S169</x:f>
        <x:v>SOURCE EMPTY</x:v>
      </x:c>
      <x:c r="R170" s="75" t="str">
        <x:f>IF(L170="","SOURCE EMPTY",IF(L170=J170,"ROOT COLLISION",IF(AND(M170&lt;&gt;"",M170=L170),"DUAL-KEY COLLISION","CLEAR")))</x:f>
        <x:v>SOURCE EMPTY</x:v>
      </x:c>
      <x:c r="S170" s="75" t="str">
        <x:f>IF(OR(J170="",L170="",M170="",N170="",O170=""),"SOURCE EMPTY",IF(AND(OR(D170=4,D170=5,D170=8),K170=""),"SOURCE EMPTY",IF(R170&lt;&gt;"CLEAR","COLLISION",IF(P170&lt;&gt;"","ROLLBACK",IF(O170&lt;&gt;"ACCEPT","HOLD",IF(OR(D170=1,Q170="ACCEPTED"),"ACCEPTED","SEQUENCE HOLD"))))))</x:f>
        <x:v>SOURCE EMPTY</x:v>
      </x:c>
      <x:c r="T170" s="85" t="n">
        <x:f>IF(S170="ACCEPTED",H170*I170,0)</x:f>
        <x:v>0</x:v>
      </x:c>
      <x:c r="U170" s="75"/>
      <x:c r="V170" s="75"/>
      <x:c r="W170" s="75"/>
      <x:c r="X170" s="75"/>
      <x:c r="Y170" s="75"/>
      <x:c r="Z170" s="75"/>
    </x:row>
    <x:row r="171" ht="20" customHeight="1">
      <x:c r="A171" s="86" t="str">
        <x:v>MS-LF-B-OW-10</x:v>
      </x:c>
      <x:c r="B171" s="75" t="str">
        <x:v>MS-LF-B</x:v>
      </x:c>
      <x:c r="C171" s="75" t="str">
        <x:v>MS-LF</x:v>
      </x:c>
      <x:c r="D171" s="75" t="n">
        <x:v>10</x:v>
      </x:c>
      <x:c r="E171" s="75" t="str">
        <x:v>OW-10</x:v>
      </x:c>
      <x:c r="F171" s="86" t="str">
        <x:v>Operational Command</x:v>
      </x:c>
      <x:c r="G171" s="86" t="str">
        <x:v>Civil Resilience Authority</x:v>
      </x:c>
      <x:c r="H171" s="88" t="n">
        <x:v>0.05</x:v>
      </x:c>
      <x:c r="I171" s="85" t="n">
        <x:f>INDEX('Root Registry'!$G$6:$G$29,MATCH(B171,'Root Registry'!$A$6:$A$29,0))</x:f>
        <x:v>18</x:v>
      </x:c>
      <x:c r="J171" s="75" t="str">
        <x:f>INDEX('Root Registry'!$D$6:$D$29,MATCH(B171,'Root Registry'!$A$6:$A$29,0))</x:f>
      </x:c>
      <x:c r="K171" s="75" t="str">
        <x:f>INDEX('Root Registry'!$F$6:$F$29,MATCH(B171,'Root Registry'!$A$6:$A$29,0))</x:f>
      </x:c>
      <x:c r="L171" s="43" t="str"/>
      <x:c r="M171" s="43" t="str"/>
      <x:c r="N171" s="43" t="str"/>
      <x:c r="O171" s="43" t="str"/>
      <x:c r="P171" s="43" t="str"/>
      <x:c r="Q171" s="75" t="str">
        <x:f>S170</x:f>
        <x:v>SOURCE EMPTY</x:v>
      </x:c>
      <x:c r="R171" s="75" t="str">
        <x:f>IF(L171="","SOURCE EMPTY",IF(L171=J171,"ROOT COLLISION",IF(AND(M171&lt;&gt;"",M171=L171),"DUAL-KEY COLLISION","CLEAR")))</x:f>
        <x:v>SOURCE EMPTY</x:v>
      </x:c>
      <x:c r="S171" s="75" t="str">
        <x:f>IF(OR(J171="",L171="",M171="",N171="",O171=""),"SOURCE EMPTY",IF(AND(OR(D171=4,D171=5,D171=8),K171=""),"SOURCE EMPTY",IF(R171&lt;&gt;"CLEAR","COLLISION",IF(P171&lt;&gt;"","ROLLBACK",IF(O171&lt;&gt;"ACCEPT","HOLD",IF(OR(D171=1,Q171="ACCEPTED"),"ACCEPTED","SEQUENCE HOLD"))))))</x:f>
        <x:v>SOURCE EMPTY</x:v>
      </x:c>
      <x:c r="T171" s="85" t="n">
        <x:f>IF(S171="ACCEPTED",H171*I171,0)</x:f>
        <x:v>0</x:v>
      </x:c>
      <x:c r="U171" s="75"/>
      <x:c r="V171" s="75"/>
      <x:c r="W171" s="75"/>
      <x:c r="X171" s="75"/>
      <x:c r="Y171" s="75"/>
      <x:c r="Z171" s="75"/>
    </x:row>
    <x:row r="172" ht="20" customHeight="1">
      <x:c r="A172" s="86" t="str">
        <x:v>MS-LF-B-SW-11</x:v>
      </x:c>
      <x:c r="B172" s="75" t="str">
        <x:v>MS-LF-B</x:v>
      </x:c>
      <x:c r="C172" s="75" t="str">
        <x:v>MS-LF</x:v>
      </x:c>
      <x:c r="D172" s="75" t="n">
        <x:v>11</x:v>
      </x:c>
      <x:c r="E172" s="75" t="str">
        <x:v>SW-11</x:v>
      </x:c>
      <x:c r="F172" s="86" t="str">
        <x:v>Civil Resilience Authority</x:v>
      </x:c>
      <x:c r="G172" s="86" t="str">
        <x:v>Affected Civil Authority</x:v>
      </x:c>
      <x:c r="H172" s="88" t="n">
        <x:v>0.07</x:v>
      </x:c>
      <x:c r="I172" s="85" t="n">
        <x:f>INDEX('Root Registry'!$G$6:$G$29,MATCH(B172,'Root Registry'!$A$6:$A$29,0))</x:f>
        <x:v>18</x:v>
      </x:c>
      <x:c r="J172" s="75" t="str">
        <x:f>INDEX('Root Registry'!$D$6:$D$29,MATCH(B172,'Root Registry'!$A$6:$A$29,0))</x:f>
      </x:c>
      <x:c r="K172" s="75" t="str">
        <x:f>INDEX('Root Registry'!$F$6:$F$29,MATCH(B172,'Root Registry'!$A$6:$A$29,0))</x:f>
      </x:c>
      <x:c r="L172" s="43" t="str"/>
      <x:c r="M172" s="43" t="str"/>
      <x:c r="N172" s="43" t="str"/>
      <x:c r="O172" s="43" t="str"/>
      <x:c r="P172" s="43" t="str"/>
      <x:c r="Q172" s="75" t="str">
        <x:f>S171</x:f>
        <x:v>SOURCE EMPTY</x:v>
      </x:c>
      <x:c r="R172" s="75" t="str">
        <x:f>IF(L172="","SOURCE EMPTY",IF(L172=J172,"ROOT COLLISION",IF(AND(M172&lt;&gt;"",M172=L172),"DUAL-KEY COLLISION","CLEAR")))</x:f>
        <x:v>SOURCE EMPTY</x:v>
      </x:c>
      <x:c r="S172" s="75" t="str">
        <x:f>IF(OR(J172="",L172="",M172="",N172="",O172=""),"SOURCE EMPTY",IF(AND(OR(D172=4,D172=5,D172=8),K172=""),"SOURCE EMPTY",IF(R172&lt;&gt;"CLEAR","COLLISION",IF(P172&lt;&gt;"","ROLLBACK",IF(O172&lt;&gt;"ACCEPT","HOLD",IF(OR(D172=1,Q172="ACCEPTED"),"ACCEPTED","SEQUENCE HOLD"))))))</x:f>
        <x:v>SOURCE EMPTY</x:v>
      </x:c>
      <x:c r="T172" s="85" t="n">
        <x:f>IF(S172="ACCEPTED",H172*I172,0)</x:f>
        <x:v>0</x:v>
      </x:c>
      <x:c r="U172" s="75"/>
      <x:c r="V172" s="75"/>
      <x:c r="W172" s="75"/>
      <x:c r="X172" s="75"/>
      <x:c r="Y172" s="75"/>
      <x:c r="Z172" s="75"/>
    </x:row>
    <x:row r="173" ht="20" customHeight="1">
      <x:c r="A173" s="86" t="str">
        <x:v>MS-LF-B-GW-12</x:v>
      </x:c>
      <x:c r="B173" s="75" t="str">
        <x:v>MS-LF-B</x:v>
      </x:c>
      <x:c r="C173" s="75" t="str">
        <x:v>MS-LF</x:v>
      </x:c>
      <x:c r="D173" s="75" t="n">
        <x:v>12</x:v>
      </x:c>
      <x:c r="E173" s="75" t="str">
        <x:v>GW-12</x:v>
      </x:c>
      <x:c r="F173" s="86" t="str">
        <x:v>Strategic Sustainment Command</x:v>
      </x:c>
      <x:c r="G173" s="86" t="str">
        <x:v>Joint Capacity Authority</x:v>
      </x:c>
      <x:c r="H173" s="88" t="n">
        <x:v>0.05</x:v>
      </x:c>
      <x:c r="I173" s="85" t="n">
        <x:f>INDEX('Root Registry'!$G$6:$G$29,MATCH(B173,'Root Registry'!$A$6:$A$29,0))</x:f>
        <x:v>18</x:v>
      </x:c>
      <x:c r="J173" s="75" t="str">
        <x:f>INDEX('Root Registry'!$D$6:$D$29,MATCH(B173,'Root Registry'!$A$6:$A$29,0))</x:f>
      </x:c>
      <x:c r="K173" s="75" t="str">
        <x:f>INDEX('Root Registry'!$F$6:$F$29,MATCH(B173,'Root Registry'!$A$6:$A$29,0))</x:f>
      </x:c>
      <x:c r="L173" s="43" t="str"/>
      <x:c r="M173" s="43" t="str"/>
      <x:c r="N173" s="43" t="str"/>
      <x:c r="O173" s="43" t="str"/>
      <x:c r="P173" s="43" t="str"/>
      <x:c r="Q173" s="75" t="str">
        <x:f>S172</x:f>
        <x:v>SOURCE EMPTY</x:v>
      </x:c>
      <x:c r="R173" s="75" t="str">
        <x:f>IF(L173="","SOURCE EMPTY",IF(L173=J173,"ROOT COLLISION",IF(AND(M173&lt;&gt;"",M173=L173),"DUAL-KEY COLLISION","CLEAR")))</x:f>
        <x:v>SOURCE EMPTY</x:v>
      </x:c>
      <x:c r="S173" s="75" t="str">
        <x:f>IF(OR(J173="",L173="",M173="",N173="",O173=""),"SOURCE EMPTY",IF(AND(OR(D173=4,D173=5,D173=8),K173=""),"SOURCE EMPTY",IF(R173&lt;&gt;"CLEAR","COLLISION",IF(P173&lt;&gt;"","ROLLBACK",IF(O173&lt;&gt;"ACCEPT","HOLD",IF(OR(D173=1,Q173="ACCEPTED"),"ACCEPTED","SEQUENCE HOLD"))))))</x:f>
        <x:v>SOURCE EMPTY</x:v>
      </x:c>
      <x:c r="T173" s="85" t="n">
        <x:f>IF(S173="ACCEPTED",H173*I173,0)</x:f>
        <x:v>0</x:v>
      </x:c>
      <x:c r="U173" s="75"/>
      <x:c r="V173" s="75"/>
      <x:c r="W173" s="75"/>
      <x:c r="X173" s="75"/>
      <x:c r="Y173" s="75"/>
      <x:c r="Z173" s="75"/>
    </x:row>
    <x:row r="174" ht="20" customHeight="1">
      <x:c r="A174" s="86" t="str">
        <x:v>MS-LF-C-PW-01</x:v>
      </x:c>
      <x:c r="B174" s="75" t="str">
        <x:v>MS-LF-C</x:v>
      </x:c>
      <x:c r="C174" s="75" t="str">
        <x:v>MS-LF</x:v>
      </x:c>
      <x:c r="D174" s="75" t="n">
        <x:v>1</x:v>
      </x:c>
      <x:c r="E174" s="75" t="str">
        <x:v>PW-01</x:v>
      </x:c>
      <x:c r="F174" s="86" t="str">
        <x:v>Civil Resilience Authority</x:v>
      </x:c>
      <x:c r="G174" s="86" t="str">
        <x:v>Public Effect College</x:v>
      </x:c>
      <x:c r="H174" s="88" t="n">
        <x:v>0.01</x:v>
      </x:c>
      <x:c r="I174" s="85" t="n">
        <x:f>INDEX('Root Registry'!$G$6:$G$29,MATCH(B174,'Root Registry'!$A$6:$A$29,0))</x:f>
        <x:v>18</x:v>
      </x:c>
      <x:c r="J174" s="75" t="str">
        <x:f>INDEX('Root Registry'!$D$6:$D$29,MATCH(B174,'Root Registry'!$A$6:$A$29,0))</x:f>
      </x:c>
      <x:c r="K174" s="75" t="str">
        <x:f>INDEX('Root Registry'!$F$6:$F$29,MATCH(B174,'Root Registry'!$A$6:$A$29,0))</x:f>
      </x:c>
      <x:c r="L174" s="43" t="str"/>
      <x:c r="M174" s="43" t="str"/>
      <x:c r="N174" s="43" t="str"/>
      <x:c r="O174" s="43" t="str"/>
      <x:c r="P174" s="43" t="str"/>
      <x:c r="Q174" s="75" t="str">
        <x:f>"ORIGIN"</x:f>
        <x:v>ORIGIN</x:v>
      </x:c>
      <x:c r="R174" s="75" t="str">
        <x:f>IF(L174="","SOURCE EMPTY",IF(L174=J174,"ROOT COLLISION",IF(AND(M174&lt;&gt;"",M174=L174),"DUAL-KEY COLLISION","CLEAR")))</x:f>
        <x:v>SOURCE EMPTY</x:v>
      </x:c>
      <x:c r="S174" s="75" t="str">
        <x:f>IF(OR(J174="",L174="",M174="",N174="",O174=""),"SOURCE EMPTY",IF(AND(OR(D174=4,D174=5,D174=8),K174=""),"SOURCE EMPTY",IF(R174&lt;&gt;"CLEAR","COLLISION",IF(P174&lt;&gt;"","ROLLBACK",IF(O174&lt;&gt;"ACCEPT","HOLD",IF(OR(D174=1,Q174="ACCEPTED"),"ACCEPTED","SEQUENCE HOLD"))))))</x:f>
        <x:v>SOURCE EMPTY</x:v>
      </x:c>
      <x:c r="T174" s="85" t="n">
        <x:f>IF(S174="ACCEPTED",H174*I174,0)</x:f>
        <x:v>0</x:v>
      </x:c>
      <x:c r="U174" s="75"/>
      <x:c r="V174" s="75"/>
      <x:c r="W174" s="75"/>
      <x:c r="X174" s="75"/>
      <x:c r="Y174" s="75"/>
      <x:c r="Z174" s="75"/>
    </x:row>
    <x:row r="175" ht="20" customHeight="1">
      <x:c r="A175" s="86" t="str">
        <x:v>MS-LF-C-MW-02</x:v>
      </x:c>
      <x:c r="B175" s="75" t="str">
        <x:v>MS-LF-C</x:v>
      </x:c>
      <x:c r="C175" s="75" t="str">
        <x:v>MS-LF</x:v>
      </x:c>
      <x:c r="D175" s="75" t="n">
        <x:v>2</x:v>
      </x:c>
      <x:c r="E175" s="75" t="str">
        <x:v>MW-02</x:v>
      </x:c>
      <x:c r="F175" s="86" t="str">
        <x:v>Mission System Command</x:v>
      </x:c>
      <x:c r="G175" s="86" t="str">
        <x:v>Civil Resilience Authority</x:v>
      </x:c>
      <x:c r="H175" s="88" t="n">
        <x:v>0.02</x:v>
      </x:c>
      <x:c r="I175" s="85" t="n">
        <x:f>INDEX('Root Registry'!$G$6:$G$29,MATCH(B175,'Root Registry'!$A$6:$A$29,0))</x:f>
        <x:v>18</x:v>
      </x:c>
      <x:c r="J175" s="75" t="str">
        <x:f>INDEX('Root Registry'!$D$6:$D$29,MATCH(B175,'Root Registry'!$A$6:$A$29,0))</x:f>
      </x:c>
      <x:c r="K175" s="75" t="str">
        <x:f>INDEX('Root Registry'!$F$6:$F$29,MATCH(B175,'Root Registry'!$A$6:$A$29,0))</x:f>
      </x:c>
      <x:c r="L175" s="43" t="str"/>
      <x:c r="M175" s="43" t="str"/>
      <x:c r="N175" s="43" t="str"/>
      <x:c r="O175" s="43" t="str"/>
      <x:c r="P175" s="43" t="str"/>
      <x:c r="Q175" s="75" t="str">
        <x:f>S174</x:f>
        <x:v>SOURCE EMPTY</x:v>
      </x:c>
      <x:c r="R175" s="75" t="str">
        <x:f>IF(L175="","SOURCE EMPTY",IF(L175=J175,"ROOT COLLISION",IF(AND(M175&lt;&gt;"",M175=L175),"DUAL-KEY COLLISION","CLEAR")))</x:f>
        <x:v>SOURCE EMPTY</x:v>
      </x:c>
      <x:c r="S175" s="75" t="str">
        <x:f>IF(OR(J175="",L175="",M175="",N175="",O175=""),"SOURCE EMPTY",IF(AND(OR(D175=4,D175=5,D175=8),K175=""),"SOURCE EMPTY",IF(R175&lt;&gt;"CLEAR","COLLISION",IF(P175&lt;&gt;"","ROLLBACK",IF(O175&lt;&gt;"ACCEPT","HOLD",IF(OR(D175=1,Q175="ACCEPTED"),"ACCEPTED","SEQUENCE HOLD"))))))</x:f>
        <x:v>SOURCE EMPTY</x:v>
      </x:c>
      <x:c r="T175" s="85" t="n">
        <x:f>IF(S175="ACCEPTED",H175*I175,0)</x:f>
        <x:v>0</x:v>
      </x:c>
      <x:c r="U175" s="75"/>
      <x:c r="V175" s="75"/>
      <x:c r="W175" s="75"/>
      <x:c r="X175" s="75"/>
      <x:c r="Y175" s="75"/>
      <x:c r="Z175" s="75"/>
    </x:row>
    <x:row r="176" ht="20" customHeight="1">
      <x:c r="A176" s="86" t="str">
        <x:v>MS-LF-C-FW-03</x:v>
      </x:c>
      <x:c r="B176" s="75" t="str">
        <x:v>MS-LF-C</x:v>
      </x:c>
      <x:c r="C176" s="75" t="str">
        <x:v>MS-LF</x:v>
      </x:c>
      <x:c r="D176" s="75" t="n">
        <x:v>3</x:v>
      </x:c>
      <x:c r="E176" s="75" t="str">
        <x:v>FW-03</x:v>
      </x:c>
      <x:c r="F176" s="86" t="str">
        <x:v>Department Capital Board</x:v>
      </x:c>
      <x:c r="G176" s="86" t="str">
        <x:v>Failure Reserve Trustee</x:v>
      </x:c>
      <x:c r="H176" s="88" t="n">
        <x:v>0.05</x:v>
      </x:c>
      <x:c r="I176" s="85" t="n">
        <x:f>INDEX('Root Registry'!$G$6:$G$29,MATCH(B176,'Root Registry'!$A$6:$A$29,0))</x:f>
        <x:v>18</x:v>
      </x:c>
      <x:c r="J176" s="75" t="str">
        <x:f>INDEX('Root Registry'!$D$6:$D$29,MATCH(B176,'Root Registry'!$A$6:$A$29,0))</x:f>
      </x:c>
      <x:c r="K176" s="75" t="str">
        <x:f>INDEX('Root Registry'!$F$6:$F$29,MATCH(B176,'Root Registry'!$A$6:$A$29,0))</x:f>
      </x:c>
      <x:c r="L176" s="43" t="str"/>
      <x:c r="M176" s="43" t="str"/>
      <x:c r="N176" s="43" t="str"/>
      <x:c r="O176" s="43" t="str"/>
      <x:c r="P176" s="43" t="str"/>
      <x:c r="Q176" s="75" t="str">
        <x:f>S175</x:f>
        <x:v>SOURCE EMPTY</x:v>
      </x:c>
      <x:c r="R176" s="75" t="str">
        <x:f>IF(L176="","SOURCE EMPTY",IF(L176=J176,"ROOT COLLISION",IF(AND(M176&lt;&gt;"",M176=L176),"DUAL-KEY COLLISION","CLEAR")))</x:f>
        <x:v>SOURCE EMPTY</x:v>
      </x:c>
      <x:c r="S176" s="75" t="str">
        <x:f>IF(OR(J176="",L176="",M176="",N176="",O176=""),"SOURCE EMPTY",IF(AND(OR(D176=4,D176=5,D176=8),K176=""),"SOURCE EMPTY",IF(R176&lt;&gt;"CLEAR","COLLISION",IF(P176&lt;&gt;"","ROLLBACK",IF(O176&lt;&gt;"ACCEPT","HOLD",IF(OR(D176=1,Q176="ACCEPTED"),"ACCEPTED","SEQUENCE HOLD"))))))</x:f>
        <x:v>SOURCE EMPTY</x:v>
      </x:c>
      <x:c r="T176" s="85" t="n">
        <x:f>IF(S176="ACCEPTED",H176*I176,0)</x:f>
        <x:v>0</x:v>
      </x:c>
      <x:c r="U176" s="75"/>
      <x:c r="V176" s="75"/>
      <x:c r="W176" s="75"/>
      <x:c r="X176" s="75"/>
      <x:c r="Y176" s="75"/>
      <x:c r="Z176" s="75"/>
    </x:row>
    <x:row r="177" ht="20" customHeight="1">
      <x:c r="A177" s="86" t="str">
        <x:v>MS-LF-C-CW-04</x:v>
      </x:c>
      <x:c r="B177" s="75" t="str">
        <x:v>MS-LF-C</x:v>
      </x:c>
      <x:c r="C177" s="75" t="str">
        <x:v>MS-LF</x:v>
      </x:c>
      <x:c r="D177" s="75" t="n">
        <x:v>4</x:v>
      </x:c>
      <x:c r="E177" s="75" t="str">
        <x:v>CW-04</x:v>
      </x:c>
      <x:c r="F177" s="86" t="str">
        <x:v>Service Technical College</x:v>
      </x:c>
      <x:c r="G177" s="86" t="str">
        <x:v>Independent Root House</x:v>
      </x:c>
      <x:c r="H177" s="88" t="n">
        <x:v>0.12</x:v>
      </x:c>
      <x:c r="I177" s="85" t="n">
        <x:f>INDEX('Root Registry'!$G$6:$G$29,MATCH(B177,'Root Registry'!$A$6:$A$29,0))</x:f>
        <x:v>18</x:v>
      </x:c>
      <x:c r="J177" s="75" t="str">
        <x:f>INDEX('Root Registry'!$D$6:$D$29,MATCH(B177,'Root Registry'!$A$6:$A$29,0))</x:f>
      </x:c>
      <x:c r="K177" s="75" t="str">
        <x:f>INDEX('Root Registry'!$F$6:$F$29,MATCH(B177,'Root Registry'!$A$6:$A$29,0))</x:f>
      </x:c>
      <x:c r="L177" s="43" t="str"/>
      <x:c r="M177" s="43" t="str"/>
      <x:c r="N177" s="43" t="str"/>
      <x:c r="O177" s="43" t="str"/>
      <x:c r="P177" s="43" t="str"/>
      <x:c r="Q177" s="75" t="str">
        <x:f>S176</x:f>
        <x:v>SOURCE EMPTY</x:v>
      </x:c>
      <x:c r="R177" s="75" t="str">
        <x:f>IF(L177="","SOURCE EMPTY",IF(L177=J177,"ROOT COLLISION",IF(AND(M177&lt;&gt;"",M177=L177),"DUAL-KEY COLLISION","CLEAR")))</x:f>
        <x:v>SOURCE EMPTY</x:v>
      </x:c>
      <x:c r="S177" s="75" t="str">
        <x:f>IF(OR(J177="",L177="",M177="",N177="",O177=""),"SOURCE EMPTY",IF(AND(OR(D177=4,D177=5,D177=8),K177=""),"SOURCE EMPTY",IF(R177&lt;&gt;"CLEAR","COLLISION",IF(P177&lt;&gt;"","ROLLBACK",IF(O177&lt;&gt;"ACCEPT","HOLD",IF(OR(D177=1,Q177="ACCEPTED"),"ACCEPTED","SEQUENCE HOLD"))))))</x:f>
        <x:v>SOURCE EMPTY</x:v>
      </x:c>
      <x:c r="T177" s="85" t="n">
        <x:f>IF(S177="ACCEPTED",H177*I177,0)</x:f>
        <x:v>0</x:v>
      </x:c>
      <x:c r="U177" s="75"/>
      <x:c r="V177" s="75"/>
      <x:c r="W177" s="75"/>
      <x:c r="X177" s="75"/>
      <x:c r="Y177" s="75"/>
      <x:c r="Z177" s="75"/>
    </x:row>
    <x:row r="178" ht="20" customHeight="1">
      <x:c r="A178" s="86" t="str">
        <x:v>MS-LF-C-TW-05</x:v>
      </x:c>
      <x:c r="B178" s="75" t="str">
        <x:v>MS-LF-C</x:v>
      </x:c>
      <x:c r="C178" s="75" t="str">
        <x:v>MS-LF</x:v>
      </x:c>
      <x:c r="D178" s="75" t="n">
        <x:v>5</x:v>
      </x:c>
      <x:c r="E178" s="75" t="str">
        <x:v>TW-05</x:v>
      </x:c>
      <x:c r="F178" s="86" t="str">
        <x:v>Service Technical College</x:v>
      </x:c>
      <x:c r="G178" s="86" t="str">
        <x:v>Public Protection Inspectorate</x:v>
      </x:c>
      <x:c r="H178" s="88" t="n">
        <x:v>0.08</x:v>
      </x:c>
      <x:c r="I178" s="85" t="n">
        <x:f>INDEX('Root Registry'!$G$6:$G$29,MATCH(B178,'Root Registry'!$A$6:$A$29,0))</x:f>
        <x:v>18</x:v>
      </x:c>
      <x:c r="J178" s="75" t="str">
        <x:f>INDEX('Root Registry'!$D$6:$D$29,MATCH(B178,'Root Registry'!$A$6:$A$29,0))</x:f>
      </x:c>
      <x:c r="K178" s="75" t="str">
        <x:f>INDEX('Root Registry'!$F$6:$F$29,MATCH(B178,'Root Registry'!$A$6:$A$29,0))</x:f>
      </x:c>
      <x:c r="L178" s="43" t="str"/>
      <x:c r="M178" s="43" t="str"/>
      <x:c r="N178" s="43" t="str"/>
      <x:c r="O178" s="43" t="str"/>
      <x:c r="P178" s="43" t="str"/>
      <x:c r="Q178" s="75" t="str">
        <x:f>S177</x:f>
        <x:v>SOURCE EMPTY</x:v>
      </x:c>
      <x:c r="R178" s="75" t="str">
        <x:f>IF(L178="","SOURCE EMPTY",IF(L178=J178,"ROOT COLLISION",IF(AND(M178&lt;&gt;"",M178=L178),"DUAL-KEY COLLISION","CLEAR")))</x:f>
        <x:v>SOURCE EMPTY</x:v>
      </x:c>
      <x:c r="S178" s="75" t="str">
        <x:f>IF(OR(J178="",L178="",M178="",N178="",O178=""),"SOURCE EMPTY",IF(AND(OR(D178=4,D178=5,D178=8),K178=""),"SOURCE EMPTY",IF(R178&lt;&gt;"CLEAR","COLLISION",IF(P178&lt;&gt;"","ROLLBACK",IF(O178&lt;&gt;"ACCEPT","HOLD",IF(OR(D178=1,Q178="ACCEPTED"),"ACCEPTED","SEQUENCE HOLD"))))))</x:f>
        <x:v>SOURCE EMPTY</x:v>
      </x:c>
      <x:c r="T178" s="85" t="n">
        <x:f>IF(S178="ACCEPTED",H178*I178,0)</x:f>
        <x:v>0</x:v>
      </x:c>
      <x:c r="U178" s="75"/>
      <x:c r="V178" s="75"/>
      <x:c r="W178" s="75"/>
      <x:c r="X178" s="75"/>
      <x:c r="Y178" s="75"/>
      <x:c r="Z178" s="75"/>
    </x:row>
    <x:row r="179" ht="20" customHeight="1">
      <x:c r="A179" s="86" t="str">
        <x:v>MS-LF-C-EW-06</x:v>
      </x:c>
      <x:c r="B179" s="75" t="str">
        <x:v>MS-LF-C</x:v>
      </x:c>
      <x:c r="C179" s="75" t="str">
        <x:v>MS-LF</x:v>
      </x:c>
      <x:c r="D179" s="75" t="n">
        <x:v>6</x:v>
      </x:c>
      <x:c r="E179" s="75" t="str">
        <x:v>EW-06</x:v>
      </x:c>
      <x:c r="F179" s="86" t="str">
        <x:v>Resilience Proving Service</x:v>
      </x:c>
      <x:c r="G179" s="86" t="str">
        <x:v>Public Effect College</x:v>
      </x:c>
      <x:c r="H179" s="88" t="n">
        <x:v>0.2</x:v>
      </x:c>
      <x:c r="I179" s="85" t="n">
        <x:f>INDEX('Root Registry'!$G$6:$G$29,MATCH(B179,'Root Registry'!$A$6:$A$29,0))</x:f>
        <x:v>18</x:v>
      </x:c>
      <x:c r="J179" s="75" t="str">
        <x:f>INDEX('Root Registry'!$D$6:$D$29,MATCH(B179,'Root Registry'!$A$6:$A$29,0))</x:f>
      </x:c>
      <x:c r="K179" s="75" t="str">
        <x:f>INDEX('Root Registry'!$F$6:$F$29,MATCH(B179,'Root Registry'!$A$6:$A$29,0))</x:f>
      </x:c>
      <x:c r="L179" s="43" t="str"/>
      <x:c r="M179" s="43" t="str"/>
      <x:c r="N179" s="43" t="str"/>
      <x:c r="O179" s="43" t="str"/>
      <x:c r="P179" s="43" t="str"/>
      <x:c r="Q179" s="75" t="str">
        <x:f>S178</x:f>
        <x:v>SOURCE EMPTY</x:v>
      </x:c>
      <x:c r="R179" s="75" t="str">
        <x:f>IF(L179="","SOURCE EMPTY",IF(L179=J179,"ROOT COLLISION",IF(AND(M179&lt;&gt;"",M179=L179),"DUAL-KEY COLLISION","CLEAR")))</x:f>
        <x:v>SOURCE EMPTY</x:v>
      </x:c>
      <x:c r="S179" s="75" t="str">
        <x:f>IF(OR(J179="",L179="",M179="",N179="",O179=""),"SOURCE EMPTY",IF(AND(OR(D179=4,D179=5,D179=8),K179=""),"SOURCE EMPTY",IF(R179&lt;&gt;"CLEAR","COLLISION",IF(P179&lt;&gt;"","ROLLBACK",IF(O179&lt;&gt;"ACCEPT","HOLD",IF(OR(D179=1,Q179="ACCEPTED"),"ACCEPTED","SEQUENCE HOLD"))))))</x:f>
        <x:v>SOURCE EMPTY</x:v>
      </x:c>
      <x:c r="T179" s="85" t="n">
        <x:f>IF(S179="ACCEPTED",H179*I179,0)</x:f>
        <x:v>0</x:v>
      </x:c>
      <x:c r="U179" s="75"/>
      <x:c r="V179" s="75"/>
      <x:c r="W179" s="75"/>
      <x:c r="X179" s="75"/>
      <x:c r="Y179" s="75"/>
      <x:c r="Z179" s="75"/>
    </x:row>
    <x:row r="180" ht="20" customHeight="1">
      <x:c r="A180" s="86" t="str">
        <x:v>MS-LF-C-IW-07</x:v>
      </x:c>
      <x:c r="B180" s="75" t="str">
        <x:v>MS-LF-C</x:v>
      </x:c>
      <x:c r="C180" s="75" t="str">
        <x:v>MS-LF</x:v>
      </x:c>
      <x:c r="D180" s="75" t="n">
        <x:v>7</x:v>
      </x:c>
      <x:c r="E180" s="75" t="str">
        <x:v>IW-07</x:v>
      </x:c>
      <x:c r="F180" s="86" t="str">
        <x:v>Industrial Mobilization Administration</x:v>
      </x:c>
      <x:c r="G180" s="86" t="str">
        <x:v>Reconstruction Command</x:v>
      </x:c>
      <x:c r="H180" s="88" t="n">
        <x:v>0.15</x:v>
      </x:c>
      <x:c r="I180" s="85" t="n">
        <x:f>INDEX('Root Registry'!$G$6:$G$29,MATCH(B180,'Root Registry'!$A$6:$A$29,0))</x:f>
        <x:v>18</x:v>
      </x:c>
      <x:c r="J180" s="75" t="str">
        <x:f>INDEX('Root Registry'!$D$6:$D$29,MATCH(B180,'Root Registry'!$A$6:$A$29,0))</x:f>
      </x:c>
      <x:c r="K180" s="75" t="str">
        <x:f>INDEX('Root Registry'!$F$6:$F$29,MATCH(B180,'Root Registry'!$A$6:$A$29,0))</x:f>
      </x:c>
      <x:c r="L180" s="43" t="str"/>
      <x:c r="M180" s="43" t="str"/>
      <x:c r="N180" s="43" t="str"/>
      <x:c r="O180" s="43" t="str"/>
      <x:c r="P180" s="43" t="str"/>
      <x:c r="Q180" s="75" t="str">
        <x:f>S179</x:f>
        <x:v>SOURCE EMPTY</x:v>
      </x:c>
      <x:c r="R180" s="75" t="str">
        <x:f>IF(L180="","SOURCE EMPTY",IF(L180=J180,"ROOT COLLISION",IF(AND(M180&lt;&gt;"",M180=L180),"DUAL-KEY COLLISION","CLEAR")))</x:f>
        <x:v>SOURCE EMPTY</x:v>
      </x:c>
      <x:c r="S180" s="75" t="str">
        <x:f>IF(OR(J180="",L180="",M180="",N180="",O180=""),"SOURCE EMPTY",IF(AND(OR(D180=4,D180=5,D180=8),K180=""),"SOURCE EMPTY",IF(R180&lt;&gt;"CLEAR","COLLISION",IF(P180&lt;&gt;"","ROLLBACK",IF(O180&lt;&gt;"ACCEPT","HOLD",IF(OR(D180=1,Q180="ACCEPTED"),"ACCEPTED","SEQUENCE HOLD"))))))</x:f>
        <x:v>SOURCE EMPTY</x:v>
      </x:c>
      <x:c r="T180" s="85" t="n">
        <x:f>IF(S180="ACCEPTED",H180*I180,0)</x:f>
        <x:v>0</x:v>
      </x:c>
      <x:c r="U180" s="75"/>
      <x:c r="V180" s="75"/>
      <x:c r="W180" s="75"/>
      <x:c r="X180" s="75"/>
      <x:c r="Y180" s="75"/>
      <x:c r="Z180" s="75"/>
    </x:row>
    <x:row r="181" ht="20" customHeight="1">
      <x:c r="A181" s="86" t="str">
        <x:v>MS-LF-C-CW-08</x:v>
      </x:c>
      <x:c r="B181" s="75" t="str">
        <x:v>MS-LF-C</x:v>
      </x:c>
      <x:c r="C181" s="75" t="str">
        <x:v>MS-LF</x:v>
      </x:c>
      <x:c r="D181" s="75" t="n">
        <x:v>8</x:v>
      </x:c>
      <x:c r="E181" s="75" t="str">
        <x:v>CW-08</x:v>
      </x:c>
      <x:c r="F181" s="86" t="str">
        <x:v>Operating Services</x:v>
      </x:c>
      <x:c r="G181" s="86" t="str">
        <x:v>Joint Capacity Authority</x:v>
      </x:c>
      <x:c r="H181" s="88" t="n">
        <x:v>0.12</x:v>
      </x:c>
      <x:c r="I181" s="85" t="n">
        <x:f>INDEX('Root Registry'!$G$6:$G$29,MATCH(B181,'Root Registry'!$A$6:$A$29,0))</x:f>
        <x:v>18</x:v>
      </x:c>
      <x:c r="J181" s="75" t="str">
        <x:f>INDEX('Root Registry'!$D$6:$D$29,MATCH(B181,'Root Registry'!$A$6:$A$29,0))</x:f>
      </x:c>
      <x:c r="K181" s="75" t="str">
        <x:f>INDEX('Root Registry'!$F$6:$F$29,MATCH(B181,'Root Registry'!$A$6:$A$29,0))</x:f>
      </x:c>
      <x:c r="L181" s="43" t="str"/>
      <x:c r="M181" s="43" t="str"/>
      <x:c r="N181" s="43" t="str"/>
      <x:c r="O181" s="43" t="str"/>
      <x:c r="P181" s="43" t="str"/>
      <x:c r="Q181" s="75" t="str">
        <x:f>S180</x:f>
        <x:v>SOURCE EMPTY</x:v>
      </x:c>
      <x:c r="R181" s="75" t="str">
        <x:f>IF(L181="","SOURCE EMPTY",IF(L181=J181,"ROOT COLLISION",IF(AND(M181&lt;&gt;"",M181=L181),"DUAL-KEY COLLISION","CLEAR")))</x:f>
        <x:v>SOURCE EMPTY</x:v>
      </x:c>
      <x:c r="S181" s="75" t="str">
        <x:f>IF(OR(J181="",L181="",M181="",N181="",O181=""),"SOURCE EMPTY",IF(AND(OR(D181=4,D181=5,D181=8),K181=""),"SOURCE EMPTY",IF(R181&lt;&gt;"CLEAR","COLLISION",IF(P181&lt;&gt;"","ROLLBACK",IF(O181&lt;&gt;"ACCEPT","HOLD",IF(OR(D181=1,Q181="ACCEPTED"),"ACCEPTED","SEQUENCE HOLD"))))))</x:f>
        <x:v>SOURCE EMPTY</x:v>
      </x:c>
      <x:c r="T181" s="85" t="n">
        <x:f>IF(S181="ACCEPTED",H181*I181,0)</x:f>
        <x:v>0</x:v>
      </x:c>
      <x:c r="U181" s="75"/>
      <x:c r="V181" s="75"/>
      <x:c r="W181" s="75"/>
      <x:c r="X181" s="75"/>
      <x:c r="Y181" s="75"/>
      <x:c r="Z181" s="75"/>
    </x:row>
    <x:row r="182" ht="20" customHeight="1">
      <x:c r="A182" s="86" t="str">
        <x:v>MS-LF-C-RW-09</x:v>
      </x:c>
      <x:c r="B182" s="75" t="str">
        <x:v>MS-LF-C</x:v>
      </x:c>
      <x:c r="C182" s="75" t="str">
        <x:v>MS-LF</x:v>
      </x:c>
      <x:c r="D182" s="75" t="n">
        <x:v>9</x:v>
      </x:c>
      <x:c r="E182" s="75" t="str">
        <x:v>RW-09</x:v>
      </x:c>
      <x:c r="F182" s="86" t="str">
        <x:v>Joint Capacity Authority</x:v>
      </x:c>
      <x:c r="G182" s="86" t="str">
        <x:v>Department Comptroller</x:v>
      </x:c>
      <x:c r="H182" s="88" t="n">
        <x:v>0.08</x:v>
      </x:c>
      <x:c r="I182" s="85" t="n">
        <x:f>INDEX('Root Registry'!$G$6:$G$29,MATCH(B182,'Root Registry'!$A$6:$A$29,0))</x:f>
        <x:v>18</x:v>
      </x:c>
      <x:c r="J182" s="75" t="str">
        <x:f>INDEX('Root Registry'!$D$6:$D$29,MATCH(B182,'Root Registry'!$A$6:$A$29,0))</x:f>
      </x:c>
      <x:c r="K182" s="75" t="str">
        <x:f>INDEX('Root Registry'!$F$6:$F$29,MATCH(B182,'Root Registry'!$A$6:$A$29,0))</x:f>
      </x:c>
      <x:c r="L182" s="43" t="str"/>
      <x:c r="M182" s="43" t="str"/>
      <x:c r="N182" s="43" t="str"/>
      <x:c r="O182" s="43" t="str"/>
      <x:c r="P182" s="43" t="str"/>
      <x:c r="Q182" s="75" t="str">
        <x:f>S181</x:f>
        <x:v>SOURCE EMPTY</x:v>
      </x:c>
      <x:c r="R182" s="75" t="str">
        <x:f>IF(L182="","SOURCE EMPTY",IF(L182=J182,"ROOT COLLISION",IF(AND(M182&lt;&gt;"",M182=L182),"DUAL-KEY COLLISION","CLEAR")))</x:f>
        <x:v>SOURCE EMPTY</x:v>
      </x:c>
      <x:c r="S182" s="75" t="str">
        <x:f>IF(OR(J182="",L182="",M182="",N182="",O182=""),"SOURCE EMPTY",IF(AND(OR(D182=4,D182=5,D182=8),K182=""),"SOURCE EMPTY",IF(R182&lt;&gt;"CLEAR","COLLISION",IF(P182&lt;&gt;"","ROLLBACK",IF(O182&lt;&gt;"ACCEPT","HOLD",IF(OR(D182=1,Q182="ACCEPTED"),"ACCEPTED","SEQUENCE HOLD"))))))</x:f>
        <x:v>SOURCE EMPTY</x:v>
      </x:c>
      <x:c r="T182" s="85" t="n">
        <x:f>IF(S182="ACCEPTED",H182*I182,0)</x:f>
        <x:v>0</x:v>
      </x:c>
      <x:c r="U182" s="75"/>
      <x:c r="V182" s="75"/>
      <x:c r="W182" s="75"/>
      <x:c r="X182" s="75"/>
      <x:c r="Y182" s="75"/>
      <x:c r="Z182" s="75"/>
    </x:row>
    <x:row r="183" ht="20" customHeight="1">
      <x:c r="A183" s="86" t="str">
        <x:v>MS-LF-C-OW-10</x:v>
      </x:c>
      <x:c r="B183" s="75" t="str">
        <x:v>MS-LF-C</x:v>
      </x:c>
      <x:c r="C183" s="75" t="str">
        <x:v>MS-LF</x:v>
      </x:c>
      <x:c r="D183" s="75" t="n">
        <x:v>10</x:v>
      </x:c>
      <x:c r="E183" s="75" t="str">
        <x:v>OW-10</x:v>
      </x:c>
      <x:c r="F183" s="86" t="str">
        <x:v>Operational Command</x:v>
      </x:c>
      <x:c r="G183" s="86" t="str">
        <x:v>Civil Resilience Authority</x:v>
      </x:c>
      <x:c r="H183" s="88" t="n">
        <x:v>0.05</x:v>
      </x:c>
      <x:c r="I183" s="85" t="n">
        <x:f>INDEX('Root Registry'!$G$6:$G$29,MATCH(B183,'Root Registry'!$A$6:$A$29,0))</x:f>
        <x:v>18</x:v>
      </x:c>
      <x:c r="J183" s="75" t="str">
        <x:f>INDEX('Root Registry'!$D$6:$D$29,MATCH(B183,'Root Registry'!$A$6:$A$29,0))</x:f>
      </x:c>
      <x:c r="K183" s="75" t="str">
        <x:f>INDEX('Root Registry'!$F$6:$F$29,MATCH(B183,'Root Registry'!$A$6:$A$29,0))</x:f>
      </x:c>
      <x:c r="L183" s="43" t="str"/>
      <x:c r="M183" s="43" t="str"/>
      <x:c r="N183" s="43" t="str"/>
      <x:c r="O183" s="43" t="str"/>
      <x:c r="P183" s="43" t="str"/>
      <x:c r="Q183" s="75" t="str">
        <x:f>S182</x:f>
        <x:v>SOURCE EMPTY</x:v>
      </x:c>
      <x:c r="R183" s="75" t="str">
        <x:f>IF(L183="","SOURCE EMPTY",IF(L183=J183,"ROOT COLLISION",IF(AND(M183&lt;&gt;"",M183=L183),"DUAL-KEY COLLISION","CLEAR")))</x:f>
        <x:v>SOURCE EMPTY</x:v>
      </x:c>
      <x:c r="S183" s="75" t="str">
        <x:f>IF(OR(J183="",L183="",M183="",N183="",O183=""),"SOURCE EMPTY",IF(AND(OR(D183=4,D183=5,D183=8),K183=""),"SOURCE EMPTY",IF(R183&lt;&gt;"CLEAR","COLLISION",IF(P183&lt;&gt;"","ROLLBACK",IF(O183&lt;&gt;"ACCEPT","HOLD",IF(OR(D183=1,Q183="ACCEPTED"),"ACCEPTED","SEQUENCE HOLD"))))))</x:f>
        <x:v>SOURCE EMPTY</x:v>
      </x:c>
      <x:c r="T183" s="85" t="n">
        <x:f>IF(S183="ACCEPTED",H183*I183,0)</x:f>
        <x:v>0</x:v>
      </x:c>
      <x:c r="U183" s="75"/>
      <x:c r="V183" s="75"/>
      <x:c r="W183" s="75"/>
      <x:c r="X183" s="75"/>
      <x:c r="Y183" s="75"/>
      <x:c r="Z183" s="75"/>
    </x:row>
    <x:row r="184" ht="20" customHeight="1">
      <x:c r="A184" s="86" t="str">
        <x:v>MS-LF-C-SW-11</x:v>
      </x:c>
      <x:c r="B184" s="75" t="str">
        <x:v>MS-LF-C</x:v>
      </x:c>
      <x:c r="C184" s="75" t="str">
        <x:v>MS-LF</x:v>
      </x:c>
      <x:c r="D184" s="75" t="n">
        <x:v>11</x:v>
      </x:c>
      <x:c r="E184" s="75" t="str">
        <x:v>SW-11</x:v>
      </x:c>
      <x:c r="F184" s="86" t="str">
        <x:v>Civil Resilience Authority</x:v>
      </x:c>
      <x:c r="G184" s="86" t="str">
        <x:v>Affected Civil Authority</x:v>
      </x:c>
      <x:c r="H184" s="88" t="n">
        <x:v>0.07</x:v>
      </x:c>
      <x:c r="I184" s="85" t="n">
        <x:f>INDEX('Root Registry'!$G$6:$G$29,MATCH(B184,'Root Registry'!$A$6:$A$29,0))</x:f>
        <x:v>18</x:v>
      </x:c>
      <x:c r="J184" s="75" t="str">
        <x:f>INDEX('Root Registry'!$D$6:$D$29,MATCH(B184,'Root Registry'!$A$6:$A$29,0))</x:f>
      </x:c>
      <x:c r="K184" s="75" t="str">
        <x:f>INDEX('Root Registry'!$F$6:$F$29,MATCH(B184,'Root Registry'!$A$6:$A$29,0))</x:f>
      </x:c>
      <x:c r="L184" s="43" t="str"/>
      <x:c r="M184" s="43" t="str"/>
      <x:c r="N184" s="43" t="str"/>
      <x:c r="O184" s="43" t="str"/>
      <x:c r="P184" s="43" t="str"/>
      <x:c r="Q184" s="75" t="str">
        <x:f>S183</x:f>
        <x:v>SOURCE EMPTY</x:v>
      </x:c>
      <x:c r="R184" s="75" t="str">
        <x:f>IF(L184="","SOURCE EMPTY",IF(L184=J184,"ROOT COLLISION",IF(AND(M184&lt;&gt;"",M184=L184),"DUAL-KEY COLLISION","CLEAR")))</x:f>
        <x:v>SOURCE EMPTY</x:v>
      </x:c>
      <x:c r="S184" s="75" t="str">
        <x:f>IF(OR(J184="",L184="",M184="",N184="",O184=""),"SOURCE EMPTY",IF(AND(OR(D184=4,D184=5,D184=8),K184=""),"SOURCE EMPTY",IF(R184&lt;&gt;"CLEAR","COLLISION",IF(P184&lt;&gt;"","ROLLBACK",IF(O184&lt;&gt;"ACCEPT","HOLD",IF(OR(D184=1,Q184="ACCEPTED"),"ACCEPTED","SEQUENCE HOLD"))))))</x:f>
        <x:v>SOURCE EMPTY</x:v>
      </x:c>
      <x:c r="T184" s="85" t="n">
        <x:f>IF(S184="ACCEPTED",H184*I184,0)</x:f>
        <x:v>0</x:v>
      </x:c>
      <x:c r="U184" s="75"/>
      <x:c r="V184" s="75"/>
      <x:c r="W184" s="75"/>
      <x:c r="X184" s="75"/>
      <x:c r="Y184" s="75"/>
      <x:c r="Z184" s="75"/>
    </x:row>
    <x:row r="185" ht="20" customHeight="1">
      <x:c r="A185" s="86" t="str">
        <x:v>MS-LF-C-GW-12</x:v>
      </x:c>
      <x:c r="B185" s="75" t="str">
        <x:v>MS-LF-C</x:v>
      </x:c>
      <x:c r="C185" s="75" t="str">
        <x:v>MS-LF</x:v>
      </x:c>
      <x:c r="D185" s="75" t="n">
        <x:v>12</x:v>
      </x:c>
      <x:c r="E185" s="75" t="str">
        <x:v>GW-12</x:v>
      </x:c>
      <x:c r="F185" s="86" t="str">
        <x:v>Strategic Sustainment Command</x:v>
      </x:c>
      <x:c r="G185" s="86" t="str">
        <x:v>Joint Capacity Authority</x:v>
      </x:c>
      <x:c r="H185" s="88" t="n">
        <x:v>0.05</x:v>
      </x:c>
      <x:c r="I185" s="85" t="n">
        <x:f>INDEX('Root Registry'!$G$6:$G$29,MATCH(B185,'Root Registry'!$A$6:$A$29,0))</x:f>
        <x:v>18</x:v>
      </x:c>
      <x:c r="J185" s="75" t="str">
        <x:f>INDEX('Root Registry'!$D$6:$D$29,MATCH(B185,'Root Registry'!$A$6:$A$29,0))</x:f>
      </x:c>
      <x:c r="K185" s="75" t="str">
        <x:f>INDEX('Root Registry'!$F$6:$F$29,MATCH(B185,'Root Registry'!$A$6:$A$29,0))</x:f>
      </x:c>
      <x:c r="L185" s="43" t="str"/>
      <x:c r="M185" s="43" t="str"/>
      <x:c r="N185" s="43" t="str"/>
      <x:c r="O185" s="43" t="str"/>
      <x:c r="P185" s="43" t="str"/>
      <x:c r="Q185" s="75" t="str">
        <x:f>S184</x:f>
        <x:v>SOURCE EMPTY</x:v>
      </x:c>
      <x:c r="R185" s="75" t="str">
        <x:f>IF(L185="","SOURCE EMPTY",IF(L185=J185,"ROOT COLLISION",IF(AND(M185&lt;&gt;"",M185=L185),"DUAL-KEY COLLISION","CLEAR")))</x:f>
        <x:v>SOURCE EMPTY</x:v>
      </x:c>
      <x:c r="S185" s="75" t="str">
        <x:f>IF(OR(J185="",L185="",M185="",N185="",O185=""),"SOURCE EMPTY",IF(AND(OR(D185=4,D185=5,D185=8),K185=""),"SOURCE EMPTY",IF(R185&lt;&gt;"CLEAR","COLLISION",IF(P185&lt;&gt;"","ROLLBACK",IF(O185&lt;&gt;"ACCEPT","HOLD",IF(OR(D185=1,Q185="ACCEPTED"),"ACCEPTED","SEQUENCE HOLD"))))))</x:f>
        <x:v>SOURCE EMPTY</x:v>
      </x:c>
      <x:c r="T185" s="85" t="n">
        <x:f>IF(S185="ACCEPTED",H185*I185,0)</x:f>
        <x:v>0</x:v>
      </x:c>
      <x:c r="U185" s="75"/>
      <x:c r="V185" s="75"/>
      <x:c r="W185" s="75"/>
      <x:c r="X185" s="75"/>
      <x:c r="Y185" s="75"/>
      <x:c r="Z185" s="75"/>
    </x:row>
    <x:row r="186" ht="20" customHeight="1">
      <x:c r="A186" s="86" t="str">
        <x:v>MS-LF-D-PW-01</x:v>
      </x:c>
      <x:c r="B186" s="75" t="str">
        <x:v>MS-LF-D</x:v>
      </x:c>
      <x:c r="C186" s="75" t="str">
        <x:v>MS-LF</x:v>
      </x:c>
      <x:c r="D186" s="75" t="n">
        <x:v>1</x:v>
      </x:c>
      <x:c r="E186" s="75" t="str">
        <x:v>PW-01</x:v>
      </x:c>
      <x:c r="F186" s="86" t="str">
        <x:v>Civil Resilience Authority</x:v>
      </x:c>
      <x:c r="G186" s="86" t="str">
        <x:v>Public Effect College</x:v>
      </x:c>
      <x:c r="H186" s="88" t="n">
        <x:v>0.01</x:v>
      </x:c>
      <x:c r="I186" s="85" t="n">
        <x:f>INDEX('Root Registry'!$G$6:$G$29,MATCH(B186,'Root Registry'!$A$6:$A$29,0))</x:f>
        <x:v>18</x:v>
      </x:c>
      <x:c r="J186" s="75" t="str">
        <x:f>INDEX('Root Registry'!$D$6:$D$29,MATCH(B186,'Root Registry'!$A$6:$A$29,0))</x:f>
      </x:c>
      <x:c r="K186" s="75" t="str">
        <x:f>INDEX('Root Registry'!$F$6:$F$29,MATCH(B186,'Root Registry'!$A$6:$A$29,0))</x:f>
      </x:c>
      <x:c r="L186" s="43" t="str"/>
      <x:c r="M186" s="43" t="str"/>
      <x:c r="N186" s="43" t="str"/>
      <x:c r="O186" s="43" t="str"/>
      <x:c r="P186" s="43" t="str"/>
      <x:c r="Q186" s="75" t="str">
        <x:f>"ORIGIN"</x:f>
        <x:v>ORIGIN</x:v>
      </x:c>
      <x:c r="R186" s="75" t="str">
        <x:f>IF(L186="","SOURCE EMPTY",IF(L186=J186,"ROOT COLLISION",IF(AND(M186&lt;&gt;"",M186=L186),"DUAL-KEY COLLISION","CLEAR")))</x:f>
        <x:v>SOURCE EMPTY</x:v>
      </x:c>
      <x:c r="S186" s="75" t="str">
        <x:f>IF(OR(J186="",L186="",M186="",N186="",O186=""),"SOURCE EMPTY",IF(AND(OR(D186=4,D186=5,D186=8),K186=""),"SOURCE EMPTY",IF(R186&lt;&gt;"CLEAR","COLLISION",IF(P186&lt;&gt;"","ROLLBACK",IF(O186&lt;&gt;"ACCEPT","HOLD",IF(OR(D186=1,Q186="ACCEPTED"),"ACCEPTED","SEQUENCE HOLD"))))))</x:f>
        <x:v>SOURCE EMPTY</x:v>
      </x:c>
      <x:c r="T186" s="85" t="n">
        <x:f>IF(S186="ACCEPTED",H186*I186,0)</x:f>
        <x:v>0</x:v>
      </x:c>
      <x:c r="U186" s="75"/>
      <x:c r="V186" s="75"/>
      <x:c r="W186" s="75"/>
      <x:c r="X186" s="75"/>
      <x:c r="Y186" s="75"/>
      <x:c r="Z186" s="75"/>
    </x:row>
    <x:row r="187" ht="20" customHeight="1">
      <x:c r="A187" s="86" t="str">
        <x:v>MS-LF-D-MW-02</x:v>
      </x:c>
      <x:c r="B187" s="75" t="str">
        <x:v>MS-LF-D</x:v>
      </x:c>
      <x:c r="C187" s="75" t="str">
        <x:v>MS-LF</x:v>
      </x:c>
      <x:c r="D187" s="75" t="n">
        <x:v>2</x:v>
      </x:c>
      <x:c r="E187" s="75" t="str">
        <x:v>MW-02</x:v>
      </x:c>
      <x:c r="F187" s="86" t="str">
        <x:v>Mission System Command</x:v>
      </x:c>
      <x:c r="G187" s="86" t="str">
        <x:v>Civil Resilience Authority</x:v>
      </x:c>
      <x:c r="H187" s="88" t="n">
        <x:v>0.02</x:v>
      </x:c>
      <x:c r="I187" s="85" t="n">
        <x:f>INDEX('Root Registry'!$G$6:$G$29,MATCH(B187,'Root Registry'!$A$6:$A$29,0))</x:f>
        <x:v>18</x:v>
      </x:c>
      <x:c r="J187" s="75" t="str">
        <x:f>INDEX('Root Registry'!$D$6:$D$29,MATCH(B187,'Root Registry'!$A$6:$A$29,0))</x:f>
      </x:c>
      <x:c r="K187" s="75" t="str">
        <x:f>INDEX('Root Registry'!$F$6:$F$29,MATCH(B187,'Root Registry'!$A$6:$A$29,0))</x:f>
      </x:c>
      <x:c r="L187" s="43" t="str"/>
      <x:c r="M187" s="43" t="str"/>
      <x:c r="N187" s="43" t="str"/>
      <x:c r="O187" s="43" t="str"/>
      <x:c r="P187" s="43" t="str"/>
      <x:c r="Q187" s="75" t="str">
        <x:f>S186</x:f>
        <x:v>SOURCE EMPTY</x:v>
      </x:c>
      <x:c r="R187" s="75" t="str">
        <x:f>IF(L187="","SOURCE EMPTY",IF(L187=J187,"ROOT COLLISION",IF(AND(M187&lt;&gt;"",M187=L187),"DUAL-KEY COLLISION","CLEAR")))</x:f>
        <x:v>SOURCE EMPTY</x:v>
      </x:c>
      <x:c r="S187" s="75" t="str">
        <x:f>IF(OR(J187="",L187="",M187="",N187="",O187=""),"SOURCE EMPTY",IF(AND(OR(D187=4,D187=5,D187=8),K187=""),"SOURCE EMPTY",IF(R187&lt;&gt;"CLEAR","COLLISION",IF(P187&lt;&gt;"","ROLLBACK",IF(O187&lt;&gt;"ACCEPT","HOLD",IF(OR(D187=1,Q187="ACCEPTED"),"ACCEPTED","SEQUENCE HOLD"))))))</x:f>
        <x:v>SOURCE EMPTY</x:v>
      </x:c>
      <x:c r="T187" s="85" t="n">
        <x:f>IF(S187="ACCEPTED",H187*I187,0)</x:f>
        <x:v>0</x:v>
      </x:c>
      <x:c r="U187" s="75"/>
      <x:c r="V187" s="75"/>
      <x:c r="W187" s="75"/>
      <x:c r="X187" s="75"/>
      <x:c r="Y187" s="75"/>
      <x:c r="Z187" s="75"/>
    </x:row>
    <x:row r="188" ht="20" customHeight="1">
      <x:c r="A188" s="86" t="str">
        <x:v>MS-LF-D-FW-03</x:v>
      </x:c>
      <x:c r="B188" s="75" t="str">
        <x:v>MS-LF-D</x:v>
      </x:c>
      <x:c r="C188" s="75" t="str">
        <x:v>MS-LF</x:v>
      </x:c>
      <x:c r="D188" s="75" t="n">
        <x:v>3</x:v>
      </x:c>
      <x:c r="E188" s="75" t="str">
        <x:v>FW-03</x:v>
      </x:c>
      <x:c r="F188" s="86" t="str">
        <x:v>Department Capital Board</x:v>
      </x:c>
      <x:c r="G188" s="86" t="str">
        <x:v>Failure Reserve Trustee</x:v>
      </x:c>
      <x:c r="H188" s="88" t="n">
        <x:v>0.05</x:v>
      </x:c>
      <x:c r="I188" s="85" t="n">
        <x:f>INDEX('Root Registry'!$G$6:$G$29,MATCH(B188,'Root Registry'!$A$6:$A$29,0))</x:f>
        <x:v>18</x:v>
      </x:c>
      <x:c r="J188" s="75" t="str">
        <x:f>INDEX('Root Registry'!$D$6:$D$29,MATCH(B188,'Root Registry'!$A$6:$A$29,0))</x:f>
      </x:c>
      <x:c r="K188" s="75" t="str">
        <x:f>INDEX('Root Registry'!$F$6:$F$29,MATCH(B188,'Root Registry'!$A$6:$A$29,0))</x:f>
      </x:c>
      <x:c r="L188" s="43" t="str"/>
      <x:c r="M188" s="43" t="str"/>
      <x:c r="N188" s="43" t="str"/>
      <x:c r="O188" s="43" t="str"/>
      <x:c r="P188" s="43" t="str"/>
      <x:c r="Q188" s="75" t="str">
        <x:f>S187</x:f>
        <x:v>SOURCE EMPTY</x:v>
      </x:c>
      <x:c r="R188" s="75" t="str">
        <x:f>IF(L188="","SOURCE EMPTY",IF(L188=J188,"ROOT COLLISION",IF(AND(M188&lt;&gt;"",M188=L188),"DUAL-KEY COLLISION","CLEAR")))</x:f>
        <x:v>SOURCE EMPTY</x:v>
      </x:c>
      <x:c r="S188" s="75" t="str">
        <x:f>IF(OR(J188="",L188="",M188="",N188="",O188=""),"SOURCE EMPTY",IF(AND(OR(D188=4,D188=5,D188=8),K188=""),"SOURCE EMPTY",IF(R188&lt;&gt;"CLEAR","COLLISION",IF(P188&lt;&gt;"","ROLLBACK",IF(O188&lt;&gt;"ACCEPT","HOLD",IF(OR(D188=1,Q188="ACCEPTED"),"ACCEPTED","SEQUENCE HOLD"))))))</x:f>
        <x:v>SOURCE EMPTY</x:v>
      </x:c>
      <x:c r="T188" s="85" t="n">
        <x:f>IF(S188="ACCEPTED",H188*I188,0)</x:f>
        <x:v>0</x:v>
      </x:c>
      <x:c r="U188" s="75"/>
      <x:c r="V188" s="75"/>
      <x:c r="W188" s="75"/>
      <x:c r="X188" s="75"/>
      <x:c r="Y188" s="75"/>
      <x:c r="Z188" s="75"/>
    </x:row>
    <x:row r="189" ht="20" customHeight="1">
      <x:c r="A189" s="86" t="str">
        <x:v>MS-LF-D-CW-04</x:v>
      </x:c>
      <x:c r="B189" s="75" t="str">
        <x:v>MS-LF-D</x:v>
      </x:c>
      <x:c r="C189" s="75" t="str">
        <x:v>MS-LF</x:v>
      </x:c>
      <x:c r="D189" s="75" t="n">
        <x:v>4</x:v>
      </x:c>
      <x:c r="E189" s="75" t="str">
        <x:v>CW-04</x:v>
      </x:c>
      <x:c r="F189" s="86" t="str">
        <x:v>Service Technical College</x:v>
      </x:c>
      <x:c r="G189" s="86" t="str">
        <x:v>Independent Root House</x:v>
      </x:c>
      <x:c r="H189" s="88" t="n">
        <x:v>0.12</x:v>
      </x:c>
      <x:c r="I189" s="85" t="n">
        <x:f>INDEX('Root Registry'!$G$6:$G$29,MATCH(B189,'Root Registry'!$A$6:$A$29,0))</x:f>
        <x:v>18</x:v>
      </x:c>
      <x:c r="J189" s="75" t="str">
        <x:f>INDEX('Root Registry'!$D$6:$D$29,MATCH(B189,'Root Registry'!$A$6:$A$29,0))</x:f>
      </x:c>
      <x:c r="K189" s="75" t="str">
        <x:f>INDEX('Root Registry'!$F$6:$F$29,MATCH(B189,'Root Registry'!$A$6:$A$29,0))</x:f>
      </x:c>
      <x:c r="L189" s="43" t="str"/>
      <x:c r="M189" s="43" t="str"/>
      <x:c r="N189" s="43" t="str"/>
      <x:c r="O189" s="43" t="str"/>
      <x:c r="P189" s="43" t="str"/>
      <x:c r="Q189" s="75" t="str">
        <x:f>S188</x:f>
        <x:v>SOURCE EMPTY</x:v>
      </x:c>
      <x:c r="R189" s="75" t="str">
        <x:f>IF(L189="","SOURCE EMPTY",IF(L189=J189,"ROOT COLLISION",IF(AND(M189&lt;&gt;"",M189=L189),"DUAL-KEY COLLISION","CLEAR")))</x:f>
        <x:v>SOURCE EMPTY</x:v>
      </x:c>
      <x:c r="S189" s="75" t="str">
        <x:f>IF(OR(J189="",L189="",M189="",N189="",O189=""),"SOURCE EMPTY",IF(AND(OR(D189=4,D189=5,D189=8),K189=""),"SOURCE EMPTY",IF(R189&lt;&gt;"CLEAR","COLLISION",IF(P189&lt;&gt;"","ROLLBACK",IF(O189&lt;&gt;"ACCEPT","HOLD",IF(OR(D189=1,Q189="ACCEPTED"),"ACCEPTED","SEQUENCE HOLD"))))))</x:f>
        <x:v>SOURCE EMPTY</x:v>
      </x:c>
      <x:c r="T189" s="85" t="n">
        <x:f>IF(S189="ACCEPTED",H189*I189,0)</x:f>
        <x:v>0</x:v>
      </x:c>
      <x:c r="U189" s="75"/>
      <x:c r="V189" s="75"/>
      <x:c r="W189" s="75"/>
      <x:c r="X189" s="75"/>
      <x:c r="Y189" s="75"/>
      <x:c r="Z189" s="75"/>
    </x:row>
    <x:row r="190" ht="20" customHeight="1">
      <x:c r="A190" s="86" t="str">
        <x:v>MS-LF-D-TW-05</x:v>
      </x:c>
      <x:c r="B190" s="75" t="str">
        <x:v>MS-LF-D</x:v>
      </x:c>
      <x:c r="C190" s="75" t="str">
        <x:v>MS-LF</x:v>
      </x:c>
      <x:c r="D190" s="75" t="n">
        <x:v>5</x:v>
      </x:c>
      <x:c r="E190" s="75" t="str">
        <x:v>TW-05</x:v>
      </x:c>
      <x:c r="F190" s="86" t="str">
        <x:v>Service Technical College</x:v>
      </x:c>
      <x:c r="G190" s="86" t="str">
        <x:v>Public Protection Inspectorate</x:v>
      </x:c>
      <x:c r="H190" s="88" t="n">
        <x:v>0.08</x:v>
      </x:c>
      <x:c r="I190" s="85" t="n">
        <x:f>INDEX('Root Registry'!$G$6:$G$29,MATCH(B190,'Root Registry'!$A$6:$A$29,0))</x:f>
        <x:v>18</x:v>
      </x:c>
      <x:c r="J190" s="75" t="str">
        <x:f>INDEX('Root Registry'!$D$6:$D$29,MATCH(B190,'Root Registry'!$A$6:$A$29,0))</x:f>
      </x:c>
      <x:c r="K190" s="75" t="str">
        <x:f>INDEX('Root Registry'!$F$6:$F$29,MATCH(B190,'Root Registry'!$A$6:$A$29,0))</x:f>
      </x:c>
      <x:c r="L190" s="43" t="str"/>
      <x:c r="M190" s="43" t="str"/>
      <x:c r="N190" s="43" t="str"/>
      <x:c r="O190" s="43" t="str"/>
      <x:c r="P190" s="43" t="str"/>
      <x:c r="Q190" s="75" t="str">
        <x:f>S189</x:f>
        <x:v>SOURCE EMPTY</x:v>
      </x:c>
      <x:c r="R190" s="75" t="str">
        <x:f>IF(L190="","SOURCE EMPTY",IF(L190=J190,"ROOT COLLISION",IF(AND(M190&lt;&gt;"",M190=L190),"DUAL-KEY COLLISION","CLEAR")))</x:f>
        <x:v>SOURCE EMPTY</x:v>
      </x:c>
      <x:c r="S190" s="75" t="str">
        <x:f>IF(OR(J190="",L190="",M190="",N190="",O190=""),"SOURCE EMPTY",IF(AND(OR(D190=4,D190=5,D190=8),K190=""),"SOURCE EMPTY",IF(R190&lt;&gt;"CLEAR","COLLISION",IF(P190&lt;&gt;"","ROLLBACK",IF(O190&lt;&gt;"ACCEPT","HOLD",IF(OR(D190=1,Q190="ACCEPTED"),"ACCEPTED","SEQUENCE HOLD"))))))</x:f>
        <x:v>SOURCE EMPTY</x:v>
      </x:c>
      <x:c r="T190" s="85" t="n">
        <x:f>IF(S190="ACCEPTED",H190*I190,0)</x:f>
        <x:v>0</x:v>
      </x:c>
      <x:c r="U190" s="75"/>
      <x:c r="V190" s="75"/>
      <x:c r="W190" s="75"/>
      <x:c r="X190" s="75"/>
      <x:c r="Y190" s="75"/>
      <x:c r="Z190" s="75"/>
    </x:row>
    <x:row r="191" ht="20" customHeight="1">
      <x:c r="A191" s="86" t="str">
        <x:v>MS-LF-D-EW-06</x:v>
      </x:c>
      <x:c r="B191" s="75" t="str">
        <x:v>MS-LF-D</x:v>
      </x:c>
      <x:c r="C191" s="75" t="str">
        <x:v>MS-LF</x:v>
      </x:c>
      <x:c r="D191" s="75" t="n">
        <x:v>6</x:v>
      </x:c>
      <x:c r="E191" s="75" t="str">
        <x:v>EW-06</x:v>
      </x:c>
      <x:c r="F191" s="86" t="str">
        <x:v>Resilience Proving Service</x:v>
      </x:c>
      <x:c r="G191" s="86" t="str">
        <x:v>Public Effect College</x:v>
      </x:c>
      <x:c r="H191" s="88" t="n">
        <x:v>0.2</x:v>
      </x:c>
      <x:c r="I191" s="85" t="n">
        <x:f>INDEX('Root Registry'!$G$6:$G$29,MATCH(B191,'Root Registry'!$A$6:$A$29,0))</x:f>
        <x:v>18</x:v>
      </x:c>
      <x:c r="J191" s="75" t="str">
        <x:f>INDEX('Root Registry'!$D$6:$D$29,MATCH(B191,'Root Registry'!$A$6:$A$29,0))</x:f>
      </x:c>
      <x:c r="K191" s="75" t="str">
        <x:f>INDEX('Root Registry'!$F$6:$F$29,MATCH(B191,'Root Registry'!$A$6:$A$29,0))</x:f>
      </x:c>
      <x:c r="L191" s="43" t="str"/>
      <x:c r="M191" s="43" t="str"/>
      <x:c r="N191" s="43" t="str"/>
      <x:c r="O191" s="43" t="str"/>
      <x:c r="P191" s="43" t="str"/>
      <x:c r="Q191" s="75" t="str">
        <x:f>S190</x:f>
        <x:v>SOURCE EMPTY</x:v>
      </x:c>
      <x:c r="R191" s="75" t="str">
        <x:f>IF(L191="","SOURCE EMPTY",IF(L191=J191,"ROOT COLLISION",IF(AND(M191&lt;&gt;"",M191=L191),"DUAL-KEY COLLISION","CLEAR")))</x:f>
        <x:v>SOURCE EMPTY</x:v>
      </x:c>
      <x:c r="S191" s="75" t="str">
        <x:f>IF(OR(J191="",L191="",M191="",N191="",O191=""),"SOURCE EMPTY",IF(AND(OR(D191=4,D191=5,D191=8),K191=""),"SOURCE EMPTY",IF(R191&lt;&gt;"CLEAR","COLLISION",IF(P191&lt;&gt;"","ROLLBACK",IF(O191&lt;&gt;"ACCEPT","HOLD",IF(OR(D191=1,Q191="ACCEPTED"),"ACCEPTED","SEQUENCE HOLD"))))))</x:f>
        <x:v>SOURCE EMPTY</x:v>
      </x:c>
      <x:c r="T191" s="85" t="n">
        <x:f>IF(S191="ACCEPTED",H191*I191,0)</x:f>
        <x:v>0</x:v>
      </x:c>
      <x:c r="U191" s="75"/>
      <x:c r="V191" s="75"/>
      <x:c r="W191" s="75"/>
      <x:c r="X191" s="75"/>
      <x:c r="Y191" s="75"/>
      <x:c r="Z191" s="75"/>
    </x:row>
    <x:row r="192" ht="20" customHeight="1">
      <x:c r="A192" s="86" t="str">
        <x:v>MS-LF-D-IW-07</x:v>
      </x:c>
      <x:c r="B192" s="75" t="str">
        <x:v>MS-LF-D</x:v>
      </x:c>
      <x:c r="C192" s="75" t="str">
        <x:v>MS-LF</x:v>
      </x:c>
      <x:c r="D192" s="75" t="n">
        <x:v>7</x:v>
      </x:c>
      <x:c r="E192" s="75" t="str">
        <x:v>IW-07</x:v>
      </x:c>
      <x:c r="F192" s="86" t="str">
        <x:v>Industrial Mobilization Administration</x:v>
      </x:c>
      <x:c r="G192" s="86" t="str">
        <x:v>Reconstruction Command</x:v>
      </x:c>
      <x:c r="H192" s="88" t="n">
        <x:v>0.15</x:v>
      </x:c>
      <x:c r="I192" s="85" t="n">
        <x:f>INDEX('Root Registry'!$G$6:$G$29,MATCH(B192,'Root Registry'!$A$6:$A$29,0))</x:f>
        <x:v>18</x:v>
      </x:c>
      <x:c r="J192" s="75" t="str">
        <x:f>INDEX('Root Registry'!$D$6:$D$29,MATCH(B192,'Root Registry'!$A$6:$A$29,0))</x:f>
      </x:c>
      <x:c r="K192" s="75" t="str">
        <x:f>INDEX('Root Registry'!$F$6:$F$29,MATCH(B192,'Root Registry'!$A$6:$A$29,0))</x:f>
      </x:c>
      <x:c r="L192" s="43" t="str"/>
      <x:c r="M192" s="43" t="str"/>
      <x:c r="N192" s="43" t="str"/>
      <x:c r="O192" s="43" t="str"/>
      <x:c r="P192" s="43" t="str"/>
      <x:c r="Q192" s="75" t="str">
        <x:f>S191</x:f>
        <x:v>SOURCE EMPTY</x:v>
      </x:c>
      <x:c r="R192" s="75" t="str">
        <x:f>IF(L192="","SOURCE EMPTY",IF(L192=J192,"ROOT COLLISION",IF(AND(M192&lt;&gt;"",M192=L192),"DUAL-KEY COLLISION","CLEAR")))</x:f>
        <x:v>SOURCE EMPTY</x:v>
      </x:c>
      <x:c r="S192" s="75" t="str">
        <x:f>IF(OR(J192="",L192="",M192="",N192="",O192=""),"SOURCE EMPTY",IF(AND(OR(D192=4,D192=5,D192=8),K192=""),"SOURCE EMPTY",IF(R192&lt;&gt;"CLEAR","COLLISION",IF(P192&lt;&gt;"","ROLLBACK",IF(O192&lt;&gt;"ACCEPT","HOLD",IF(OR(D192=1,Q192="ACCEPTED"),"ACCEPTED","SEQUENCE HOLD"))))))</x:f>
        <x:v>SOURCE EMPTY</x:v>
      </x:c>
      <x:c r="T192" s="85" t="n">
        <x:f>IF(S192="ACCEPTED",H192*I192,0)</x:f>
        <x:v>0</x:v>
      </x:c>
      <x:c r="U192" s="75"/>
      <x:c r="V192" s="75"/>
      <x:c r="W192" s="75"/>
      <x:c r="X192" s="75"/>
      <x:c r="Y192" s="75"/>
      <x:c r="Z192" s="75"/>
    </x:row>
    <x:row r="193" ht="20" customHeight="1">
      <x:c r="A193" s="86" t="str">
        <x:v>MS-LF-D-CW-08</x:v>
      </x:c>
      <x:c r="B193" s="75" t="str">
        <x:v>MS-LF-D</x:v>
      </x:c>
      <x:c r="C193" s="75" t="str">
        <x:v>MS-LF</x:v>
      </x:c>
      <x:c r="D193" s="75" t="n">
        <x:v>8</x:v>
      </x:c>
      <x:c r="E193" s="75" t="str">
        <x:v>CW-08</x:v>
      </x:c>
      <x:c r="F193" s="86" t="str">
        <x:v>Operating Services</x:v>
      </x:c>
      <x:c r="G193" s="86" t="str">
        <x:v>Joint Capacity Authority</x:v>
      </x:c>
      <x:c r="H193" s="88" t="n">
        <x:v>0.12</x:v>
      </x:c>
      <x:c r="I193" s="85" t="n">
        <x:f>INDEX('Root Registry'!$G$6:$G$29,MATCH(B193,'Root Registry'!$A$6:$A$29,0))</x:f>
        <x:v>18</x:v>
      </x:c>
      <x:c r="J193" s="75" t="str">
        <x:f>INDEX('Root Registry'!$D$6:$D$29,MATCH(B193,'Root Registry'!$A$6:$A$29,0))</x:f>
      </x:c>
      <x:c r="K193" s="75" t="str">
        <x:f>INDEX('Root Registry'!$F$6:$F$29,MATCH(B193,'Root Registry'!$A$6:$A$29,0))</x:f>
      </x:c>
      <x:c r="L193" s="43" t="str"/>
      <x:c r="M193" s="43" t="str"/>
      <x:c r="N193" s="43" t="str"/>
      <x:c r="O193" s="43" t="str"/>
      <x:c r="P193" s="43" t="str"/>
      <x:c r="Q193" s="75" t="str">
        <x:f>S192</x:f>
        <x:v>SOURCE EMPTY</x:v>
      </x:c>
      <x:c r="R193" s="75" t="str">
        <x:f>IF(L193="","SOURCE EMPTY",IF(L193=J193,"ROOT COLLISION",IF(AND(M193&lt;&gt;"",M193=L193),"DUAL-KEY COLLISION","CLEAR")))</x:f>
        <x:v>SOURCE EMPTY</x:v>
      </x:c>
      <x:c r="S193" s="75" t="str">
        <x:f>IF(OR(J193="",L193="",M193="",N193="",O193=""),"SOURCE EMPTY",IF(AND(OR(D193=4,D193=5,D193=8),K193=""),"SOURCE EMPTY",IF(R193&lt;&gt;"CLEAR","COLLISION",IF(P193&lt;&gt;"","ROLLBACK",IF(O193&lt;&gt;"ACCEPT","HOLD",IF(OR(D193=1,Q193="ACCEPTED"),"ACCEPTED","SEQUENCE HOLD"))))))</x:f>
        <x:v>SOURCE EMPTY</x:v>
      </x:c>
      <x:c r="T193" s="85" t="n">
        <x:f>IF(S193="ACCEPTED",H193*I193,0)</x:f>
        <x:v>0</x:v>
      </x:c>
      <x:c r="U193" s="75"/>
      <x:c r="V193" s="75"/>
      <x:c r="W193" s="75"/>
      <x:c r="X193" s="75"/>
      <x:c r="Y193" s="75"/>
      <x:c r="Z193" s="75"/>
    </x:row>
    <x:row r="194" ht="20" customHeight="1">
      <x:c r="A194" s="86" t="str">
        <x:v>MS-LF-D-RW-09</x:v>
      </x:c>
      <x:c r="B194" s="75" t="str">
        <x:v>MS-LF-D</x:v>
      </x:c>
      <x:c r="C194" s="75" t="str">
        <x:v>MS-LF</x:v>
      </x:c>
      <x:c r="D194" s="75" t="n">
        <x:v>9</x:v>
      </x:c>
      <x:c r="E194" s="75" t="str">
        <x:v>RW-09</x:v>
      </x:c>
      <x:c r="F194" s="86" t="str">
        <x:v>Joint Capacity Authority</x:v>
      </x:c>
      <x:c r="G194" s="86" t="str">
        <x:v>Department Comptroller</x:v>
      </x:c>
      <x:c r="H194" s="88" t="n">
        <x:v>0.08</x:v>
      </x:c>
      <x:c r="I194" s="85" t="n">
        <x:f>INDEX('Root Registry'!$G$6:$G$29,MATCH(B194,'Root Registry'!$A$6:$A$29,0))</x:f>
        <x:v>18</x:v>
      </x:c>
      <x:c r="J194" s="75" t="str">
        <x:f>INDEX('Root Registry'!$D$6:$D$29,MATCH(B194,'Root Registry'!$A$6:$A$29,0))</x:f>
      </x:c>
      <x:c r="K194" s="75" t="str">
        <x:f>INDEX('Root Registry'!$F$6:$F$29,MATCH(B194,'Root Registry'!$A$6:$A$29,0))</x:f>
      </x:c>
      <x:c r="L194" s="43" t="str"/>
      <x:c r="M194" s="43" t="str"/>
      <x:c r="N194" s="43" t="str"/>
      <x:c r="O194" s="43" t="str"/>
      <x:c r="P194" s="43" t="str"/>
      <x:c r="Q194" s="75" t="str">
        <x:f>S193</x:f>
        <x:v>SOURCE EMPTY</x:v>
      </x:c>
      <x:c r="R194" s="75" t="str">
        <x:f>IF(L194="","SOURCE EMPTY",IF(L194=J194,"ROOT COLLISION",IF(AND(M194&lt;&gt;"",M194=L194),"DUAL-KEY COLLISION","CLEAR")))</x:f>
        <x:v>SOURCE EMPTY</x:v>
      </x:c>
      <x:c r="S194" s="75" t="str">
        <x:f>IF(OR(J194="",L194="",M194="",N194="",O194=""),"SOURCE EMPTY",IF(AND(OR(D194=4,D194=5,D194=8),K194=""),"SOURCE EMPTY",IF(R194&lt;&gt;"CLEAR","COLLISION",IF(P194&lt;&gt;"","ROLLBACK",IF(O194&lt;&gt;"ACCEPT","HOLD",IF(OR(D194=1,Q194="ACCEPTED"),"ACCEPTED","SEQUENCE HOLD"))))))</x:f>
        <x:v>SOURCE EMPTY</x:v>
      </x:c>
      <x:c r="T194" s="85" t="n">
        <x:f>IF(S194="ACCEPTED",H194*I194,0)</x:f>
        <x:v>0</x:v>
      </x:c>
      <x:c r="U194" s="75"/>
      <x:c r="V194" s="75"/>
      <x:c r="W194" s="75"/>
      <x:c r="X194" s="75"/>
      <x:c r="Y194" s="75"/>
      <x:c r="Z194" s="75"/>
    </x:row>
    <x:row r="195" ht="20" customHeight="1">
      <x:c r="A195" s="86" t="str">
        <x:v>MS-LF-D-OW-10</x:v>
      </x:c>
      <x:c r="B195" s="75" t="str">
        <x:v>MS-LF-D</x:v>
      </x:c>
      <x:c r="C195" s="75" t="str">
        <x:v>MS-LF</x:v>
      </x:c>
      <x:c r="D195" s="75" t="n">
        <x:v>10</x:v>
      </x:c>
      <x:c r="E195" s="75" t="str">
        <x:v>OW-10</x:v>
      </x:c>
      <x:c r="F195" s="86" t="str">
        <x:v>Operational Command</x:v>
      </x:c>
      <x:c r="G195" s="86" t="str">
        <x:v>Civil Resilience Authority</x:v>
      </x:c>
      <x:c r="H195" s="88" t="n">
        <x:v>0.05</x:v>
      </x:c>
      <x:c r="I195" s="85" t="n">
        <x:f>INDEX('Root Registry'!$G$6:$G$29,MATCH(B195,'Root Registry'!$A$6:$A$29,0))</x:f>
        <x:v>18</x:v>
      </x:c>
      <x:c r="J195" s="75" t="str">
        <x:f>INDEX('Root Registry'!$D$6:$D$29,MATCH(B195,'Root Registry'!$A$6:$A$29,0))</x:f>
      </x:c>
      <x:c r="K195" s="75" t="str">
        <x:f>INDEX('Root Registry'!$F$6:$F$29,MATCH(B195,'Root Registry'!$A$6:$A$29,0))</x:f>
      </x:c>
      <x:c r="L195" s="43" t="str"/>
      <x:c r="M195" s="43" t="str"/>
      <x:c r="N195" s="43" t="str"/>
      <x:c r="O195" s="43" t="str"/>
      <x:c r="P195" s="43" t="str"/>
      <x:c r="Q195" s="75" t="str">
        <x:f>S194</x:f>
        <x:v>SOURCE EMPTY</x:v>
      </x:c>
      <x:c r="R195" s="75" t="str">
        <x:f>IF(L195="","SOURCE EMPTY",IF(L195=J195,"ROOT COLLISION",IF(AND(M195&lt;&gt;"",M195=L195),"DUAL-KEY COLLISION","CLEAR")))</x:f>
        <x:v>SOURCE EMPTY</x:v>
      </x:c>
      <x:c r="S195" s="75" t="str">
        <x:f>IF(OR(J195="",L195="",M195="",N195="",O195=""),"SOURCE EMPTY",IF(AND(OR(D195=4,D195=5,D195=8),K195=""),"SOURCE EMPTY",IF(R195&lt;&gt;"CLEAR","COLLISION",IF(P195&lt;&gt;"","ROLLBACK",IF(O195&lt;&gt;"ACCEPT","HOLD",IF(OR(D195=1,Q195="ACCEPTED"),"ACCEPTED","SEQUENCE HOLD"))))))</x:f>
        <x:v>SOURCE EMPTY</x:v>
      </x:c>
      <x:c r="T195" s="85" t="n">
        <x:f>IF(S195="ACCEPTED",H195*I195,0)</x:f>
        <x:v>0</x:v>
      </x:c>
      <x:c r="U195" s="75"/>
      <x:c r="V195" s="75"/>
      <x:c r="W195" s="75"/>
      <x:c r="X195" s="75"/>
      <x:c r="Y195" s="75"/>
      <x:c r="Z195" s="75"/>
    </x:row>
    <x:row r="196" ht="20" customHeight="1">
      <x:c r="A196" s="86" t="str">
        <x:v>MS-LF-D-SW-11</x:v>
      </x:c>
      <x:c r="B196" s="75" t="str">
        <x:v>MS-LF-D</x:v>
      </x:c>
      <x:c r="C196" s="75" t="str">
        <x:v>MS-LF</x:v>
      </x:c>
      <x:c r="D196" s="75" t="n">
        <x:v>11</x:v>
      </x:c>
      <x:c r="E196" s="75" t="str">
        <x:v>SW-11</x:v>
      </x:c>
      <x:c r="F196" s="86" t="str">
        <x:v>Civil Resilience Authority</x:v>
      </x:c>
      <x:c r="G196" s="86" t="str">
        <x:v>Affected Civil Authority</x:v>
      </x:c>
      <x:c r="H196" s="88" t="n">
        <x:v>0.07</x:v>
      </x:c>
      <x:c r="I196" s="85" t="n">
        <x:f>INDEX('Root Registry'!$G$6:$G$29,MATCH(B196,'Root Registry'!$A$6:$A$29,0))</x:f>
        <x:v>18</x:v>
      </x:c>
      <x:c r="J196" s="75" t="str">
        <x:f>INDEX('Root Registry'!$D$6:$D$29,MATCH(B196,'Root Registry'!$A$6:$A$29,0))</x:f>
      </x:c>
      <x:c r="K196" s="75" t="str">
        <x:f>INDEX('Root Registry'!$F$6:$F$29,MATCH(B196,'Root Registry'!$A$6:$A$29,0))</x:f>
      </x:c>
      <x:c r="L196" s="43" t="str"/>
      <x:c r="M196" s="43" t="str"/>
      <x:c r="N196" s="43" t="str"/>
      <x:c r="O196" s="43" t="str"/>
      <x:c r="P196" s="43" t="str"/>
      <x:c r="Q196" s="75" t="str">
        <x:f>S195</x:f>
        <x:v>SOURCE EMPTY</x:v>
      </x:c>
      <x:c r="R196" s="75" t="str">
        <x:f>IF(L196="","SOURCE EMPTY",IF(L196=J196,"ROOT COLLISION",IF(AND(M196&lt;&gt;"",M196=L196),"DUAL-KEY COLLISION","CLEAR")))</x:f>
        <x:v>SOURCE EMPTY</x:v>
      </x:c>
      <x:c r="S196" s="75" t="str">
        <x:f>IF(OR(J196="",L196="",M196="",N196="",O196=""),"SOURCE EMPTY",IF(AND(OR(D196=4,D196=5,D196=8),K196=""),"SOURCE EMPTY",IF(R196&lt;&gt;"CLEAR","COLLISION",IF(P196&lt;&gt;"","ROLLBACK",IF(O196&lt;&gt;"ACCEPT","HOLD",IF(OR(D196=1,Q196="ACCEPTED"),"ACCEPTED","SEQUENCE HOLD"))))))</x:f>
        <x:v>SOURCE EMPTY</x:v>
      </x:c>
      <x:c r="T196" s="85" t="n">
        <x:f>IF(S196="ACCEPTED",H196*I196,0)</x:f>
        <x:v>0</x:v>
      </x:c>
      <x:c r="U196" s="75"/>
      <x:c r="V196" s="75"/>
      <x:c r="W196" s="75"/>
      <x:c r="X196" s="75"/>
      <x:c r="Y196" s="75"/>
      <x:c r="Z196" s="75"/>
    </x:row>
    <x:row r="197" ht="20" customHeight="1">
      <x:c r="A197" s="86" t="str">
        <x:v>MS-LF-D-GW-12</x:v>
      </x:c>
      <x:c r="B197" s="75" t="str">
        <x:v>MS-LF-D</x:v>
      </x:c>
      <x:c r="C197" s="75" t="str">
        <x:v>MS-LF</x:v>
      </x:c>
      <x:c r="D197" s="75" t="n">
        <x:v>12</x:v>
      </x:c>
      <x:c r="E197" s="75" t="str">
        <x:v>GW-12</x:v>
      </x:c>
      <x:c r="F197" s="86" t="str">
        <x:v>Strategic Sustainment Command</x:v>
      </x:c>
      <x:c r="G197" s="86" t="str">
        <x:v>Joint Capacity Authority</x:v>
      </x:c>
      <x:c r="H197" s="88" t="n">
        <x:v>0.05</x:v>
      </x:c>
      <x:c r="I197" s="85" t="n">
        <x:f>INDEX('Root Registry'!$G$6:$G$29,MATCH(B197,'Root Registry'!$A$6:$A$29,0))</x:f>
        <x:v>18</x:v>
      </x:c>
      <x:c r="J197" s="75" t="str">
        <x:f>INDEX('Root Registry'!$D$6:$D$29,MATCH(B197,'Root Registry'!$A$6:$A$29,0))</x:f>
      </x:c>
      <x:c r="K197" s="75" t="str">
        <x:f>INDEX('Root Registry'!$F$6:$F$29,MATCH(B197,'Root Registry'!$A$6:$A$29,0))</x:f>
      </x:c>
      <x:c r="L197" s="43" t="str"/>
      <x:c r="M197" s="43" t="str"/>
      <x:c r="N197" s="43" t="str"/>
      <x:c r="O197" s="43" t="str"/>
      <x:c r="P197" s="43" t="str"/>
      <x:c r="Q197" s="75" t="str">
        <x:f>S196</x:f>
        <x:v>SOURCE EMPTY</x:v>
      </x:c>
      <x:c r="R197" s="75" t="str">
        <x:f>IF(L197="","SOURCE EMPTY",IF(L197=J197,"ROOT COLLISION",IF(AND(M197&lt;&gt;"",M197=L197),"DUAL-KEY COLLISION","CLEAR")))</x:f>
        <x:v>SOURCE EMPTY</x:v>
      </x:c>
      <x:c r="S197" s="75" t="str">
        <x:f>IF(OR(J197="",L197="",M197="",N197="",O197=""),"SOURCE EMPTY",IF(AND(OR(D197=4,D197=5,D197=8),K197=""),"SOURCE EMPTY",IF(R197&lt;&gt;"CLEAR","COLLISION",IF(P197&lt;&gt;"","ROLLBACK",IF(O197&lt;&gt;"ACCEPT","HOLD",IF(OR(D197=1,Q197="ACCEPTED"),"ACCEPTED","SEQUENCE HOLD"))))))</x:f>
        <x:v>SOURCE EMPTY</x:v>
      </x:c>
      <x:c r="T197" s="85" t="n">
        <x:f>IF(S197="ACCEPTED",H197*I197,0)</x:f>
        <x:v>0</x:v>
      </x:c>
      <x:c r="U197" s="75"/>
      <x:c r="V197" s="75"/>
      <x:c r="W197" s="75"/>
      <x:c r="X197" s="75"/>
      <x:c r="Y197" s="75"/>
      <x:c r="Z197" s="75"/>
    </x:row>
    <x:row r="198" ht="20" customHeight="1">
      <x:c r="A198" s="86" t="str">
        <x:v>MS-HU-A-PW-01</x:v>
      </x:c>
      <x:c r="B198" s="75" t="str">
        <x:v>MS-HU-A</x:v>
      </x:c>
      <x:c r="C198" s="75" t="str">
        <x:v>MS-HU</x:v>
      </x:c>
      <x:c r="D198" s="75" t="n">
        <x:v>1</x:v>
      </x:c>
      <x:c r="E198" s="75" t="str">
        <x:v>PW-01</x:v>
      </x:c>
      <x:c r="F198" s="86" t="str">
        <x:v>Civil Resilience Authority</x:v>
      </x:c>
      <x:c r="G198" s="86" t="str">
        <x:v>Public Effect College</x:v>
      </x:c>
      <x:c r="H198" s="88" t="n">
        <x:v>0.01</x:v>
      </x:c>
      <x:c r="I198" s="85" t="n">
        <x:f>INDEX('Root Registry'!$G$6:$G$29,MATCH(B198,'Root Registry'!$A$6:$A$29,0))</x:f>
        <x:v>38.25</x:v>
      </x:c>
      <x:c r="J198" s="75" t="str">
        <x:f>INDEX('Root Registry'!$D$6:$D$29,MATCH(B198,'Root Registry'!$A$6:$A$29,0))</x:f>
      </x:c>
      <x:c r="K198" s="75" t="str">
        <x:f>INDEX('Root Registry'!$F$6:$F$29,MATCH(B198,'Root Registry'!$A$6:$A$29,0))</x:f>
      </x:c>
      <x:c r="L198" s="43" t="str"/>
      <x:c r="M198" s="43" t="str"/>
      <x:c r="N198" s="43" t="str"/>
      <x:c r="O198" s="43" t="str"/>
      <x:c r="P198" s="43" t="str"/>
      <x:c r="Q198" s="75" t="str">
        <x:f>"ORIGIN"</x:f>
        <x:v>ORIGIN</x:v>
      </x:c>
      <x:c r="R198" s="75" t="str">
        <x:f>IF(L198="","SOURCE EMPTY",IF(L198=J198,"ROOT COLLISION",IF(AND(M198&lt;&gt;"",M198=L198),"DUAL-KEY COLLISION","CLEAR")))</x:f>
        <x:v>SOURCE EMPTY</x:v>
      </x:c>
      <x:c r="S198" s="75" t="str">
        <x:f>IF(OR(J198="",L198="",M198="",N198="",O198=""),"SOURCE EMPTY",IF(AND(OR(D198=4,D198=5,D198=8),K198=""),"SOURCE EMPTY",IF(R198&lt;&gt;"CLEAR","COLLISION",IF(P198&lt;&gt;"","ROLLBACK",IF(O198&lt;&gt;"ACCEPT","HOLD",IF(OR(D198=1,Q198="ACCEPTED"),"ACCEPTED","SEQUENCE HOLD"))))))</x:f>
        <x:v>SOURCE EMPTY</x:v>
      </x:c>
      <x:c r="T198" s="85" t="n">
        <x:f>IF(S198="ACCEPTED",H198*I198,0)</x:f>
        <x:v>0</x:v>
      </x:c>
      <x:c r="U198" s="75"/>
      <x:c r="V198" s="75"/>
      <x:c r="W198" s="75"/>
      <x:c r="X198" s="75"/>
      <x:c r="Y198" s="75"/>
      <x:c r="Z198" s="75"/>
    </x:row>
    <x:row r="199" ht="20" customHeight="1">
      <x:c r="A199" s="86" t="str">
        <x:v>MS-HU-A-MW-02</x:v>
      </x:c>
      <x:c r="B199" s="75" t="str">
        <x:v>MS-HU-A</x:v>
      </x:c>
      <x:c r="C199" s="75" t="str">
        <x:v>MS-HU</x:v>
      </x:c>
      <x:c r="D199" s="75" t="n">
        <x:v>2</x:v>
      </x:c>
      <x:c r="E199" s="75" t="str">
        <x:v>MW-02</x:v>
      </x:c>
      <x:c r="F199" s="86" t="str">
        <x:v>Mission System Command</x:v>
      </x:c>
      <x:c r="G199" s="86" t="str">
        <x:v>Civil Resilience Authority</x:v>
      </x:c>
      <x:c r="H199" s="88" t="n">
        <x:v>0.02</x:v>
      </x:c>
      <x:c r="I199" s="85" t="n">
        <x:f>INDEX('Root Registry'!$G$6:$G$29,MATCH(B199,'Root Registry'!$A$6:$A$29,0))</x:f>
        <x:v>38.25</x:v>
      </x:c>
      <x:c r="J199" s="75" t="str">
        <x:f>INDEX('Root Registry'!$D$6:$D$29,MATCH(B199,'Root Registry'!$A$6:$A$29,0))</x:f>
      </x:c>
      <x:c r="K199" s="75" t="str">
        <x:f>INDEX('Root Registry'!$F$6:$F$29,MATCH(B199,'Root Registry'!$A$6:$A$29,0))</x:f>
      </x:c>
      <x:c r="L199" s="43" t="str"/>
      <x:c r="M199" s="43" t="str"/>
      <x:c r="N199" s="43" t="str"/>
      <x:c r="O199" s="43" t="str"/>
      <x:c r="P199" s="43" t="str"/>
      <x:c r="Q199" s="75" t="str">
        <x:f>S198</x:f>
        <x:v>SOURCE EMPTY</x:v>
      </x:c>
      <x:c r="R199" s="75" t="str">
        <x:f>IF(L199="","SOURCE EMPTY",IF(L199=J199,"ROOT COLLISION",IF(AND(M199&lt;&gt;"",M199=L199),"DUAL-KEY COLLISION","CLEAR")))</x:f>
        <x:v>SOURCE EMPTY</x:v>
      </x:c>
      <x:c r="S199" s="75" t="str">
        <x:f>IF(OR(J199="",L199="",M199="",N199="",O199=""),"SOURCE EMPTY",IF(AND(OR(D199=4,D199=5,D199=8),K199=""),"SOURCE EMPTY",IF(R199&lt;&gt;"CLEAR","COLLISION",IF(P199&lt;&gt;"","ROLLBACK",IF(O199&lt;&gt;"ACCEPT","HOLD",IF(OR(D199=1,Q199="ACCEPTED"),"ACCEPTED","SEQUENCE HOLD"))))))</x:f>
        <x:v>SOURCE EMPTY</x:v>
      </x:c>
      <x:c r="T199" s="85" t="n">
        <x:f>IF(S199="ACCEPTED",H199*I199,0)</x:f>
        <x:v>0</x:v>
      </x:c>
      <x:c r="U199" s="75"/>
      <x:c r="V199" s="75"/>
      <x:c r="W199" s="75"/>
      <x:c r="X199" s="75"/>
      <x:c r="Y199" s="75"/>
      <x:c r="Z199" s="75"/>
    </x:row>
    <x:row r="200" ht="20" customHeight="1">
      <x:c r="A200" s="86" t="str">
        <x:v>MS-HU-A-FW-03</x:v>
      </x:c>
      <x:c r="B200" s="75" t="str">
        <x:v>MS-HU-A</x:v>
      </x:c>
      <x:c r="C200" s="75" t="str">
        <x:v>MS-HU</x:v>
      </x:c>
      <x:c r="D200" s="75" t="n">
        <x:v>3</x:v>
      </x:c>
      <x:c r="E200" s="75" t="str">
        <x:v>FW-03</x:v>
      </x:c>
      <x:c r="F200" s="86" t="str">
        <x:v>Department Capital Board</x:v>
      </x:c>
      <x:c r="G200" s="86" t="str">
        <x:v>Failure Reserve Trustee</x:v>
      </x:c>
      <x:c r="H200" s="88" t="n">
        <x:v>0.05</x:v>
      </x:c>
      <x:c r="I200" s="85" t="n">
        <x:f>INDEX('Root Registry'!$G$6:$G$29,MATCH(B200,'Root Registry'!$A$6:$A$29,0))</x:f>
        <x:v>38.25</x:v>
      </x:c>
      <x:c r="J200" s="75" t="str">
        <x:f>INDEX('Root Registry'!$D$6:$D$29,MATCH(B200,'Root Registry'!$A$6:$A$29,0))</x:f>
      </x:c>
      <x:c r="K200" s="75" t="str">
        <x:f>INDEX('Root Registry'!$F$6:$F$29,MATCH(B200,'Root Registry'!$A$6:$A$29,0))</x:f>
      </x:c>
      <x:c r="L200" s="43" t="str"/>
      <x:c r="M200" s="43" t="str"/>
      <x:c r="N200" s="43" t="str"/>
      <x:c r="O200" s="43" t="str"/>
      <x:c r="P200" s="43" t="str"/>
      <x:c r="Q200" s="75" t="str">
        <x:f>S199</x:f>
        <x:v>SOURCE EMPTY</x:v>
      </x:c>
      <x:c r="R200" s="75" t="str">
        <x:f>IF(L200="","SOURCE EMPTY",IF(L200=J200,"ROOT COLLISION",IF(AND(M200&lt;&gt;"",M200=L200),"DUAL-KEY COLLISION","CLEAR")))</x:f>
        <x:v>SOURCE EMPTY</x:v>
      </x:c>
      <x:c r="S200" s="75" t="str">
        <x:f>IF(OR(J200="",L200="",M200="",N200="",O200=""),"SOURCE EMPTY",IF(AND(OR(D200=4,D200=5,D200=8),K200=""),"SOURCE EMPTY",IF(R200&lt;&gt;"CLEAR","COLLISION",IF(P200&lt;&gt;"","ROLLBACK",IF(O200&lt;&gt;"ACCEPT","HOLD",IF(OR(D200=1,Q200="ACCEPTED"),"ACCEPTED","SEQUENCE HOLD"))))))</x:f>
        <x:v>SOURCE EMPTY</x:v>
      </x:c>
      <x:c r="T200" s="85" t="n">
        <x:f>IF(S200="ACCEPTED",H200*I200,0)</x:f>
        <x:v>0</x:v>
      </x:c>
      <x:c r="U200" s="75"/>
      <x:c r="V200" s="75"/>
      <x:c r="W200" s="75"/>
      <x:c r="X200" s="75"/>
      <x:c r="Y200" s="75"/>
      <x:c r="Z200" s="75"/>
    </x:row>
    <x:row r="201" ht="20" customHeight="1">
      <x:c r="A201" s="86" t="str">
        <x:v>MS-HU-A-CW-04</x:v>
      </x:c>
      <x:c r="B201" s="75" t="str">
        <x:v>MS-HU-A</x:v>
      </x:c>
      <x:c r="C201" s="75" t="str">
        <x:v>MS-HU</x:v>
      </x:c>
      <x:c r="D201" s="75" t="n">
        <x:v>4</x:v>
      </x:c>
      <x:c r="E201" s="75" t="str">
        <x:v>CW-04</x:v>
      </x:c>
      <x:c r="F201" s="86" t="str">
        <x:v>Service Technical College</x:v>
      </x:c>
      <x:c r="G201" s="86" t="str">
        <x:v>Independent Root House</x:v>
      </x:c>
      <x:c r="H201" s="88" t="n">
        <x:v>0.12</x:v>
      </x:c>
      <x:c r="I201" s="85" t="n">
        <x:f>INDEX('Root Registry'!$G$6:$G$29,MATCH(B201,'Root Registry'!$A$6:$A$29,0))</x:f>
        <x:v>38.25</x:v>
      </x:c>
      <x:c r="J201" s="75" t="str">
        <x:f>INDEX('Root Registry'!$D$6:$D$29,MATCH(B201,'Root Registry'!$A$6:$A$29,0))</x:f>
      </x:c>
      <x:c r="K201" s="75" t="str">
        <x:f>INDEX('Root Registry'!$F$6:$F$29,MATCH(B201,'Root Registry'!$A$6:$A$29,0))</x:f>
      </x:c>
      <x:c r="L201" s="43" t="str"/>
      <x:c r="M201" s="43" t="str"/>
      <x:c r="N201" s="43" t="str"/>
      <x:c r="O201" s="43" t="str"/>
      <x:c r="P201" s="43" t="str"/>
      <x:c r="Q201" s="75" t="str">
        <x:f>S200</x:f>
        <x:v>SOURCE EMPTY</x:v>
      </x:c>
      <x:c r="R201" s="75" t="str">
        <x:f>IF(L201="","SOURCE EMPTY",IF(L201=J201,"ROOT COLLISION",IF(AND(M201&lt;&gt;"",M201=L201),"DUAL-KEY COLLISION","CLEAR")))</x:f>
        <x:v>SOURCE EMPTY</x:v>
      </x:c>
      <x:c r="S201" s="75" t="str">
        <x:f>IF(OR(J201="",L201="",M201="",N201="",O201=""),"SOURCE EMPTY",IF(AND(OR(D201=4,D201=5,D201=8),K201=""),"SOURCE EMPTY",IF(R201&lt;&gt;"CLEAR","COLLISION",IF(P201&lt;&gt;"","ROLLBACK",IF(O201&lt;&gt;"ACCEPT","HOLD",IF(OR(D201=1,Q201="ACCEPTED"),"ACCEPTED","SEQUENCE HOLD"))))))</x:f>
        <x:v>SOURCE EMPTY</x:v>
      </x:c>
      <x:c r="T201" s="85" t="n">
        <x:f>IF(S201="ACCEPTED",H201*I201,0)</x:f>
        <x:v>0</x:v>
      </x:c>
      <x:c r="U201" s="75"/>
      <x:c r="V201" s="75"/>
      <x:c r="W201" s="75"/>
      <x:c r="X201" s="75"/>
      <x:c r="Y201" s="75"/>
      <x:c r="Z201" s="75"/>
    </x:row>
    <x:row r="202" ht="20" customHeight="1">
      <x:c r="A202" s="86" t="str">
        <x:v>MS-HU-A-TW-05</x:v>
      </x:c>
      <x:c r="B202" s="75" t="str">
        <x:v>MS-HU-A</x:v>
      </x:c>
      <x:c r="C202" s="75" t="str">
        <x:v>MS-HU</x:v>
      </x:c>
      <x:c r="D202" s="75" t="n">
        <x:v>5</x:v>
      </x:c>
      <x:c r="E202" s="75" t="str">
        <x:v>TW-05</x:v>
      </x:c>
      <x:c r="F202" s="86" t="str">
        <x:v>Service Technical College</x:v>
      </x:c>
      <x:c r="G202" s="86" t="str">
        <x:v>Public Protection Inspectorate</x:v>
      </x:c>
      <x:c r="H202" s="88" t="n">
        <x:v>0.08</x:v>
      </x:c>
      <x:c r="I202" s="85" t="n">
        <x:f>INDEX('Root Registry'!$G$6:$G$29,MATCH(B202,'Root Registry'!$A$6:$A$29,0))</x:f>
        <x:v>38.25</x:v>
      </x:c>
      <x:c r="J202" s="75" t="str">
        <x:f>INDEX('Root Registry'!$D$6:$D$29,MATCH(B202,'Root Registry'!$A$6:$A$29,0))</x:f>
      </x:c>
      <x:c r="K202" s="75" t="str">
        <x:f>INDEX('Root Registry'!$F$6:$F$29,MATCH(B202,'Root Registry'!$A$6:$A$29,0))</x:f>
      </x:c>
      <x:c r="L202" s="43" t="str"/>
      <x:c r="M202" s="43" t="str"/>
      <x:c r="N202" s="43" t="str"/>
      <x:c r="O202" s="43" t="str"/>
      <x:c r="P202" s="43" t="str"/>
      <x:c r="Q202" s="75" t="str">
        <x:f>S201</x:f>
        <x:v>SOURCE EMPTY</x:v>
      </x:c>
      <x:c r="R202" s="75" t="str">
        <x:f>IF(L202="","SOURCE EMPTY",IF(L202=J202,"ROOT COLLISION",IF(AND(M202&lt;&gt;"",M202=L202),"DUAL-KEY COLLISION","CLEAR")))</x:f>
        <x:v>SOURCE EMPTY</x:v>
      </x:c>
      <x:c r="S202" s="75" t="str">
        <x:f>IF(OR(J202="",L202="",M202="",N202="",O202=""),"SOURCE EMPTY",IF(AND(OR(D202=4,D202=5,D202=8),K202=""),"SOURCE EMPTY",IF(R202&lt;&gt;"CLEAR","COLLISION",IF(P202&lt;&gt;"","ROLLBACK",IF(O202&lt;&gt;"ACCEPT","HOLD",IF(OR(D202=1,Q202="ACCEPTED"),"ACCEPTED","SEQUENCE HOLD"))))))</x:f>
        <x:v>SOURCE EMPTY</x:v>
      </x:c>
      <x:c r="T202" s="85" t="n">
        <x:f>IF(S202="ACCEPTED",H202*I202,0)</x:f>
        <x:v>0</x:v>
      </x:c>
      <x:c r="U202" s="75"/>
      <x:c r="V202" s="75"/>
      <x:c r="W202" s="75"/>
      <x:c r="X202" s="75"/>
      <x:c r="Y202" s="75"/>
      <x:c r="Z202" s="75"/>
    </x:row>
    <x:row r="203" ht="20" customHeight="1">
      <x:c r="A203" s="86" t="str">
        <x:v>MS-HU-A-EW-06</x:v>
      </x:c>
      <x:c r="B203" s="75" t="str">
        <x:v>MS-HU-A</x:v>
      </x:c>
      <x:c r="C203" s="75" t="str">
        <x:v>MS-HU</x:v>
      </x:c>
      <x:c r="D203" s="75" t="n">
        <x:v>6</x:v>
      </x:c>
      <x:c r="E203" s="75" t="str">
        <x:v>EW-06</x:v>
      </x:c>
      <x:c r="F203" s="86" t="str">
        <x:v>Resilience Proving Service</x:v>
      </x:c>
      <x:c r="G203" s="86" t="str">
        <x:v>Public Effect College</x:v>
      </x:c>
      <x:c r="H203" s="88" t="n">
        <x:v>0.2</x:v>
      </x:c>
      <x:c r="I203" s="85" t="n">
        <x:f>INDEX('Root Registry'!$G$6:$G$29,MATCH(B203,'Root Registry'!$A$6:$A$29,0))</x:f>
        <x:v>38.25</x:v>
      </x:c>
      <x:c r="J203" s="75" t="str">
        <x:f>INDEX('Root Registry'!$D$6:$D$29,MATCH(B203,'Root Registry'!$A$6:$A$29,0))</x:f>
      </x:c>
      <x:c r="K203" s="75" t="str">
        <x:f>INDEX('Root Registry'!$F$6:$F$29,MATCH(B203,'Root Registry'!$A$6:$A$29,0))</x:f>
      </x:c>
      <x:c r="L203" s="43" t="str"/>
      <x:c r="M203" s="43" t="str"/>
      <x:c r="N203" s="43" t="str"/>
      <x:c r="O203" s="43" t="str"/>
      <x:c r="P203" s="43" t="str"/>
      <x:c r="Q203" s="75" t="str">
        <x:f>S202</x:f>
        <x:v>SOURCE EMPTY</x:v>
      </x:c>
      <x:c r="R203" s="75" t="str">
        <x:f>IF(L203="","SOURCE EMPTY",IF(L203=J203,"ROOT COLLISION",IF(AND(M203&lt;&gt;"",M203=L203),"DUAL-KEY COLLISION","CLEAR")))</x:f>
        <x:v>SOURCE EMPTY</x:v>
      </x:c>
      <x:c r="S203" s="75" t="str">
        <x:f>IF(OR(J203="",L203="",M203="",N203="",O203=""),"SOURCE EMPTY",IF(AND(OR(D203=4,D203=5,D203=8),K203=""),"SOURCE EMPTY",IF(R203&lt;&gt;"CLEAR","COLLISION",IF(P203&lt;&gt;"","ROLLBACK",IF(O203&lt;&gt;"ACCEPT","HOLD",IF(OR(D203=1,Q203="ACCEPTED"),"ACCEPTED","SEQUENCE HOLD"))))))</x:f>
        <x:v>SOURCE EMPTY</x:v>
      </x:c>
      <x:c r="T203" s="85" t="n">
        <x:f>IF(S203="ACCEPTED",H203*I203,0)</x:f>
        <x:v>0</x:v>
      </x:c>
      <x:c r="U203" s="75"/>
      <x:c r="V203" s="75"/>
      <x:c r="W203" s="75"/>
      <x:c r="X203" s="75"/>
      <x:c r="Y203" s="75"/>
      <x:c r="Z203" s="75"/>
    </x:row>
    <x:row r="204" ht="20" customHeight="1">
      <x:c r="A204" s="86" t="str">
        <x:v>MS-HU-A-IW-07</x:v>
      </x:c>
      <x:c r="B204" s="75" t="str">
        <x:v>MS-HU-A</x:v>
      </x:c>
      <x:c r="C204" s="75" t="str">
        <x:v>MS-HU</x:v>
      </x:c>
      <x:c r="D204" s="75" t="n">
        <x:v>7</x:v>
      </x:c>
      <x:c r="E204" s="75" t="str">
        <x:v>IW-07</x:v>
      </x:c>
      <x:c r="F204" s="86" t="str">
        <x:v>Industrial Mobilization Administration</x:v>
      </x:c>
      <x:c r="G204" s="86" t="str">
        <x:v>Reconstruction Command</x:v>
      </x:c>
      <x:c r="H204" s="88" t="n">
        <x:v>0.15</x:v>
      </x:c>
      <x:c r="I204" s="85" t="n">
        <x:f>INDEX('Root Registry'!$G$6:$G$29,MATCH(B204,'Root Registry'!$A$6:$A$29,0))</x:f>
        <x:v>38.25</x:v>
      </x:c>
      <x:c r="J204" s="75" t="str">
        <x:f>INDEX('Root Registry'!$D$6:$D$29,MATCH(B204,'Root Registry'!$A$6:$A$29,0))</x:f>
      </x:c>
      <x:c r="K204" s="75" t="str">
        <x:f>INDEX('Root Registry'!$F$6:$F$29,MATCH(B204,'Root Registry'!$A$6:$A$29,0))</x:f>
      </x:c>
      <x:c r="L204" s="43" t="str"/>
      <x:c r="M204" s="43" t="str"/>
      <x:c r="N204" s="43" t="str"/>
      <x:c r="O204" s="43" t="str"/>
      <x:c r="P204" s="43" t="str"/>
      <x:c r="Q204" s="75" t="str">
        <x:f>S203</x:f>
        <x:v>SOURCE EMPTY</x:v>
      </x:c>
      <x:c r="R204" s="75" t="str">
        <x:f>IF(L204="","SOURCE EMPTY",IF(L204=J204,"ROOT COLLISION",IF(AND(M204&lt;&gt;"",M204=L204),"DUAL-KEY COLLISION","CLEAR")))</x:f>
        <x:v>SOURCE EMPTY</x:v>
      </x:c>
      <x:c r="S204" s="75" t="str">
        <x:f>IF(OR(J204="",L204="",M204="",N204="",O204=""),"SOURCE EMPTY",IF(AND(OR(D204=4,D204=5,D204=8),K204=""),"SOURCE EMPTY",IF(R204&lt;&gt;"CLEAR","COLLISION",IF(P204&lt;&gt;"","ROLLBACK",IF(O204&lt;&gt;"ACCEPT","HOLD",IF(OR(D204=1,Q204="ACCEPTED"),"ACCEPTED","SEQUENCE HOLD"))))))</x:f>
        <x:v>SOURCE EMPTY</x:v>
      </x:c>
      <x:c r="T204" s="85" t="n">
        <x:f>IF(S204="ACCEPTED",H204*I204,0)</x:f>
        <x:v>0</x:v>
      </x:c>
      <x:c r="U204" s="75"/>
      <x:c r="V204" s="75"/>
      <x:c r="W204" s="75"/>
      <x:c r="X204" s="75"/>
      <x:c r="Y204" s="75"/>
      <x:c r="Z204" s="75"/>
    </x:row>
    <x:row r="205" ht="20" customHeight="1">
      <x:c r="A205" s="86" t="str">
        <x:v>MS-HU-A-CW-08</x:v>
      </x:c>
      <x:c r="B205" s="75" t="str">
        <x:v>MS-HU-A</x:v>
      </x:c>
      <x:c r="C205" s="75" t="str">
        <x:v>MS-HU</x:v>
      </x:c>
      <x:c r="D205" s="75" t="n">
        <x:v>8</x:v>
      </x:c>
      <x:c r="E205" s="75" t="str">
        <x:v>CW-08</x:v>
      </x:c>
      <x:c r="F205" s="86" t="str">
        <x:v>Operating Services</x:v>
      </x:c>
      <x:c r="G205" s="86" t="str">
        <x:v>Joint Capacity Authority</x:v>
      </x:c>
      <x:c r="H205" s="88" t="n">
        <x:v>0.12</x:v>
      </x:c>
      <x:c r="I205" s="85" t="n">
        <x:f>INDEX('Root Registry'!$G$6:$G$29,MATCH(B205,'Root Registry'!$A$6:$A$29,0))</x:f>
        <x:v>38.25</x:v>
      </x:c>
      <x:c r="J205" s="75" t="str">
        <x:f>INDEX('Root Registry'!$D$6:$D$29,MATCH(B205,'Root Registry'!$A$6:$A$29,0))</x:f>
      </x:c>
      <x:c r="K205" s="75" t="str">
        <x:f>INDEX('Root Registry'!$F$6:$F$29,MATCH(B205,'Root Registry'!$A$6:$A$29,0))</x:f>
      </x:c>
      <x:c r="L205" s="43" t="str"/>
      <x:c r="M205" s="43" t="str"/>
      <x:c r="N205" s="43" t="str"/>
      <x:c r="O205" s="43" t="str"/>
      <x:c r="P205" s="43" t="str"/>
      <x:c r="Q205" s="75" t="str">
        <x:f>S204</x:f>
        <x:v>SOURCE EMPTY</x:v>
      </x:c>
      <x:c r="R205" s="75" t="str">
        <x:f>IF(L205="","SOURCE EMPTY",IF(L205=J205,"ROOT COLLISION",IF(AND(M205&lt;&gt;"",M205=L205),"DUAL-KEY COLLISION","CLEAR")))</x:f>
        <x:v>SOURCE EMPTY</x:v>
      </x:c>
      <x:c r="S205" s="75" t="str">
        <x:f>IF(OR(J205="",L205="",M205="",N205="",O205=""),"SOURCE EMPTY",IF(AND(OR(D205=4,D205=5,D205=8),K205=""),"SOURCE EMPTY",IF(R205&lt;&gt;"CLEAR","COLLISION",IF(P205&lt;&gt;"","ROLLBACK",IF(O205&lt;&gt;"ACCEPT","HOLD",IF(OR(D205=1,Q205="ACCEPTED"),"ACCEPTED","SEQUENCE HOLD"))))))</x:f>
        <x:v>SOURCE EMPTY</x:v>
      </x:c>
      <x:c r="T205" s="85" t="n">
        <x:f>IF(S205="ACCEPTED",H205*I205,0)</x:f>
        <x:v>0</x:v>
      </x:c>
      <x:c r="U205" s="75"/>
      <x:c r="V205" s="75"/>
      <x:c r="W205" s="75"/>
      <x:c r="X205" s="75"/>
      <x:c r="Y205" s="75"/>
      <x:c r="Z205" s="75"/>
    </x:row>
    <x:row r="206" ht="20" customHeight="1">
      <x:c r="A206" s="86" t="str">
        <x:v>MS-HU-A-RW-09</x:v>
      </x:c>
      <x:c r="B206" s="75" t="str">
        <x:v>MS-HU-A</x:v>
      </x:c>
      <x:c r="C206" s="75" t="str">
        <x:v>MS-HU</x:v>
      </x:c>
      <x:c r="D206" s="75" t="n">
        <x:v>9</x:v>
      </x:c>
      <x:c r="E206" s="75" t="str">
        <x:v>RW-09</x:v>
      </x:c>
      <x:c r="F206" s="86" t="str">
        <x:v>Joint Capacity Authority</x:v>
      </x:c>
      <x:c r="G206" s="86" t="str">
        <x:v>Department Comptroller</x:v>
      </x:c>
      <x:c r="H206" s="88" t="n">
        <x:v>0.08</x:v>
      </x:c>
      <x:c r="I206" s="85" t="n">
        <x:f>INDEX('Root Registry'!$G$6:$G$29,MATCH(B206,'Root Registry'!$A$6:$A$29,0))</x:f>
        <x:v>38.25</x:v>
      </x:c>
      <x:c r="J206" s="75" t="str">
        <x:f>INDEX('Root Registry'!$D$6:$D$29,MATCH(B206,'Root Registry'!$A$6:$A$29,0))</x:f>
      </x:c>
      <x:c r="K206" s="75" t="str">
        <x:f>INDEX('Root Registry'!$F$6:$F$29,MATCH(B206,'Root Registry'!$A$6:$A$29,0))</x:f>
      </x:c>
      <x:c r="L206" s="43" t="str"/>
      <x:c r="M206" s="43" t="str"/>
      <x:c r="N206" s="43" t="str"/>
      <x:c r="O206" s="43" t="str"/>
      <x:c r="P206" s="43" t="str"/>
      <x:c r="Q206" s="75" t="str">
        <x:f>S205</x:f>
        <x:v>SOURCE EMPTY</x:v>
      </x:c>
      <x:c r="R206" s="75" t="str">
        <x:f>IF(L206="","SOURCE EMPTY",IF(L206=J206,"ROOT COLLISION",IF(AND(M206&lt;&gt;"",M206=L206),"DUAL-KEY COLLISION","CLEAR")))</x:f>
        <x:v>SOURCE EMPTY</x:v>
      </x:c>
      <x:c r="S206" s="75" t="str">
        <x:f>IF(OR(J206="",L206="",M206="",N206="",O206=""),"SOURCE EMPTY",IF(AND(OR(D206=4,D206=5,D206=8),K206=""),"SOURCE EMPTY",IF(R206&lt;&gt;"CLEAR","COLLISION",IF(P206&lt;&gt;"","ROLLBACK",IF(O206&lt;&gt;"ACCEPT","HOLD",IF(OR(D206=1,Q206="ACCEPTED"),"ACCEPTED","SEQUENCE HOLD"))))))</x:f>
        <x:v>SOURCE EMPTY</x:v>
      </x:c>
      <x:c r="T206" s="85" t="n">
        <x:f>IF(S206="ACCEPTED",H206*I206,0)</x:f>
        <x:v>0</x:v>
      </x:c>
      <x:c r="U206" s="75"/>
      <x:c r="V206" s="75"/>
      <x:c r="W206" s="75"/>
      <x:c r="X206" s="75"/>
      <x:c r="Y206" s="75"/>
      <x:c r="Z206" s="75"/>
    </x:row>
    <x:row r="207" ht="20" customHeight="1">
      <x:c r="A207" s="86" t="str">
        <x:v>MS-HU-A-OW-10</x:v>
      </x:c>
      <x:c r="B207" s="75" t="str">
        <x:v>MS-HU-A</x:v>
      </x:c>
      <x:c r="C207" s="75" t="str">
        <x:v>MS-HU</x:v>
      </x:c>
      <x:c r="D207" s="75" t="n">
        <x:v>10</x:v>
      </x:c>
      <x:c r="E207" s="75" t="str">
        <x:v>OW-10</x:v>
      </x:c>
      <x:c r="F207" s="86" t="str">
        <x:v>Operational Command</x:v>
      </x:c>
      <x:c r="G207" s="86" t="str">
        <x:v>Civil Resilience Authority</x:v>
      </x:c>
      <x:c r="H207" s="88" t="n">
        <x:v>0.05</x:v>
      </x:c>
      <x:c r="I207" s="85" t="n">
        <x:f>INDEX('Root Registry'!$G$6:$G$29,MATCH(B207,'Root Registry'!$A$6:$A$29,0))</x:f>
        <x:v>38.25</x:v>
      </x:c>
      <x:c r="J207" s="75" t="str">
        <x:f>INDEX('Root Registry'!$D$6:$D$29,MATCH(B207,'Root Registry'!$A$6:$A$29,0))</x:f>
      </x:c>
      <x:c r="K207" s="75" t="str">
        <x:f>INDEX('Root Registry'!$F$6:$F$29,MATCH(B207,'Root Registry'!$A$6:$A$29,0))</x:f>
      </x:c>
      <x:c r="L207" s="43" t="str"/>
      <x:c r="M207" s="43" t="str"/>
      <x:c r="N207" s="43" t="str"/>
      <x:c r="O207" s="43" t="str"/>
      <x:c r="P207" s="43" t="str"/>
      <x:c r="Q207" s="75" t="str">
        <x:f>S206</x:f>
        <x:v>SOURCE EMPTY</x:v>
      </x:c>
      <x:c r="R207" s="75" t="str">
        <x:f>IF(L207="","SOURCE EMPTY",IF(L207=J207,"ROOT COLLISION",IF(AND(M207&lt;&gt;"",M207=L207),"DUAL-KEY COLLISION","CLEAR")))</x:f>
        <x:v>SOURCE EMPTY</x:v>
      </x:c>
      <x:c r="S207" s="75" t="str">
        <x:f>IF(OR(J207="",L207="",M207="",N207="",O207=""),"SOURCE EMPTY",IF(AND(OR(D207=4,D207=5,D207=8),K207=""),"SOURCE EMPTY",IF(R207&lt;&gt;"CLEAR","COLLISION",IF(P207&lt;&gt;"","ROLLBACK",IF(O207&lt;&gt;"ACCEPT","HOLD",IF(OR(D207=1,Q207="ACCEPTED"),"ACCEPTED","SEQUENCE HOLD"))))))</x:f>
        <x:v>SOURCE EMPTY</x:v>
      </x:c>
      <x:c r="T207" s="85" t="n">
        <x:f>IF(S207="ACCEPTED",H207*I207,0)</x:f>
        <x:v>0</x:v>
      </x:c>
      <x:c r="U207" s="75"/>
      <x:c r="V207" s="75"/>
      <x:c r="W207" s="75"/>
      <x:c r="X207" s="75"/>
      <x:c r="Y207" s="75"/>
      <x:c r="Z207" s="75"/>
    </x:row>
    <x:row r="208" ht="20" customHeight="1">
      <x:c r="A208" s="86" t="str">
        <x:v>MS-HU-A-SW-11</x:v>
      </x:c>
      <x:c r="B208" s="75" t="str">
        <x:v>MS-HU-A</x:v>
      </x:c>
      <x:c r="C208" s="75" t="str">
        <x:v>MS-HU</x:v>
      </x:c>
      <x:c r="D208" s="75" t="n">
        <x:v>11</x:v>
      </x:c>
      <x:c r="E208" s="75" t="str">
        <x:v>SW-11</x:v>
      </x:c>
      <x:c r="F208" s="86" t="str">
        <x:v>Civil Resilience Authority</x:v>
      </x:c>
      <x:c r="G208" s="86" t="str">
        <x:v>Affected Civil Authority</x:v>
      </x:c>
      <x:c r="H208" s="88" t="n">
        <x:v>0.07</x:v>
      </x:c>
      <x:c r="I208" s="85" t="n">
        <x:f>INDEX('Root Registry'!$G$6:$G$29,MATCH(B208,'Root Registry'!$A$6:$A$29,0))</x:f>
        <x:v>38.25</x:v>
      </x:c>
      <x:c r="J208" s="75" t="str">
        <x:f>INDEX('Root Registry'!$D$6:$D$29,MATCH(B208,'Root Registry'!$A$6:$A$29,0))</x:f>
      </x:c>
      <x:c r="K208" s="75" t="str">
        <x:f>INDEX('Root Registry'!$F$6:$F$29,MATCH(B208,'Root Registry'!$A$6:$A$29,0))</x:f>
      </x:c>
      <x:c r="L208" s="43" t="str"/>
      <x:c r="M208" s="43" t="str"/>
      <x:c r="N208" s="43" t="str"/>
      <x:c r="O208" s="43" t="str"/>
      <x:c r="P208" s="43" t="str"/>
      <x:c r="Q208" s="75" t="str">
        <x:f>S207</x:f>
        <x:v>SOURCE EMPTY</x:v>
      </x:c>
      <x:c r="R208" s="75" t="str">
        <x:f>IF(L208="","SOURCE EMPTY",IF(L208=J208,"ROOT COLLISION",IF(AND(M208&lt;&gt;"",M208=L208),"DUAL-KEY COLLISION","CLEAR")))</x:f>
        <x:v>SOURCE EMPTY</x:v>
      </x:c>
      <x:c r="S208" s="75" t="str">
        <x:f>IF(OR(J208="",L208="",M208="",N208="",O208=""),"SOURCE EMPTY",IF(AND(OR(D208=4,D208=5,D208=8),K208=""),"SOURCE EMPTY",IF(R208&lt;&gt;"CLEAR","COLLISION",IF(P208&lt;&gt;"","ROLLBACK",IF(O208&lt;&gt;"ACCEPT","HOLD",IF(OR(D208=1,Q208="ACCEPTED"),"ACCEPTED","SEQUENCE HOLD"))))))</x:f>
        <x:v>SOURCE EMPTY</x:v>
      </x:c>
      <x:c r="T208" s="85" t="n">
        <x:f>IF(S208="ACCEPTED",H208*I208,0)</x:f>
        <x:v>0</x:v>
      </x:c>
      <x:c r="U208" s="75"/>
      <x:c r="V208" s="75"/>
      <x:c r="W208" s="75"/>
      <x:c r="X208" s="75"/>
      <x:c r="Y208" s="75"/>
      <x:c r="Z208" s="75"/>
    </x:row>
    <x:row r="209" ht="20" customHeight="1">
      <x:c r="A209" s="86" t="str">
        <x:v>MS-HU-A-GW-12</x:v>
      </x:c>
      <x:c r="B209" s="75" t="str">
        <x:v>MS-HU-A</x:v>
      </x:c>
      <x:c r="C209" s="75" t="str">
        <x:v>MS-HU</x:v>
      </x:c>
      <x:c r="D209" s="75" t="n">
        <x:v>12</x:v>
      </x:c>
      <x:c r="E209" s="75" t="str">
        <x:v>GW-12</x:v>
      </x:c>
      <x:c r="F209" s="86" t="str">
        <x:v>Strategic Sustainment Command</x:v>
      </x:c>
      <x:c r="G209" s="86" t="str">
        <x:v>Joint Capacity Authority</x:v>
      </x:c>
      <x:c r="H209" s="88" t="n">
        <x:v>0.05</x:v>
      </x:c>
      <x:c r="I209" s="85" t="n">
        <x:f>INDEX('Root Registry'!$G$6:$G$29,MATCH(B209,'Root Registry'!$A$6:$A$29,0))</x:f>
        <x:v>38.25</x:v>
      </x:c>
      <x:c r="J209" s="75" t="str">
        <x:f>INDEX('Root Registry'!$D$6:$D$29,MATCH(B209,'Root Registry'!$A$6:$A$29,0))</x:f>
      </x:c>
      <x:c r="K209" s="75" t="str">
        <x:f>INDEX('Root Registry'!$F$6:$F$29,MATCH(B209,'Root Registry'!$A$6:$A$29,0))</x:f>
      </x:c>
      <x:c r="L209" s="43" t="str"/>
      <x:c r="M209" s="43" t="str"/>
      <x:c r="N209" s="43" t="str"/>
      <x:c r="O209" s="43" t="str"/>
      <x:c r="P209" s="43" t="str"/>
      <x:c r="Q209" s="75" t="str">
        <x:f>S208</x:f>
        <x:v>SOURCE EMPTY</x:v>
      </x:c>
      <x:c r="R209" s="75" t="str">
        <x:f>IF(L209="","SOURCE EMPTY",IF(L209=J209,"ROOT COLLISION",IF(AND(M209&lt;&gt;"",M209=L209),"DUAL-KEY COLLISION","CLEAR")))</x:f>
        <x:v>SOURCE EMPTY</x:v>
      </x:c>
      <x:c r="S209" s="75" t="str">
        <x:f>IF(OR(J209="",L209="",M209="",N209="",O209=""),"SOURCE EMPTY",IF(AND(OR(D209=4,D209=5,D209=8),K209=""),"SOURCE EMPTY",IF(R209&lt;&gt;"CLEAR","COLLISION",IF(P209&lt;&gt;"","ROLLBACK",IF(O209&lt;&gt;"ACCEPT","HOLD",IF(OR(D209=1,Q209="ACCEPTED"),"ACCEPTED","SEQUENCE HOLD"))))))</x:f>
        <x:v>SOURCE EMPTY</x:v>
      </x:c>
      <x:c r="T209" s="85" t="n">
        <x:f>IF(S209="ACCEPTED",H209*I209,0)</x:f>
        <x:v>0</x:v>
      </x:c>
      <x:c r="U209" s="75"/>
      <x:c r="V209" s="75"/>
      <x:c r="W209" s="75"/>
      <x:c r="X209" s="75"/>
      <x:c r="Y209" s="75"/>
      <x:c r="Z209" s="75"/>
    </x:row>
    <x:row r="210" ht="20" customHeight="1">
      <x:c r="A210" s="86" t="str">
        <x:v>MS-HU-B-PW-01</x:v>
      </x:c>
      <x:c r="B210" s="75" t="str">
        <x:v>MS-HU-B</x:v>
      </x:c>
      <x:c r="C210" s="75" t="str">
        <x:v>MS-HU</x:v>
      </x:c>
      <x:c r="D210" s="75" t="n">
        <x:v>1</x:v>
      </x:c>
      <x:c r="E210" s="75" t="str">
        <x:v>PW-01</x:v>
      </x:c>
      <x:c r="F210" s="86" t="str">
        <x:v>Civil Resilience Authority</x:v>
      </x:c>
      <x:c r="G210" s="86" t="str">
        <x:v>Public Effect College</x:v>
      </x:c>
      <x:c r="H210" s="88" t="n">
        <x:v>0.01</x:v>
      </x:c>
      <x:c r="I210" s="85" t="n">
        <x:f>INDEX('Root Registry'!$G$6:$G$29,MATCH(B210,'Root Registry'!$A$6:$A$29,0))</x:f>
        <x:v>38.25</x:v>
      </x:c>
      <x:c r="J210" s="75" t="str">
        <x:f>INDEX('Root Registry'!$D$6:$D$29,MATCH(B210,'Root Registry'!$A$6:$A$29,0))</x:f>
      </x:c>
      <x:c r="K210" s="75" t="str">
        <x:f>INDEX('Root Registry'!$F$6:$F$29,MATCH(B210,'Root Registry'!$A$6:$A$29,0))</x:f>
      </x:c>
      <x:c r="L210" s="43" t="str"/>
      <x:c r="M210" s="43" t="str"/>
      <x:c r="N210" s="43" t="str"/>
      <x:c r="O210" s="43" t="str"/>
      <x:c r="P210" s="43" t="str"/>
      <x:c r="Q210" s="75" t="str">
        <x:f>"ORIGIN"</x:f>
        <x:v>ORIGIN</x:v>
      </x:c>
      <x:c r="R210" s="75" t="str">
        <x:f>IF(L210="","SOURCE EMPTY",IF(L210=J210,"ROOT COLLISION",IF(AND(M210&lt;&gt;"",M210=L210),"DUAL-KEY COLLISION","CLEAR")))</x:f>
        <x:v>SOURCE EMPTY</x:v>
      </x:c>
      <x:c r="S210" s="75" t="str">
        <x:f>IF(OR(J210="",L210="",M210="",N210="",O210=""),"SOURCE EMPTY",IF(AND(OR(D210=4,D210=5,D210=8),K210=""),"SOURCE EMPTY",IF(R210&lt;&gt;"CLEAR","COLLISION",IF(P210&lt;&gt;"","ROLLBACK",IF(O210&lt;&gt;"ACCEPT","HOLD",IF(OR(D210=1,Q210="ACCEPTED"),"ACCEPTED","SEQUENCE HOLD"))))))</x:f>
        <x:v>SOURCE EMPTY</x:v>
      </x:c>
      <x:c r="T210" s="85" t="n">
        <x:f>IF(S210="ACCEPTED",H210*I210,0)</x:f>
        <x:v>0</x:v>
      </x:c>
      <x:c r="U210" s="75"/>
      <x:c r="V210" s="75"/>
      <x:c r="W210" s="75"/>
      <x:c r="X210" s="75"/>
      <x:c r="Y210" s="75"/>
      <x:c r="Z210" s="75"/>
    </x:row>
    <x:row r="211" ht="20" customHeight="1">
      <x:c r="A211" s="86" t="str">
        <x:v>MS-HU-B-MW-02</x:v>
      </x:c>
      <x:c r="B211" s="75" t="str">
        <x:v>MS-HU-B</x:v>
      </x:c>
      <x:c r="C211" s="75" t="str">
        <x:v>MS-HU</x:v>
      </x:c>
      <x:c r="D211" s="75" t="n">
        <x:v>2</x:v>
      </x:c>
      <x:c r="E211" s="75" t="str">
        <x:v>MW-02</x:v>
      </x:c>
      <x:c r="F211" s="86" t="str">
        <x:v>Mission System Command</x:v>
      </x:c>
      <x:c r="G211" s="86" t="str">
        <x:v>Civil Resilience Authority</x:v>
      </x:c>
      <x:c r="H211" s="88" t="n">
        <x:v>0.02</x:v>
      </x:c>
      <x:c r="I211" s="85" t="n">
        <x:f>INDEX('Root Registry'!$G$6:$G$29,MATCH(B211,'Root Registry'!$A$6:$A$29,0))</x:f>
        <x:v>38.25</x:v>
      </x:c>
      <x:c r="J211" s="75" t="str">
        <x:f>INDEX('Root Registry'!$D$6:$D$29,MATCH(B211,'Root Registry'!$A$6:$A$29,0))</x:f>
      </x:c>
      <x:c r="K211" s="75" t="str">
        <x:f>INDEX('Root Registry'!$F$6:$F$29,MATCH(B211,'Root Registry'!$A$6:$A$29,0))</x:f>
      </x:c>
      <x:c r="L211" s="43" t="str"/>
      <x:c r="M211" s="43" t="str"/>
      <x:c r="N211" s="43" t="str"/>
      <x:c r="O211" s="43" t="str"/>
      <x:c r="P211" s="43" t="str"/>
      <x:c r="Q211" s="75" t="str">
        <x:f>S210</x:f>
        <x:v>SOURCE EMPTY</x:v>
      </x:c>
      <x:c r="R211" s="75" t="str">
        <x:f>IF(L211="","SOURCE EMPTY",IF(L211=J211,"ROOT COLLISION",IF(AND(M211&lt;&gt;"",M211=L211),"DUAL-KEY COLLISION","CLEAR")))</x:f>
        <x:v>SOURCE EMPTY</x:v>
      </x:c>
      <x:c r="S211" s="75" t="str">
        <x:f>IF(OR(J211="",L211="",M211="",N211="",O211=""),"SOURCE EMPTY",IF(AND(OR(D211=4,D211=5,D211=8),K211=""),"SOURCE EMPTY",IF(R211&lt;&gt;"CLEAR","COLLISION",IF(P211&lt;&gt;"","ROLLBACK",IF(O211&lt;&gt;"ACCEPT","HOLD",IF(OR(D211=1,Q211="ACCEPTED"),"ACCEPTED","SEQUENCE HOLD"))))))</x:f>
        <x:v>SOURCE EMPTY</x:v>
      </x:c>
      <x:c r="T211" s="85" t="n">
        <x:f>IF(S211="ACCEPTED",H211*I211,0)</x:f>
        <x:v>0</x:v>
      </x:c>
      <x:c r="U211" s="75"/>
      <x:c r="V211" s="75"/>
      <x:c r="W211" s="75"/>
      <x:c r="X211" s="75"/>
      <x:c r="Y211" s="75"/>
      <x:c r="Z211" s="75"/>
    </x:row>
    <x:row r="212" ht="20" customHeight="1">
      <x:c r="A212" s="86" t="str">
        <x:v>MS-HU-B-FW-03</x:v>
      </x:c>
      <x:c r="B212" s="75" t="str">
        <x:v>MS-HU-B</x:v>
      </x:c>
      <x:c r="C212" s="75" t="str">
        <x:v>MS-HU</x:v>
      </x:c>
      <x:c r="D212" s="75" t="n">
        <x:v>3</x:v>
      </x:c>
      <x:c r="E212" s="75" t="str">
        <x:v>FW-03</x:v>
      </x:c>
      <x:c r="F212" s="86" t="str">
        <x:v>Department Capital Board</x:v>
      </x:c>
      <x:c r="G212" s="86" t="str">
        <x:v>Failure Reserve Trustee</x:v>
      </x:c>
      <x:c r="H212" s="88" t="n">
        <x:v>0.05</x:v>
      </x:c>
      <x:c r="I212" s="85" t="n">
        <x:f>INDEX('Root Registry'!$G$6:$G$29,MATCH(B212,'Root Registry'!$A$6:$A$29,0))</x:f>
        <x:v>38.25</x:v>
      </x:c>
      <x:c r="J212" s="75" t="str">
        <x:f>INDEX('Root Registry'!$D$6:$D$29,MATCH(B212,'Root Registry'!$A$6:$A$29,0))</x:f>
      </x:c>
      <x:c r="K212" s="75" t="str">
        <x:f>INDEX('Root Registry'!$F$6:$F$29,MATCH(B212,'Root Registry'!$A$6:$A$29,0))</x:f>
      </x:c>
      <x:c r="L212" s="43" t="str"/>
      <x:c r="M212" s="43" t="str"/>
      <x:c r="N212" s="43" t="str"/>
      <x:c r="O212" s="43" t="str"/>
      <x:c r="P212" s="43" t="str"/>
      <x:c r="Q212" s="75" t="str">
        <x:f>S211</x:f>
        <x:v>SOURCE EMPTY</x:v>
      </x:c>
      <x:c r="R212" s="75" t="str">
        <x:f>IF(L212="","SOURCE EMPTY",IF(L212=J212,"ROOT COLLISION",IF(AND(M212&lt;&gt;"",M212=L212),"DUAL-KEY COLLISION","CLEAR")))</x:f>
        <x:v>SOURCE EMPTY</x:v>
      </x:c>
      <x:c r="S212" s="75" t="str">
        <x:f>IF(OR(J212="",L212="",M212="",N212="",O212=""),"SOURCE EMPTY",IF(AND(OR(D212=4,D212=5,D212=8),K212=""),"SOURCE EMPTY",IF(R212&lt;&gt;"CLEAR","COLLISION",IF(P212&lt;&gt;"","ROLLBACK",IF(O212&lt;&gt;"ACCEPT","HOLD",IF(OR(D212=1,Q212="ACCEPTED"),"ACCEPTED","SEQUENCE HOLD"))))))</x:f>
        <x:v>SOURCE EMPTY</x:v>
      </x:c>
      <x:c r="T212" s="85" t="n">
        <x:f>IF(S212="ACCEPTED",H212*I212,0)</x:f>
        <x:v>0</x:v>
      </x:c>
      <x:c r="U212" s="75"/>
      <x:c r="V212" s="75"/>
      <x:c r="W212" s="75"/>
      <x:c r="X212" s="75"/>
      <x:c r="Y212" s="75"/>
      <x:c r="Z212" s="75"/>
    </x:row>
    <x:row r="213" ht="20" customHeight="1">
      <x:c r="A213" s="86" t="str">
        <x:v>MS-HU-B-CW-04</x:v>
      </x:c>
      <x:c r="B213" s="75" t="str">
        <x:v>MS-HU-B</x:v>
      </x:c>
      <x:c r="C213" s="75" t="str">
        <x:v>MS-HU</x:v>
      </x:c>
      <x:c r="D213" s="75" t="n">
        <x:v>4</x:v>
      </x:c>
      <x:c r="E213" s="75" t="str">
        <x:v>CW-04</x:v>
      </x:c>
      <x:c r="F213" s="86" t="str">
        <x:v>Service Technical College</x:v>
      </x:c>
      <x:c r="G213" s="86" t="str">
        <x:v>Independent Root House</x:v>
      </x:c>
      <x:c r="H213" s="88" t="n">
        <x:v>0.12</x:v>
      </x:c>
      <x:c r="I213" s="85" t="n">
        <x:f>INDEX('Root Registry'!$G$6:$G$29,MATCH(B213,'Root Registry'!$A$6:$A$29,0))</x:f>
        <x:v>38.25</x:v>
      </x:c>
      <x:c r="J213" s="75" t="str">
        <x:f>INDEX('Root Registry'!$D$6:$D$29,MATCH(B213,'Root Registry'!$A$6:$A$29,0))</x:f>
      </x:c>
      <x:c r="K213" s="75" t="str">
        <x:f>INDEX('Root Registry'!$F$6:$F$29,MATCH(B213,'Root Registry'!$A$6:$A$29,0))</x:f>
      </x:c>
      <x:c r="L213" s="43" t="str"/>
      <x:c r="M213" s="43" t="str"/>
      <x:c r="N213" s="43" t="str"/>
      <x:c r="O213" s="43" t="str"/>
      <x:c r="P213" s="43" t="str"/>
      <x:c r="Q213" s="75" t="str">
        <x:f>S212</x:f>
        <x:v>SOURCE EMPTY</x:v>
      </x:c>
      <x:c r="R213" s="75" t="str">
        <x:f>IF(L213="","SOURCE EMPTY",IF(L213=J213,"ROOT COLLISION",IF(AND(M213&lt;&gt;"",M213=L213),"DUAL-KEY COLLISION","CLEAR")))</x:f>
        <x:v>SOURCE EMPTY</x:v>
      </x:c>
      <x:c r="S213" s="75" t="str">
        <x:f>IF(OR(J213="",L213="",M213="",N213="",O213=""),"SOURCE EMPTY",IF(AND(OR(D213=4,D213=5,D213=8),K213=""),"SOURCE EMPTY",IF(R213&lt;&gt;"CLEAR","COLLISION",IF(P213&lt;&gt;"","ROLLBACK",IF(O213&lt;&gt;"ACCEPT","HOLD",IF(OR(D213=1,Q213="ACCEPTED"),"ACCEPTED","SEQUENCE HOLD"))))))</x:f>
        <x:v>SOURCE EMPTY</x:v>
      </x:c>
      <x:c r="T213" s="85" t="n">
        <x:f>IF(S213="ACCEPTED",H213*I213,0)</x:f>
        <x:v>0</x:v>
      </x:c>
      <x:c r="U213" s="75"/>
      <x:c r="V213" s="75"/>
      <x:c r="W213" s="75"/>
      <x:c r="X213" s="75"/>
      <x:c r="Y213" s="75"/>
      <x:c r="Z213" s="75"/>
    </x:row>
    <x:row r="214" ht="20" customHeight="1">
      <x:c r="A214" s="86" t="str">
        <x:v>MS-HU-B-TW-05</x:v>
      </x:c>
      <x:c r="B214" s="75" t="str">
        <x:v>MS-HU-B</x:v>
      </x:c>
      <x:c r="C214" s="75" t="str">
        <x:v>MS-HU</x:v>
      </x:c>
      <x:c r="D214" s="75" t="n">
        <x:v>5</x:v>
      </x:c>
      <x:c r="E214" s="75" t="str">
        <x:v>TW-05</x:v>
      </x:c>
      <x:c r="F214" s="86" t="str">
        <x:v>Service Technical College</x:v>
      </x:c>
      <x:c r="G214" s="86" t="str">
        <x:v>Public Protection Inspectorate</x:v>
      </x:c>
      <x:c r="H214" s="88" t="n">
        <x:v>0.08</x:v>
      </x:c>
      <x:c r="I214" s="85" t="n">
        <x:f>INDEX('Root Registry'!$G$6:$G$29,MATCH(B214,'Root Registry'!$A$6:$A$29,0))</x:f>
        <x:v>38.25</x:v>
      </x:c>
      <x:c r="J214" s="75" t="str">
        <x:f>INDEX('Root Registry'!$D$6:$D$29,MATCH(B214,'Root Registry'!$A$6:$A$29,0))</x:f>
      </x:c>
      <x:c r="K214" s="75" t="str">
        <x:f>INDEX('Root Registry'!$F$6:$F$29,MATCH(B214,'Root Registry'!$A$6:$A$29,0))</x:f>
      </x:c>
      <x:c r="L214" s="43" t="str"/>
      <x:c r="M214" s="43" t="str"/>
      <x:c r="N214" s="43" t="str"/>
      <x:c r="O214" s="43" t="str"/>
      <x:c r="P214" s="43" t="str"/>
      <x:c r="Q214" s="75" t="str">
        <x:f>S213</x:f>
        <x:v>SOURCE EMPTY</x:v>
      </x:c>
      <x:c r="R214" s="75" t="str">
        <x:f>IF(L214="","SOURCE EMPTY",IF(L214=J214,"ROOT COLLISION",IF(AND(M214&lt;&gt;"",M214=L214),"DUAL-KEY COLLISION","CLEAR")))</x:f>
        <x:v>SOURCE EMPTY</x:v>
      </x:c>
      <x:c r="S214" s="75" t="str">
        <x:f>IF(OR(J214="",L214="",M214="",N214="",O214=""),"SOURCE EMPTY",IF(AND(OR(D214=4,D214=5,D214=8),K214=""),"SOURCE EMPTY",IF(R214&lt;&gt;"CLEAR","COLLISION",IF(P214&lt;&gt;"","ROLLBACK",IF(O214&lt;&gt;"ACCEPT","HOLD",IF(OR(D214=1,Q214="ACCEPTED"),"ACCEPTED","SEQUENCE HOLD"))))))</x:f>
        <x:v>SOURCE EMPTY</x:v>
      </x:c>
      <x:c r="T214" s="85" t="n">
        <x:f>IF(S214="ACCEPTED",H214*I214,0)</x:f>
        <x:v>0</x:v>
      </x:c>
      <x:c r="U214" s="75"/>
      <x:c r="V214" s="75"/>
      <x:c r="W214" s="75"/>
      <x:c r="X214" s="75"/>
      <x:c r="Y214" s="75"/>
      <x:c r="Z214" s="75"/>
    </x:row>
    <x:row r="215" ht="20" customHeight="1">
      <x:c r="A215" s="86" t="str">
        <x:v>MS-HU-B-EW-06</x:v>
      </x:c>
      <x:c r="B215" s="75" t="str">
        <x:v>MS-HU-B</x:v>
      </x:c>
      <x:c r="C215" s="75" t="str">
        <x:v>MS-HU</x:v>
      </x:c>
      <x:c r="D215" s="75" t="n">
        <x:v>6</x:v>
      </x:c>
      <x:c r="E215" s="75" t="str">
        <x:v>EW-06</x:v>
      </x:c>
      <x:c r="F215" s="86" t="str">
        <x:v>Resilience Proving Service</x:v>
      </x:c>
      <x:c r="G215" s="86" t="str">
        <x:v>Public Effect College</x:v>
      </x:c>
      <x:c r="H215" s="88" t="n">
        <x:v>0.2</x:v>
      </x:c>
      <x:c r="I215" s="85" t="n">
        <x:f>INDEX('Root Registry'!$G$6:$G$29,MATCH(B215,'Root Registry'!$A$6:$A$29,0))</x:f>
        <x:v>38.25</x:v>
      </x:c>
      <x:c r="J215" s="75" t="str">
        <x:f>INDEX('Root Registry'!$D$6:$D$29,MATCH(B215,'Root Registry'!$A$6:$A$29,0))</x:f>
      </x:c>
      <x:c r="K215" s="75" t="str">
        <x:f>INDEX('Root Registry'!$F$6:$F$29,MATCH(B215,'Root Registry'!$A$6:$A$29,0))</x:f>
      </x:c>
      <x:c r="L215" s="43" t="str"/>
      <x:c r="M215" s="43" t="str"/>
      <x:c r="N215" s="43" t="str"/>
      <x:c r="O215" s="43" t="str"/>
      <x:c r="P215" s="43" t="str"/>
      <x:c r="Q215" s="75" t="str">
        <x:f>S214</x:f>
        <x:v>SOURCE EMPTY</x:v>
      </x:c>
      <x:c r="R215" s="75" t="str">
        <x:f>IF(L215="","SOURCE EMPTY",IF(L215=J215,"ROOT COLLISION",IF(AND(M215&lt;&gt;"",M215=L215),"DUAL-KEY COLLISION","CLEAR")))</x:f>
        <x:v>SOURCE EMPTY</x:v>
      </x:c>
      <x:c r="S215" s="75" t="str">
        <x:f>IF(OR(J215="",L215="",M215="",N215="",O215=""),"SOURCE EMPTY",IF(AND(OR(D215=4,D215=5,D215=8),K215=""),"SOURCE EMPTY",IF(R215&lt;&gt;"CLEAR","COLLISION",IF(P215&lt;&gt;"","ROLLBACK",IF(O215&lt;&gt;"ACCEPT","HOLD",IF(OR(D215=1,Q215="ACCEPTED"),"ACCEPTED","SEQUENCE HOLD"))))))</x:f>
        <x:v>SOURCE EMPTY</x:v>
      </x:c>
      <x:c r="T215" s="85" t="n">
        <x:f>IF(S215="ACCEPTED",H215*I215,0)</x:f>
        <x:v>0</x:v>
      </x:c>
      <x:c r="U215" s="75"/>
      <x:c r="V215" s="75"/>
      <x:c r="W215" s="75"/>
      <x:c r="X215" s="75"/>
      <x:c r="Y215" s="75"/>
      <x:c r="Z215" s="75"/>
    </x:row>
    <x:row r="216" ht="20" customHeight="1">
      <x:c r="A216" s="86" t="str">
        <x:v>MS-HU-B-IW-07</x:v>
      </x:c>
      <x:c r="B216" s="75" t="str">
        <x:v>MS-HU-B</x:v>
      </x:c>
      <x:c r="C216" s="75" t="str">
        <x:v>MS-HU</x:v>
      </x:c>
      <x:c r="D216" s="75" t="n">
        <x:v>7</x:v>
      </x:c>
      <x:c r="E216" s="75" t="str">
        <x:v>IW-07</x:v>
      </x:c>
      <x:c r="F216" s="86" t="str">
        <x:v>Industrial Mobilization Administration</x:v>
      </x:c>
      <x:c r="G216" s="86" t="str">
        <x:v>Reconstruction Command</x:v>
      </x:c>
      <x:c r="H216" s="88" t="n">
        <x:v>0.15</x:v>
      </x:c>
      <x:c r="I216" s="85" t="n">
        <x:f>INDEX('Root Registry'!$G$6:$G$29,MATCH(B216,'Root Registry'!$A$6:$A$29,0))</x:f>
        <x:v>38.25</x:v>
      </x:c>
      <x:c r="J216" s="75" t="str">
        <x:f>INDEX('Root Registry'!$D$6:$D$29,MATCH(B216,'Root Registry'!$A$6:$A$29,0))</x:f>
      </x:c>
      <x:c r="K216" s="75" t="str">
        <x:f>INDEX('Root Registry'!$F$6:$F$29,MATCH(B216,'Root Registry'!$A$6:$A$29,0))</x:f>
      </x:c>
      <x:c r="L216" s="43" t="str"/>
      <x:c r="M216" s="43" t="str"/>
      <x:c r="N216" s="43" t="str"/>
      <x:c r="O216" s="43" t="str"/>
      <x:c r="P216" s="43" t="str"/>
      <x:c r="Q216" s="75" t="str">
        <x:f>S215</x:f>
        <x:v>SOURCE EMPTY</x:v>
      </x:c>
      <x:c r="R216" s="75" t="str">
        <x:f>IF(L216="","SOURCE EMPTY",IF(L216=J216,"ROOT COLLISION",IF(AND(M216&lt;&gt;"",M216=L216),"DUAL-KEY COLLISION","CLEAR")))</x:f>
        <x:v>SOURCE EMPTY</x:v>
      </x:c>
      <x:c r="S216" s="75" t="str">
        <x:f>IF(OR(J216="",L216="",M216="",N216="",O216=""),"SOURCE EMPTY",IF(AND(OR(D216=4,D216=5,D216=8),K216=""),"SOURCE EMPTY",IF(R216&lt;&gt;"CLEAR","COLLISION",IF(P216&lt;&gt;"","ROLLBACK",IF(O216&lt;&gt;"ACCEPT","HOLD",IF(OR(D216=1,Q216="ACCEPTED"),"ACCEPTED","SEQUENCE HOLD"))))))</x:f>
        <x:v>SOURCE EMPTY</x:v>
      </x:c>
      <x:c r="T216" s="85" t="n">
        <x:f>IF(S216="ACCEPTED",H216*I216,0)</x:f>
        <x:v>0</x:v>
      </x:c>
      <x:c r="U216" s="75"/>
      <x:c r="V216" s="75"/>
      <x:c r="W216" s="75"/>
      <x:c r="X216" s="75"/>
      <x:c r="Y216" s="75"/>
      <x:c r="Z216" s="75"/>
    </x:row>
    <x:row r="217" ht="20" customHeight="1">
      <x:c r="A217" s="86" t="str">
        <x:v>MS-HU-B-CW-08</x:v>
      </x:c>
      <x:c r="B217" s="75" t="str">
        <x:v>MS-HU-B</x:v>
      </x:c>
      <x:c r="C217" s="75" t="str">
        <x:v>MS-HU</x:v>
      </x:c>
      <x:c r="D217" s="75" t="n">
        <x:v>8</x:v>
      </x:c>
      <x:c r="E217" s="75" t="str">
        <x:v>CW-08</x:v>
      </x:c>
      <x:c r="F217" s="86" t="str">
        <x:v>Operating Services</x:v>
      </x:c>
      <x:c r="G217" s="86" t="str">
        <x:v>Joint Capacity Authority</x:v>
      </x:c>
      <x:c r="H217" s="88" t="n">
        <x:v>0.12</x:v>
      </x:c>
      <x:c r="I217" s="85" t="n">
        <x:f>INDEX('Root Registry'!$G$6:$G$29,MATCH(B217,'Root Registry'!$A$6:$A$29,0))</x:f>
        <x:v>38.25</x:v>
      </x:c>
      <x:c r="J217" s="75" t="str">
        <x:f>INDEX('Root Registry'!$D$6:$D$29,MATCH(B217,'Root Registry'!$A$6:$A$29,0))</x:f>
      </x:c>
      <x:c r="K217" s="75" t="str">
        <x:f>INDEX('Root Registry'!$F$6:$F$29,MATCH(B217,'Root Registry'!$A$6:$A$29,0))</x:f>
      </x:c>
      <x:c r="L217" s="43" t="str"/>
      <x:c r="M217" s="43" t="str"/>
      <x:c r="N217" s="43" t="str"/>
      <x:c r="O217" s="43" t="str"/>
      <x:c r="P217" s="43" t="str"/>
      <x:c r="Q217" s="75" t="str">
        <x:f>S216</x:f>
        <x:v>SOURCE EMPTY</x:v>
      </x:c>
      <x:c r="R217" s="75" t="str">
        <x:f>IF(L217="","SOURCE EMPTY",IF(L217=J217,"ROOT COLLISION",IF(AND(M217&lt;&gt;"",M217=L217),"DUAL-KEY COLLISION","CLEAR")))</x:f>
        <x:v>SOURCE EMPTY</x:v>
      </x:c>
      <x:c r="S217" s="75" t="str">
        <x:f>IF(OR(J217="",L217="",M217="",N217="",O217=""),"SOURCE EMPTY",IF(AND(OR(D217=4,D217=5,D217=8),K217=""),"SOURCE EMPTY",IF(R217&lt;&gt;"CLEAR","COLLISION",IF(P217&lt;&gt;"","ROLLBACK",IF(O217&lt;&gt;"ACCEPT","HOLD",IF(OR(D217=1,Q217="ACCEPTED"),"ACCEPTED","SEQUENCE HOLD"))))))</x:f>
        <x:v>SOURCE EMPTY</x:v>
      </x:c>
      <x:c r="T217" s="85" t="n">
        <x:f>IF(S217="ACCEPTED",H217*I217,0)</x:f>
        <x:v>0</x:v>
      </x:c>
      <x:c r="U217" s="75"/>
      <x:c r="V217" s="75"/>
      <x:c r="W217" s="75"/>
      <x:c r="X217" s="75"/>
      <x:c r="Y217" s="75"/>
      <x:c r="Z217" s="75"/>
    </x:row>
    <x:row r="218" ht="20" customHeight="1">
      <x:c r="A218" s="86" t="str">
        <x:v>MS-HU-B-RW-09</x:v>
      </x:c>
      <x:c r="B218" s="75" t="str">
        <x:v>MS-HU-B</x:v>
      </x:c>
      <x:c r="C218" s="75" t="str">
        <x:v>MS-HU</x:v>
      </x:c>
      <x:c r="D218" s="75" t="n">
        <x:v>9</x:v>
      </x:c>
      <x:c r="E218" s="75" t="str">
        <x:v>RW-09</x:v>
      </x:c>
      <x:c r="F218" s="86" t="str">
        <x:v>Joint Capacity Authority</x:v>
      </x:c>
      <x:c r="G218" s="86" t="str">
        <x:v>Department Comptroller</x:v>
      </x:c>
      <x:c r="H218" s="88" t="n">
        <x:v>0.08</x:v>
      </x:c>
      <x:c r="I218" s="85" t="n">
        <x:f>INDEX('Root Registry'!$G$6:$G$29,MATCH(B218,'Root Registry'!$A$6:$A$29,0))</x:f>
        <x:v>38.25</x:v>
      </x:c>
      <x:c r="J218" s="75" t="str">
        <x:f>INDEX('Root Registry'!$D$6:$D$29,MATCH(B218,'Root Registry'!$A$6:$A$29,0))</x:f>
      </x:c>
      <x:c r="K218" s="75" t="str">
        <x:f>INDEX('Root Registry'!$F$6:$F$29,MATCH(B218,'Root Registry'!$A$6:$A$29,0))</x:f>
      </x:c>
      <x:c r="L218" s="43" t="str"/>
      <x:c r="M218" s="43" t="str"/>
      <x:c r="N218" s="43" t="str"/>
      <x:c r="O218" s="43" t="str"/>
      <x:c r="P218" s="43" t="str"/>
      <x:c r="Q218" s="75" t="str">
        <x:f>S217</x:f>
        <x:v>SOURCE EMPTY</x:v>
      </x:c>
      <x:c r="R218" s="75" t="str">
        <x:f>IF(L218="","SOURCE EMPTY",IF(L218=J218,"ROOT COLLISION",IF(AND(M218&lt;&gt;"",M218=L218),"DUAL-KEY COLLISION","CLEAR")))</x:f>
        <x:v>SOURCE EMPTY</x:v>
      </x:c>
      <x:c r="S218" s="75" t="str">
        <x:f>IF(OR(J218="",L218="",M218="",N218="",O218=""),"SOURCE EMPTY",IF(AND(OR(D218=4,D218=5,D218=8),K218=""),"SOURCE EMPTY",IF(R218&lt;&gt;"CLEAR","COLLISION",IF(P218&lt;&gt;"","ROLLBACK",IF(O218&lt;&gt;"ACCEPT","HOLD",IF(OR(D218=1,Q218="ACCEPTED"),"ACCEPTED","SEQUENCE HOLD"))))))</x:f>
        <x:v>SOURCE EMPTY</x:v>
      </x:c>
      <x:c r="T218" s="85" t="n">
        <x:f>IF(S218="ACCEPTED",H218*I218,0)</x:f>
        <x:v>0</x:v>
      </x:c>
      <x:c r="U218" s="75"/>
      <x:c r="V218" s="75"/>
      <x:c r="W218" s="75"/>
      <x:c r="X218" s="75"/>
      <x:c r="Y218" s="75"/>
      <x:c r="Z218" s="75"/>
    </x:row>
    <x:row r="219" ht="20" customHeight="1">
      <x:c r="A219" s="86" t="str">
        <x:v>MS-HU-B-OW-10</x:v>
      </x:c>
      <x:c r="B219" s="75" t="str">
        <x:v>MS-HU-B</x:v>
      </x:c>
      <x:c r="C219" s="75" t="str">
        <x:v>MS-HU</x:v>
      </x:c>
      <x:c r="D219" s="75" t="n">
        <x:v>10</x:v>
      </x:c>
      <x:c r="E219" s="75" t="str">
        <x:v>OW-10</x:v>
      </x:c>
      <x:c r="F219" s="86" t="str">
        <x:v>Operational Command</x:v>
      </x:c>
      <x:c r="G219" s="86" t="str">
        <x:v>Civil Resilience Authority</x:v>
      </x:c>
      <x:c r="H219" s="88" t="n">
        <x:v>0.05</x:v>
      </x:c>
      <x:c r="I219" s="85" t="n">
        <x:f>INDEX('Root Registry'!$G$6:$G$29,MATCH(B219,'Root Registry'!$A$6:$A$29,0))</x:f>
        <x:v>38.25</x:v>
      </x:c>
      <x:c r="J219" s="75" t="str">
        <x:f>INDEX('Root Registry'!$D$6:$D$29,MATCH(B219,'Root Registry'!$A$6:$A$29,0))</x:f>
      </x:c>
      <x:c r="K219" s="75" t="str">
        <x:f>INDEX('Root Registry'!$F$6:$F$29,MATCH(B219,'Root Registry'!$A$6:$A$29,0))</x:f>
      </x:c>
      <x:c r="L219" s="43" t="str"/>
      <x:c r="M219" s="43" t="str"/>
      <x:c r="N219" s="43" t="str"/>
      <x:c r="O219" s="43" t="str"/>
      <x:c r="P219" s="43" t="str"/>
      <x:c r="Q219" s="75" t="str">
        <x:f>S218</x:f>
        <x:v>SOURCE EMPTY</x:v>
      </x:c>
      <x:c r="R219" s="75" t="str">
        <x:f>IF(L219="","SOURCE EMPTY",IF(L219=J219,"ROOT COLLISION",IF(AND(M219&lt;&gt;"",M219=L219),"DUAL-KEY COLLISION","CLEAR")))</x:f>
        <x:v>SOURCE EMPTY</x:v>
      </x:c>
      <x:c r="S219" s="75" t="str">
        <x:f>IF(OR(J219="",L219="",M219="",N219="",O219=""),"SOURCE EMPTY",IF(AND(OR(D219=4,D219=5,D219=8),K219=""),"SOURCE EMPTY",IF(R219&lt;&gt;"CLEAR","COLLISION",IF(P219&lt;&gt;"","ROLLBACK",IF(O219&lt;&gt;"ACCEPT","HOLD",IF(OR(D219=1,Q219="ACCEPTED"),"ACCEPTED","SEQUENCE HOLD"))))))</x:f>
        <x:v>SOURCE EMPTY</x:v>
      </x:c>
      <x:c r="T219" s="85" t="n">
        <x:f>IF(S219="ACCEPTED",H219*I219,0)</x:f>
        <x:v>0</x:v>
      </x:c>
      <x:c r="U219" s="75"/>
      <x:c r="V219" s="75"/>
      <x:c r="W219" s="75"/>
      <x:c r="X219" s="75"/>
      <x:c r="Y219" s="75"/>
      <x:c r="Z219" s="75"/>
    </x:row>
    <x:row r="220" ht="20" customHeight="1">
      <x:c r="A220" s="86" t="str">
        <x:v>MS-HU-B-SW-11</x:v>
      </x:c>
      <x:c r="B220" s="75" t="str">
        <x:v>MS-HU-B</x:v>
      </x:c>
      <x:c r="C220" s="75" t="str">
        <x:v>MS-HU</x:v>
      </x:c>
      <x:c r="D220" s="75" t="n">
        <x:v>11</x:v>
      </x:c>
      <x:c r="E220" s="75" t="str">
        <x:v>SW-11</x:v>
      </x:c>
      <x:c r="F220" s="86" t="str">
        <x:v>Civil Resilience Authority</x:v>
      </x:c>
      <x:c r="G220" s="86" t="str">
        <x:v>Affected Civil Authority</x:v>
      </x:c>
      <x:c r="H220" s="88" t="n">
        <x:v>0.07</x:v>
      </x:c>
      <x:c r="I220" s="85" t="n">
        <x:f>INDEX('Root Registry'!$G$6:$G$29,MATCH(B220,'Root Registry'!$A$6:$A$29,0))</x:f>
        <x:v>38.25</x:v>
      </x:c>
      <x:c r="J220" s="75" t="str">
        <x:f>INDEX('Root Registry'!$D$6:$D$29,MATCH(B220,'Root Registry'!$A$6:$A$29,0))</x:f>
      </x:c>
      <x:c r="K220" s="75" t="str">
        <x:f>INDEX('Root Registry'!$F$6:$F$29,MATCH(B220,'Root Registry'!$A$6:$A$29,0))</x:f>
      </x:c>
      <x:c r="L220" s="43" t="str"/>
      <x:c r="M220" s="43" t="str"/>
      <x:c r="N220" s="43" t="str"/>
      <x:c r="O220" s="43" t="str"/>
      <x:c r="P220" s="43" t="str"/>
      <x:c r="Q220" s="75" t="str">
        <x:f>S219</x:f>
        <x:v>SOURCE EMPTY</x:v>
      </x:c>
      <x:c r="R220" s="75" t="str">
        <x:f>IF(L220="","SOURCE EMPTY",IF(L220=J220,"ROOT COLLISION",IF(AND(M220&lt;&gt;"",M220=L220),"DUAL-KEY COLLISION","CLEAR")))</x:f>
        <x:v>SOURCE EMPTY</x:v>
      </x:c>
      <x:c r="S220" s="75" t="str">
        <x:f>IF(OR(J220="",L220="",M220="",N220="",O220=""),"SOURCE EMPTY",IF(AND(OR(D220=4,D220=5,D220=8),K220=""),"SOURCE EMPTY",IF(R220&lt;&gt;"CLEAR","COLLISION",IF(P220&lt;&gt;"","ROLLBACK",IF(O220&lt;&gt;"ACCEPT","HOLD",IF(OR(D220=1,Q220="ACCEPTED"),"ACCEPTED","SEQUENCE HOLD"))))))</x:f>
        <x:v>SOURCE EMPTY</x:v>
      </x:c>
      <x:c r="T220" s="85" t="n">
        <x:f>IF(S220="ACCEPTED",H220*I220,0)</x:f>
        <x:v>0</x:v>
      </x:c>
      <x:c r="U220" s="75"/>
      <x:c r="V220" s="75"/>
      <x:c r="W220" s="75"/>
      <x:c r="X220" s="75"/>
      <x:c r="Y220" s="75"/>
      <x:c r="Z220" s="75"/>
    </x:row>
    <x:row r="221" ht="20" customHeight="1">
      <x:c r="A221" s="86" t="str">
        <x:v>MS-HU-B-GW-12</x:v>
      </x:c>
      <x:c r="B221" s="75" t="str">
        <x:v>MS-HU-B</x:v>
      </x:c>
      <x:c r="C221" s="75" t="str">
        <x:v>MS-HU</x:v>
      </x:c>
      <x:c r="D221" s="75" t="n">
        <x:v>12</x:v>
      </x:c>
      <x:c r="E221" s="75" t="str">
        <x:v>GW-12</x:v>
      </x:c>
      <x:c r="F221" s="86" t="str">
        <x:v>Strategic Sustainment Command</x:v>
      </x:c>
      <x:c r="G221" s="86" t="str">
        <x:v>Joint Capacity Authority</x:v>
      </x:c>
      <x:c r="H221" s="88" t="n">
        <x:v>0.05</x:v>
      </x:c>
      <x:c r="I221" s="85" t="n">
        <x:f>INDEX('Root Registry'!$G$6:$G$29,MATCH(B221,'Root Registry'!$A$6:$A$29,0))</x:f>
        <x:v>38.25</x:v>
      </x:c>
      <x:c r="J221" s="75" t="str">
        <x:f>INDEX('Root Registry'!$D$6:$D$29,MATCH(B221,'Root Registry'!$A$6:$A$29,0))</x:f>
      </x:c>
      <x:c r="K221" s="75" t="str">
        <x:f>INDEX('Root Registry'!$F$6:$F$29,MATCH(B221,'Root Registry'!$A$6:$A$29,0))</x:f>
      </x:c>
      <x:c r="L221" s="43" t="str"/>
      <x:c r="M221" s="43" t="str"/>
      <x:c r="N221" s="43" t="str"/>
      <x:c r="O221" s="43" t="str"/>
      <x:c r="P221" s="43" t="str"/>
      <x:c r="Q221" s="75" t="str">
        <x:f>S220</x:f>
        <x:v>SOURCE EMPTY</x:v>
      </x:c>
      <x:c r="R221" s="75" t="str">
        <x:f>IF(L221="","SOURCE EMPTY",IF(L221=J221,"ROOT COLLISION",IF(AND(M221&lt;&gt;"",M221=L221),"DUAL-KEY COLLISION","CLEAR")))</x:f>
        <x:v>SOURCE EMPTY</x:v>
      </x:c>
      <x:c r="S221" s="75" t="str">
        <x:f>IF(OR(J221="",L221="",M221="",N221="",O221=""),"SOURCE EMPTY",IF(AND(OR(D221=4,D221=5,D221=8),K221=""),"SOURCE EMPTY",IF(R221&lt;&gt;"CLEAR","COLLISION",IF(P221&lt;&gt;"","ROLLBACK",IF(O221&lt;&gt;"ACCEPT","HOLD",IF(OR(D221=1,Q221="ACCEPTED"),"ACCEPTED","SEQUENCE HOLD"))))))</x:f>
        <x:v>SOURCE EMPTY</x:v>
      </x:c>
      <x:c r="T221" s="85" t="n">
        <x:f>IF(S221="ACCEPTED",H221*I221,0)</x:f>
        <x:v>0</x:v>
      </x:c>
      <x:c r="U221" s="75"/>
      <x:c r="V221" s="75"/>
      <x:c r="W221" s="75"/>
      <x:c r="X221" s="75"/>
      <x:c r="Y221" s="75"/>
      <x:c r="Z221" s="75"/>
    </x:row>
    <x:row r="222" ht="20" customHeight="1">
      <x:c r="A222" s="86" t="str">
        <x:v>MS-HU-C-PW-01</x:v>
      </x:c>
      <x:c r="B222" s="75" t="str">
        <x:v>MS-HU-C</x:v>
      </x:c>
      <x:c r="C222" s="75" t="str">
        <x:v>MS-HU</x:v>
      </x:c>
      <x:c r="D222" s="75" t="n">
        <x:v>1</x:v>
      </x:c>
      <x:c r="E222" s="75" t="str">
        <x:v>PW-01</x:v>
      </x:c>
      <x:c r="F222" s="86" t="str">
        <x:v>Civil Resilience Authority</x:v>
      </x:c>
      <x:c r="G222" s="86" t="str">
        <x:v>Public Effect College</x:v>
      </x:c>
      <x:c r="H222" s="88" t="n">
        <x:v>0.01</x:v>
      </x:c>
      <x:c r="I222" s="85" t="n">
        <x:f>INDEX('Root Registry'!$G$6:$G$29,MATCH(B222,'Root Registry'!$A$6:$A$29,0))</x:f>
        <x:v>38.25</x:v>
      </x:c>
      <x:c r="J222" s="75" t="str">
        <x:f>INDEX('Root Registry'!$D$6:$D$29,MATCH(B222,'Root Registry'!$A$6:$A$29,0))</x:f>
      </x:c>
      <x:c r="K222" s="75" t="str">
        <x:f>INDEX('Root Registry'!$F$6:$F$29,MATCH(B222,'Root Registry'!$A$6:$A$29,0))</x:f>
      </x:c>
      <x:c r="L222" s="43" t="str"/>
      <x:c r="M222" s="43" t="str"/>
      <x:c r="N222" s="43" t="str"/>
      <x:c r="O222" s="43" t="str"/>
      <x:c r="P222" s="43" t="str"/>
      <x:c r="Q222" s="75" t="str">
        <x:f>"ORIGIN"</x:f>
        <x:v>ORIGIN</x:v>
      </x:c>
      <x:c r="R222" s="75" t="str">
        <x:f>IF(L222="","SOURCE EMPTY",IF(L222=J222,"ROOT COLLISION",IF(AND(M222&lt;&gt;"",M222=L222),"DUAL-KEY COLLISION","CLEAR")))</x:f>
        <x:v>SOURCE EMPTY</x:v>
      </x:c>
      <x:c r="S222" s="75" t="str">
        <x:f>IF(OR(J222="",L222="",M222="",N222="",O222=""),"SOURCE EMPTY",IF(AND(OR(D222=4,D222=5,D222=8),K222=""),"SOURCE EMPTY",IF(R222&lt;&gt;"CLEAR","COLLISION",IF(P222&lt;&gt;"","ROLLBACK",IF(O222&lt;&gt;"ACCEPT","HOLD",IF(OR(D222=1,Q222="ACCEPTED"),"ACCEPTED","SEQUENCE HOLD"))))))</x:f>
        <x:v>SOURCE EMPTY</x:v>
      </x:c>
      <x:c r="T222" s="85" t="n">
        <x:f>IF(S222="ACCEPTED",H222*I222,0)</x:f>
        <x:v>0</x:v>
      </x:c>
      <x:c r="U222" s="75"/>
      <x:c r="V222" s="75"/>
      <x:c r="W222" s="75"/>
      <x:c r="X222" s="75"/>
      <x:c r="Y222" s="75"/>
      <x:c r="Z222" s="75"/>
    </x:row>
    <x:row r="223" ht="20" customHeight="1">
      <x:c r="A223" s="86" t="str">
        <x:v>MS-HU-C-MW-02</x:v>
      </x:c>
      <x:c r="B223" s="75" t="str">
        <x:v>MS-HU-C</x:v>
      </x:c>
      <x:c r="C223" s="75" t="str">
        <x:v>MS-HU</x:v>
      </x:c>
      <x:c r="D223" s="75" t="n">
        <x:v>2</x:v>
      </x:c>
      <x:c r="E223" s="75" t="str">
        <x:v>MW-02</x:v>
      </x:c>
      <x:c r="F223" s="86" t="str">
        <x:v>Mission System Command</x:v>
      </x:c>
      <x:c r="G223" s="86" t="str">
        <x:v>Civil Resilience Authority</x:v>
      </x:c>
      <x:c r="H223" s="88" t="n">
        <x:v>0.02</x:v>
      </x:c>
      <x:c r="I223" s="85" t="n">
        <x:f>INDEX('Root Registry'!$G$6:$G$29,MATCH(B223,'Root Registry'!$A$6:$A$29,0))</x:f>
        <x:v>38.25</x:v>
      </x:c>
      <x:c r="J223" s="75" t="str">
        <x:f>INDEX('Root Registry'!$D$6:$D$29,MATCH(B223,'Root Registry'!$A$6:$A$29,0))</x:f>
      </x:c>
      <x:c r="K223" s="75" t="str">
        <x:f>INDEX('Root Registry'!$F$6:$F$29,MATCH(B223,'Root Registry'!$A$6:$A$29,0))</x:f>
      </x:c>
      <x:c r="L223" s="43" t="str"/>
      <x:c r="M223" s="43" t="str"/>
      <x:c r="N223" s="43" t="str"/>
      <x:c r="O223" s="43" t="str"/>
      <x:c r="P223" s="43" t="str"/>
      <x:c r="Q223" s="75" t="str">
        <x:f>S222</x:f>
        <x:v>SOURCE EMPTY</x:v>
      </x:c>
      <x:c r="R223" s="75" t="str">
        <x:f>IF(L223="","SOURCE EMPTY",IF(L223=J223,"ROOT COLLISION",IF(AND(M223&lt;&gt;"",M223=L223),"DUAL-KEY COLLISION","CLEAR")))</x:f>
        <x:v>SOURCE EMPTY</x:v>
      </x:c>
      <x:c r="S223" s="75" t="str">
        <x:f>IF(OR(J223="",L223="",M223="",N223="",O223=""),"SOURCE EMPTY",IF(AND(OR(D223=4,D223=5,D223=8),K223=""),"SOURCE EMPTY",IF(R223&lt;&gt;"CLEAR","COLLISION",IF(P223&lt;&gt;"","ROLLBACK",IF(O223&lt;&gt;"ACCEPT","HOLD",IF(OR(D223=1,Q223="ACCEPTED"),"ACCEPTED","SEQUENCE HOLD"))))))</x:f>
        <x:v>SOURCE EMPTY</x:v>
      </x:c>
      <x:c r="T223" s="85" t="n">
        <x:f>IF(S223="ACCEPTED",H223*I223,0)</x:f>
        <x:v>0</x:v>
      </x:c>
      <x:c r="U223" s="75"/>
      <x:c r="V223" s="75"/>
      <x:c r="W223" s="75"/>
      <x:c r="X223" s="75"/>
      <x:c r="Y223" s="75"/>
      <x:c r="Z223" s="75"/>
    </x:row>
    <x:row r="224" ht="20" customHeight="1">
      <x:c r="A224" s="86" t="str">
        <x:v>MS-HU-C-FW-03</x:v>
      </x:c>
      <x:c r="B224" s="75" t="str">
        <x:v>MS-HU-C</x:v>
      </x:c>
      <x:c r="C224" s="75" t="str">
        <x:v>MS-HU</x:v>
      </x:c>
      <x:c r="D224" s="75" t="n">
        <x:v>3</x:v>
      </x:c>
      <x:c r="E224" s="75" t="str">
        <x:v>FW-03</x:v>
      </x:c>
      <x:c r="F224" s="86" t="str">
        <x:v>Department Capital Board</x:v>
      </x:c>
      <x:c r="G224" s="86" t="str">
        <x:v>Failure Reserve Trustee</x:v>
      </x:c>
      <x:c r="H224" s="88" t="n">
        <x:v>0.05</x:v>
      </x:c>
      <x:c r="I224" s="85" t="n">
        <x:f>INDEX('Root Registry'!$G$6:$G$29,MATCH(B224,'Root Registry'!$A$6:$A$29,0))</x:f>
        <x:v>38.25</x:v>
      </x:c>
      <x:c r="J224" s="75" t="str">
        <x:f>INDEX('Root Registry'!$D$6:$D$29,MATCH(B224,'Root Registry'!$A$6:$A$29,0))</x:f>
      </x:c>
      <x:c r="K224" s="75" t="str">
        <x:f>INDEX('Root Registry'!$F$6:$F$29,MATCH(B224,'Root Registry'!$A$6:$A$29,0))</x:f>
      </x:c>
      <x:c r="L224" s="43" t="str"/>
      <x:c r="M224" s="43" t="str"/>
      <x:c r="N224" s="43" t="str"/>
      <x:c r="O224" s="43" t="str"/>
      <x:c r="P224" s="43" t="str"/>
      <x:c r="Q224" s="75" t="str">
        <x:f>S223</x:f>
        <x:v>SOURCE EMPTY</x:v>
      </x:c>
      <x:c r="R224" s="75" t="str">
        <x:f>IF(L224="","SOURCE EMPTY",IF(L224=J224,"ROOT COLLISION",IF(AND(M224&lt;&gt;"",M224=L224),"DUAL-KEY COLLISION","CLEAR")))</x:f>
        <x:v>SOURCE EMPTY</x:v>
      </x:c>
      <x:c r="S224" s="75" t="str">
        <x:f>IF(OR(J224="",L224="",M224="",N224="",O224=""),"SOURCE EMPTY",IF(AND(OR(D224=4,D224=5,D224=8),K224=""),"SOURCE EMPTY",IF(R224&lt;&gt;"CLEAR","COLLISION",IF(P224&lt;&gt;"","ROLLBACK",IF(O224&lt;&gt;"ACCEPT","HOLD",IF(OR(D224=1,Q224="ACCEPTED"),"ACCEPTED","SEQUENCE HOLD"))))))</x:f>
        <x:v>SOURCE EMPTY</x:v>
      </x:c>
      <x:c r="T224" s="85" t="n">
        <x:f>IF(S224="ACCEPTED",H224*I224,0)</x:f>
        <x:v>0</x:v>
      </x:c>
      <x:c r="U224" s="75"/>
      <x:c r="V224" s="75"/>
      <x:c r="W224" s="75"/>
      <x:c r="X224" s="75"/>
      <x:c r="Y224" s="75"/>
      <x:c r="Z224" s="75"/>
    </x:row>
    <x:row r="225" ht="20" customHeight="1">
      <x:c r="A225" s="86" t="str">
        <x:v>MS-HU-C-CW-04</x:v>
      </x:c>
      <x:c r="B225" s="75" t="str">
        <x:v>MS-HU-C</x:v>
      </x:c>
      <x:c r="C225" s="75" t="str">
        <x:v>MS-HU</x:v>
      </x:c>
      <x:c r="D225" s="75" t="n">
        <x:v>4</x:v>
      </x:c>
      <x:c r="E225" s="75" t="str">
        <x:v>CW-04</x:v>
      </x:c>
      <x:c r="F225" s="86" t="str">
        <x:v>Service Technical College</x:v>
      </x:c>
      <x:c r="G225" s="86" t="str">
        <x:v>Independent Root House</x:v>
      </x:c>
      <x:c r="H225" s="88" t="n">
        <x:v>0.12</x:v>
      </x:c>
      <x:c r="I225" s="85" t="n">
        <x:f>INDEX('Root Registry'!$G$6:$G$29,MATCH(B225,'Root Registry'!$A$6:$A$29,0))</x:f>
        <x:v>38.25</x:v>
      </x:c>
      <x:c r="J225" s="75" t="str">
        <x:f>INDEX('Root Registry'!$D$6:$D$29,MATCH(B225,'Root Registry'!$A$6:$A$29,0))</x:f>
      </x:c>
      <x:c r="K225" s="75" t="str">
        <x:f>INDEX('Root Registry'!$F$6:$F$29,MATCH(B225,'Root Registry'!$A$6:$A$29,0))</x:f>
      </x:c>
      <x:c r="L225" s="43" t="str"/>
      <x:c r="M225" s="43" t="str"/>
      <x:c r="N225" s="43" t="str"/>
      <x:c r="O225" s="43" t="str"/>
      <x:c r="P225" s="43" t="str"/>
      <x:c r="Q225" s="75" t="str">
        <x:f>S224</x:f>
        <x:v>SOURCE EMPTY</x:v>
      </x:c>
      <x:c r="R225" s="75" t="str">
        <x:f>IF(L225="","SOURCE EMPTY",IF(L225=J225,"ROOT COLLISION",IF(AND(M225&lt;&gt;"",M225=L225),"DUAL-KEY COLLISION","CLEAR")))</x:f>
        <x:v>SOURCE EMPTY</x:v>
      </x:c>
      <x:c r="S225" s="75" t="str">
        <x:f>IF(OR(J225="",L225="",M225="",N225="",O225=""),"SOURCE EMPTY",IF(AND(OR(D225=4,D225=5,D225=8),K225=""),"SOURCE EMPTY",IF(R225&lt;&gt;"CLEAR","COLLISION",IF(P225&lt;&gt;"","ROLLBACK",IF(O225&lt;&gt;"ACCEPT","HOLD",IF(OR(D225=1,Q225="ACCEPTED"),"ACCEPTED","SEQUENCE HOLD"))))))</x:f>
        <x:v>SOURCE EMPTY</x:v>
      </x:c>
      <x:c r="T225" s="85" t="n">
        <x:f>IF(S225="ACCEPTED",H225*I225,0)</x:f>
        <x:v>0</x:v>
      </x:c>
      <x:c r="U225" s="75"/>
      <x:c r="V225" s="75"/>
      <x:c r="W225" s="75"/>
      <x:c r="X225" s="75"/>
      <x:c r="Y225" s="75"/>
      <x:c r="Z225" s="75"/>
    </x:row>
    <x:row r="226" ht="20" customHeight="1">
      <x:c r="A226" s="86" t="str">
        <x:v>MS-HU-C-TW-05</x:v>
      </x:c>
      <x:c r="B226" s="75" t="str">
        <x:v>MS-HU-C</x:v>
      </x:c>
      <x:c r="C226" s="75" t="str">
        <x:v>MS-HU</x:v>
      </x:c>
      <x:c r="D226" s="75" t="n">
        <x:v>5</x:v>
      </x:c>
      <x:c r="E226" s="75" t="str">
        <x:v>TW-05</x:v>
      </x:c>
      <x:c r="F226" s="86" t="str">
        <x:v>Service Technical College</x:v>
      </x:c>
      <x:c r="G226" s="86" t="str">
        <x:v>Public Protection Inspectorate</x:v>
      </x:c>
      <x:c r="H226" s="88" t="n">
        <x:v>0.08</x:v>
      </x:c>
      <x:c r="I226" s="85" t="n">
        <x:f>INDEX('Root Registry'!$G$6:$G$29,MATCH(B226,'Root Registry'!$A$6:$A$29,0))</x:f>
        <x:v>38.25</x:v>
      </x:c>
      <x:c r="J226" s="75" t="str">
        <x:f>INDEX('Root Registry'!$D$6:$D$29,MATCH(B226,'Root Registry'!$A$6:$A$29,0))</x:f>
      </x:c>
      <x:c r="K226" s="75" t="str">
        <x:f>INDEX('Root Registry'!$F$6:$F$29,MATCH(B226,'Root Registry'!$A$6:$A$29,0))</x:f>
      </x:c>
      <x:c r="L226" s="43" t="str"/>
      <x:c r="M226" s="43" t="str"/>
      <x:c r="N226" s="43" t="str"/>
      <x:c r="O226" s="43" t="str"/>
      <x:c r="P226" s="43" t="str"/>
      <x:c r="Q226" s="75" t="str">
        <x:f>S225</x:f>
        <x:v>SOURCE EMPTY</x:v>
      </x:c>
      <x:c r="R226" s="75" t="str">
        <x:f>IF(L226="","SOURCE EMPTY",IF(L226=J226,"ROOT COLLISION",IF(AND(M226&lt;&gt;"",M226=L226),"DUAL-KEY COLLISION","CLEAR")))</x:f>
        <x:v>SOURCE EMPTY</x:v>
      </x:c>
      <x:c r="S226" s="75" t="str">
        <x:f>IF(OR(J226="",L226="",M226="",N226="",O226=""),"SOURCE EMPTY",IF(AND(OR(D226=4,D226=5,D226=8),K226=""),"SOURCE EMPTY",IF(R226&lt;&gt;"CLEAR","COLLISION",IF(P226&lt;&gt;"","ROLLBACK",IF(O226&lt;&gt;"ACCEPT","HOLD",IF(OR(D226=1,Q226="ACCEPTED"),"ACCEPTED","SEQUENCE HOLD"))))))</x:f>
        <x:v>SOURCE EMPTY</x:v>
      </x:c>
      <x:c r="T226" s="85" t="n">
        <x:f>IF(S226="ACCEPTED",H226*I226,0)</x:f>
        <x:v>0</x:v>
      </x:c>
      <x:c r="U226" s="75"/>
      <x:c r="V226" s="75"/>
      <x:c r="W226" s="75"/>
      <x:c r="X226" s="75"/>
      <x:c r="Y226" s="75"/>
      <x:c r="Z226" s="75"/>
    </x:row>
    <x:row r="227" ht="20" customHeight="1">
      <x:c r="A227" s="86" t="str">
        <x:v>MS-HU-C-EW-06</x:v>
      </x:c>
      <x:c r="B227" s="75" t="str">
        <x:v>MS-HU-C</x:v>
      </x:c>
      <x:c r="C227" s="75" t="str">
        <x:v>MS-HU</x:v>
      </x:c>
      <x:c r="D227" s="75" t="n">
        <x:v>6</x:v>
      </x:c>
      <x:c r="E227" s="75" t="str">
        <x:v>EW-06</x:v>
      </x:c>
      <x:c r="F227" s="86" t="str">
        <x:v>Resilience Proving Service</x:v>
      </x:c>
      <x:c r="G227" s="86" t="str">
        <x:v>Public Effect College</x:v>
      </x:c>
      <x:c r="H227" s="88" t="n">
        <x:v>0.2</x:v>
      </x:c>
      <x:c r="I227" s="85" t="n">
        <x:f>INDEX('Root Registry'!$G$6:$G$29,MATCH(B227,'Root Registry'!$A$6:$A$29,0))</x:f>
        <x:v>38.25</x:v>
      </x:c>
      <x:c r="J227" s="75" t="str">
        <x:f>INDEX('Root Registry'!$D$6:$D$29,MATCH(B227,'Root Registry'!$A$6:$A$29,0))</x:f>
      </x:c>
      <x:c r="K227" s="75" t="str">
        <x:f>INDEX('Root Registry'!$F$6:$F$29,MATCH(B227,'Root Registry'!$A$6:$A$29,0))</x:f>
      </x:c>
      <x:c r="L227" s="43" t="str"/>
      <x:c r="M227" s="43" t="str"/>
      <x:c r="N227" s="43" t="str"/>
      <x:c r="O227" s="43" t="str"/>
      <x:c r="P227" s="43" t="str"/>
      <x:c r="Q227" s="75" t="str">
        <x:f>S226</x:f>
        <x:v>SOURCE EMPTY</x:v>
      </x:c>
      <x:c r="R227" s="75" t="str">
        <x:f>IF(L227="","SOURCE EMPTY",IF(L227=J227,"ROOT COLLISION",IF(AND(M227&lt;&gt;"",M227=L227),"DUAL-KEY COLLISION","CLEAR")))</x:f>
        <x:v>SOURCE EMPTY</x:v>
      </x:c>
      <x:c r="S227" s="75" t="str">
        <x:f>IF(OR(J227="",L227="",M227="",N227="",O227=""),"SOURCE EMPTY",IF(AND(OR(D227=4,D227=5,D227=8),K227=""),"SOURCE EMPTY",IF(R227&lt;&gt;"CLEAR","COLLISION",IF(P227&lt;&gt;"","ROLLBACK",IF(O227&lt;&gt;"ACCEPT","HOLD",IF(OR(D227=1,Q227="ACCEPTED"),"ACCEPTED","SEQUENCE HOLD"))))))</x:f>
        <x:v>SOURCE EMPTY</x:v>
      </x:c>
      <x:c r="T227" s="85" t="n">
        <x:f>IF(S227="ACCEPTED",H227*I227,0)</x:f>
        <x:v>0</x:v>
      </x:c>
      <x:c r="U227" s="75"/>
      <x:c r="V227" s="75"/>
      <x:c r="W227" s="75"/>
      <x:c r="X227" s="75"/>
      <x:c r="Y227" s="75"/>
      <x:c r="Z227" s="75"/>
    </x:row>
    <x:row r="228" ht="20" customHeight="1">
      <x:c r="A228" s="86" t="str">
        <x:v>MS-HU-C-IW-07</x:v>
      </x:c>
      <x:c r="B228" s="75" t="str">
        <x:v>MS-HU-C</x:v>
      </x:c>
      <x:c r="C228" s="75" t="str">
        <x:v>MS-HU</x:v>
      </x:c>
      <x:c r="D228" s="75" t="n">
        <x:v>7</x:v>
      </x:c>
      <x:c r="E228" s="75" t="str">
        <x:v>IW-07</x:v>
      </x:c>
      <x:c r="F228" s="86" t="str">
        <x:v>Industrial Mobilization Administration</x:v>
      </x:c>
      <x:c r="G228" s="86" t="str">
        <x:v>Reconstruction Command</x:v>
      </x:c>
      <x:c r="H228" s="88" t="n">
        <x:v>0.15</x:v>
      </x:c>
      <x:c r="I228" s="85" t="n">
        <x:f>INDEX('Root Registry'!$G$6:$G$29,MATCH(B228,'Root Registry'!$A$6:$A$29,0))</x:f>
        <x:v>38.25</x:v>
      </x:c>
      <x:c r="J228" s="75" t="str">
        <x:f>INDEX('Root Registry'!$D$6:$D$29,MATCH(B228,'Root Registry'!$A$6:$A$29,0))</x:f>
      </x:c>
      <x:c r="K228" s="75" t="str">
        <x:f>INDEX('Root Registry'!$F$6:$F$29,MATCH(B228,'Root Registry'!$A$6:$A$29,0))</x:f>
      </x:c>
      <x:c r="L228" s="43" t="str"/>
      <x:c r="M228" s="43" t="str"/>
      <x:c r="N228" s="43" t="str"/>
      <x:c r="O228" s="43" t="str"/>
      <x:c r="P228" s="43" t="str"/>
      <x:c r="Q228" s="75" t="str">
        <x:f>S227</x:f>
        <x:v>SOURCE EMPTY</x:v>
      </x:c>
      <x:c r="R228" s="75" t="str">
        <x:f>IF(L228="","SOURCE EMPTY",IF(L228=J228,"ROOT COLLISION",IF(AND(M228&lt;&gt;"",M228=L228),"DUAL-KEY COLLISION","CLEAR")))</x:f>
        <x:v>SOURCE EMPTY</x:v>
      </x:c>
      <x:c r="S228" s="75" t="str">
        <x:f>IF(OR(J228="",L228="",M228="",N228="",O228=""),"SOURCE EMPTY",IF(AND(OR(D228=4,D228=5,D228=8),K228=""),"SOURCE EMPTY",IF(R228&lt;&gt;"CLEAR","COLLISION",IF(P228&lt;&gt;"","ROLLBACK",IF(O228&lt;&gt;"ACCEPT","HOLD",IF(OR(D228=1,Q228="ACCEPTED"),"ACCEPTED","SEQUENCE HOLD"))))))</x:f>
        <x:v>SOURCE EMPTY</x:v>
      </x:c>
      <x:c r="T228" s="85" t="n">
        <x:f>IF(S228="ACCEPTED",H228*I228,0)</x:f>
        <x:v>0</x:v>
      </x:c>
      <x:c r="U228" s="75"/>
      <x:c r="V228" s="75"/>
      <x:c r="W228" s="75"/>
      <x:c r="X228" s="75"/>
      <x:c r="Y228" s="75"/>
      <x:c r="Z228" s="75"/>
    </x:row>
    <x:row r="229" ht="20" customHeight="1">
      <x:c r="A229" s="86" t="str">
        <x:v>MS-HU-C-CW-08</x:v>
      </x:c>
      <x:c r="B229" s="75" t="str">
        <x:v>MS-HU-C</x:v>
      </x:c>
      <x:c r="C229" s="75" t="str">
        <x:v>MS-HU</x:v>
      </x:c>
      <x:c r="D229" s="75" t="n">
        <x:v>8</x:v>
      </x:c>
      <x:c r="E229" s="75" t="str">
        <x:v>CW-08</x:v>
      </x:c>
      <x:c r="F229" s="86" t="str">
        <x:v>Operating Services</x:v>
      </x:c>
      <x:c r="G229" s="86" t="str">
        <x:v>Joint Capacity Authority</x:v>
      </x:c>
      <x:c r="H229" s="88" t="n">
        <x:v>0.12</x:v>
      </x:c>
      <x:c r="I229" s="85" t="n">
        <x:f>INDEX('Root Registry'!$G$6:$G$29,MATCH(B229,'Root Registry'!$A$6:$A$29,0))</x:f>
        <x:v>38.25</x:v>
      </x:c>
      <x:c r="J229" s="75" t="str">
        <x:f>INDEX('Root Registry'!$D$6:$D$29,MATCH(B229,'Root Registry'!$A$6:$A$29,0))</x:f>
      </x:c>
      <x:c r="K229" s="75" t="str">
        <x:f>INDEX('Root Registry'!$F$6:$F$29,MATCH(B229,'Root Registry'!$A$6:$A$29,0))</x:f>
      </x:c>
      <x:c r="L229" s="43" t="str"/>
      <x:c r="M229" s="43" t="str"/>
      <x:c r="N229" s="43" t="str"/>
      <x:c r="O229" s="43" t="str"/>
      <x:c r="P229" s="43" t="str"/>
      <x:c r="Q229" s="75" t="str">
        <x:f>S228</x:f>
        <x:v>SOURCE EMPTY</x:v>
      </x:c>
      <x:c r="R229" s="75" t="str">
        <x:f>IF(L229="","SOURCE EMPTY",IF(L229=J229,"ROOT COLLISION",IF(AND(M229&lt;&gt;"",M229=L229),"DUAL-KEY COLLISION","CLEAR")))</x:f>
        <x:v>SOURCE EMPTY</x:v>
      </x:c>
      <x:c r="S229" s="75" t="str">
        <x:f>IF(OR(J229="",L229="",M229="",N229="",O229=""),"SOURCE EMPTY",IF(AND(OR(D229=4,D229=5,D229=8),K229=""),"SOURCE EMPTY",IF(R229&lt;&gt;"CLEAR","COLLISION",IF(P229&lt;&gt;"","ROLLBACK",IF(O229&lt;&gt;"ACCEPT","HOLD",IF(OR(D229=1,Q229="ACCEPTED"),"ACCEPTED","SEQUENCE HOLD"))))))</x:f>
        <x:v>SOURCE EMPTY</x:v>
      </x:c>
      <x:c r="T229" s="85" t="n">
        <x:f>IF(S229="ACCEPTED",H229*I229,0)</x:f>
        <x:v>0</x:v>
      </x:c>
      <x:c r="U229" s="75"/>
      <x:c r="V229" s="75"/>
      <x:c r="W229" s="75"/>
      <x:c r="X229" s="75"/>
      <x:c r="Y229" s="75"/>
      <x:c r="Z229" s="75"/>
    </x:row>
    <x:row r="230" ht="20" customHeight="1">
      <x:c r="A230" s="86" t="str">
        <x:v>MS-HU-C-RW-09</x:v>
      </x:c>
      <x:c r="B230" s="75" t="str">
        <x:v>MS-HU-C</x:v>
      </x:c>
      <x:c r="C230" s="75" t="str">
        <x:v>MS-HU</x:v>
      </x:c>
      <x:c r="D230" s="75" t="n">
        <x:v>9</x:v>
      </x:c>
      <x:c r="E230" s="75" t="str">
        <x:v>RW-09</x:v>
      </x:c>
      <x:c r="F230" s="86" t="str">
        <x:v>Joint Capacity Authority</x:v>
      </x:c>
      <x:c r="G230" s="86" t="str">
        <x:v>Department Comptroller</x:v>
      </x:c>
      <x:c r="H230" s="88" t="n">
        <x:v>0.08</x:v>
      </x:c>
      <x:c r="I230" s="85" t="n">
        <x:f>INDEX('Root Registry'!$G$6:$G$29,MATCH(B230,'Root Registry'!$A$6:$A$29,0))</x:f>
        <x:v>38.25</x:v>
      </x:c>
      <x:c r="J230" s="75" t="str">
        <x:f>INDEX('Root Registry'!$D$6:$D$29,MATCH(B230,'Root Registry'!$A$6:$A$29,0))</x:f>
      </x:c>
      <x:c r="K230" s="75" t="str">
        <x:f>INDEX('Root Registry'!$F$6:$F$29,MATCH(B230,'Root Registry'!$A$6:$A$29,0))</x:f>
      </x:c>
      <x:c r="L230" s="43" t="str"/>
      <x:c r="M230" s="43" t="str"/>
      <x:c r="N230" s="43" t="str"/>
      <x:c r="O230" s="43" t="str"/>
      <x:c r="P230" s="43" t="str"/>
      <x:c r="Q230" s="75" t="str">
        <x:f>S229</x:f>
        <x:v>SOURCE EMPTY</x:v>
      </x:c>
      <x:c r="R230" s="75" t="str">
        <x:f>IF(L230="","SOURCE EMPTY",IF(L230=J230,"ROOT COLLISION",IF(AND(M230&lt;&gt;"",M230=L230),"DUAL-KEY COLLISION","CLEAR")))</x:f>
        <x:v>SOURCE EMPTY</x:v>
      </x:c>
      <x:c r="S230" s="75" t="str">
        <x:f>IF(OR(J230="",L230="",M230="",N230="",O230=""),"SOURCE EMPTY",IF(AND(OR(D230=4,D230=5,D230=8),K230=""),"SOURCE EMPTY",IF(R230&lt;&gt;"CLEAR","COLLISION",IF(P230&lt;&gt;"","ROLLBACK",IF(O230&lt;&gt;"ACCEPT","HOLD",IF(OR(D230=1,Q230="ACCEPTED"),"ACCEPTED","SEQUENCE HOLD"))))))</x:f>
        <x:v>SOURCE EMPTY</x:v>
      </x:c>
      <x:c r="T230" s="85" t="n">
        <x:f>IF(S230="ACCEPTED",H230*I230,0)</x:f>
        <x:v>0</x:v>
      </x:c>
      <x:c r="U230" s="75"/>
      <x:c r="V230" s="75"/>
      <x:c r="W230" s="75"/>
      <x:c r="X230" s="75"/>
      <x:c r="Y230" s="75"/>
      <x:c r="Z230" s="75"/>
    </x:row>
    <x:row r="231" ht="20" customHeight="1">
      <x:c r="A231" s="86" t="str">
        <x:v>MS-HU-C-OW-10</x:v>
      </x:c>
      <x:c r="B231" s="75" t="str">
        <x:v>MS-HU-C</x:v>
      </x:c>
      <x:c r="C231" s="75" t="str">
        <x:v>MS-HU</x:v>
      </x:c>
      <x:c r="D231" s="75" t="n">
        <x:v>10</x:v>
      </x:c>
      <x:c r="E231" s="75" t="str">
        <x:v>OW-10</x:v>
      </x:c>
      <x:c r="F231" s="86" t="str">
        <x:v>Operational Command</x:v>
      </x:c>
      <x:c r="G231" s="86" t="str">
        <x:v>Civil Resilience Authority</x:v>
      </x:c>
      <x:c r="H231" s="88" t="n">
        <x:v>0.05</x:v>
      </x:c>
      <x:c r="I231" s="85" t="n">
        <x:f>INDEX('Root Registry'!$G$6:$G$29,MATCH(B231,'Root Registry'!$A$6:$A$29,0))</x:f>
        <x:v>38.25</x:v>
      </x:c>
      <x:c r="J231" s="75" t="str">
        <x:f>INDEX('Root Registry'!$D$6:$D$29,MATCH(B231,'Root Registry'!$A$6:$A$29,0))</x:f>
      </x:c>
      <x:c r="K231" s="75" t="str">
        <x:f>INDEX('Root Registry'!$F$6:$F$29,MATCH(B231,'Root Registry'!$A$6:$A$29,0))</x:f>
      </x:c>
      <x:c r="L231" s="43" t="str"/>
      <x:c r="M231" s="43" t="str"/>
      <x:c r="N231" s="43" t="str"/>
      <x:c r="O231" s="43" t="str"/>
      <x:c r="P231" s="43" t="str"/>
      <x:c r="Q231" s="75" t="str">
        <x:f>S230</x:f>
        <x:v>SOURCE EMPTY</x:v>
      </x:c>
      <x:c r="R231" s="75" t="str">
        <x:f>IF(L231="","SOURCE EMPTY",IF(L231=J231,"ROOT COLLISION",IF(AND(M231&lt;&gt;"",M231=L231),"DUAL-KEY COLLISION","CLEAR")))</x:f>
        <x:v>SOURCE EMPTY</x:v>
      </x:c>
      <x:c r="S231" s="75" t="str">
        <x:f>IF(OR(J231="",L231="",M231="",N231="",O231=""),"SOURCE EMPTY",IF(AND(OR(D231=4,D231=5,D231=8),K231=""),"SOURCE EMPTY",IF(R231&lt;&gt;"CLEAR","COLLISION",IF(P231&lt;&gt;"","ROLLBACK",IF(O231&lt;&gt;"ACCEPT","HOLD",IF(OR(D231=1,Q231="ACCEPTED"),"ACCEPTED","SEQUENCE HOLD"))))))</x:f>
        <x:v>SOURCE EMPTY</x:v>
      </x:c>
      <x:c r="T231" s="85" t="n">
        <x:f>IF(S231="ACCEPTED",H231*I231,0)</x:f>
        <x:v>0</x:v>
      </x:c>
      <x:c r="U231" s="75"/>
      <x:c r="V231" s="75"/>
      <x:c r="W231" s="75"/>
      <x:c r="X231" s="75"/>
      <x:c r="Y231" s="75"/>
      <x:c r="Z231" s="75"/>
    </x:row>
    <x:row r="232" ht="20" customHeight="1">
      <x:c r="A232" s="86" t="str">
        <x:v>MS-HU-C-SW-11</x:v>
      </x:c>
      <x:c r="B232" s="75" t="str">
        <x:v>MS-HU-C</x:v>
      </x:c>
      <x:c r="C232" s="75" t="str">
        <x:v>MS-HU</x:v>
      </x:c>
      <x:c r="D232" s="75" t="n">
        <x:v>11</x:v>
      </x:c>
      <x:c r="E232" s="75" t="str">
        <x:v>SW-11</x:v>
      </x:c>
      <x:c r="F232" s="86" t="str">
        <x:v>Civil Resilience Authority</x:v>
      </x:c>
      <x:c r="G232" s="86" t="str">
        <x:v>Affected Civil Authority</x:v>
      </x:c>
      <x:c r="H232" s="88" t="n">
        <x:v>0.07</x:v>
      </x:c>
      <x:c r="I232" s="85" t="n">
        <x:f>INDEX('Root Registry'!$G$6:$G$29,MATCH(B232,'Root Registry'!$A$6:$A$29,0))</x:f>
        <x:v>38.25</x:v>
      </x:c>
      <x:c r="J232" s="75" t="str">
        <x:f>INDEX('Root Registry'!$D$6:$D$29,MATCH(B232,'Root Registry'!$A$6:$A$29,0))</x:f>
      </x:c>
      <x:c r="K232" s="75" t="str">
        <x:f>INDEX('Root Registry'!$F$6:$F$29,MATCH(B232,'Root Registry'!$A$6:$A$29,0))</x:f>
      </x:c>
      <x:c r="L232" s="43" t="str"/>
      <x:c r="M232" s="43" t="str"/>
      <x:c r="N232" s="43" t="str"/>
      <x:c r="O232" s="43" t="str"/>
      <x:c r="P232" s="43" t="str"/>
      <x:c r="Q232" s="75" t="str">
        <x:f>S231</x:f>
        <x:v>SOURCE EMPTY</x:v>
      </x:c>
      <x:c r="R232" s="75" t="str">
        <x:f>IF(L232="","SOURCE EMPTY",IF(L232=J232,"ROOT COLLISION",IF(AND(M232&lt;&gt;"",M232=L232),"DUAL-KEY COLLISION","CLEAR")))</x:f>
        <x:v>SOURCE EMPTY</x:v>
      </x:c>
      <x:c r="S232" s="75" t="str">
        <x:f>IF(OR(J232="",L232="",M232="",N232="",O232=""),"SOURCE EMPTY",IF(AND(OR(D232=4,D232=5,D232=8),K232=""),"SOURCE EMPTY",IF(R232&lt;&gt;"CLEAR","COLLISION",IF(P232&lt;&gt;"","ROLLBACK",IF(O232&lt;&gt;"ACCEPT","HOLD",IF(OR(D232=1,Q232="ACCEPTED"),"ACCEPTED","SEQUENCE HOLD"))))))</x:f>
        <x:v>SOURCE EMPTY</x:v>
      </x:c>
      <x:c r="T232" s="85" t="n">
        <x:f>IF(S232="ACCEPTED",H232*I232,0)</x:f>
        <x:v>0</x:v>
      </x:c>
      <x:c r="U232" s="75"/>
      <x:c r="V232" s="75"/>
      <x:c r="W232" s="75"/>
      <x:c r="X232" s="75"/>
      <x:c r="Y232" s="75"/>
      <x:c r="Z232" s="75"/>
    </x:row>
    <x:row r="233" ht="20" customHeight="1">
      <x:c r="A233" s="86" t="str">
        <x:v>MS-HU-C-GW-12</x:v>
      </x:c>
      <x:c r="B233" s="75" t="str">
        <x:v>MS-HU-C</x:v>
      </x:c>
      <x:c r="C233" s="75" t="str">
        <x:v>MS-HU</x:v>
      </x:c>
      <x:c r="D233" s="75" t="n">
        <x:v>12</x:v>
      </x:c>
      <x:c r="E233" s="75" t="str">
        <x:v>GW-12</x:v>
      </x:c>
      <x:c r="F233" s="86" t="str">
        <x:v>Strategic Sustainment Command</x:v>
      </x:c>
      <x:c r="G233" s="86" t="str">
        <x:v>Joint Capacity Authority</x:v>
      </x:c>
      <x:c r="H233" s="88" t="n">
        <x:v>0.05</x:v>
      </x:c>
      <x:c r="I233" s="85" t="n">
        <x:f>INDEX('Root Registry'!$G$6:$G$29,MATCH(B233,'Root Registry'!$A$6:$A$29,0))</x:f>
        <x:v>38.25</x:v>
      </x:c>
      <x:c r="J233" s="75" t="str">
        <x:f>INDEX('Root Registry'!$D$6:$D$29,MATCH(B233,'Root Registry'!$A$6:$A$29,0))</x:f>
      </x:c>
      <x:c r="K233" s="75" t="str">
        <x:f>INDEX('Root Registry'!$F$6:$F$29,MATCH(B233,'Root Registry'!$A$6:$A$29,0))</x:f>
      </x:c>
      <x:c r="L233" s="43" t="str"/>
      <x:c r="M233" s="43" t="str"/>
      <x:c r="N233" s="43" t="str"/>
      <x:c r="O233" s="43" t="str"/>
      <x:c r="P233" s="43" t="str"/>
      <x:c r="Q233" s="75" t="str">
        <x:f>S232</x:f>
        <x:v>SOURCE EMPTY</x:v>
      </x:c>
      <x:c r="R233" s="75" t="str">
        <x:f>IF(L233="","SOURCE EMPTY",IF(L233=J233,"ROOT COLLISION",IF(AND(M233&lt;&gt;"",M233=L233),"DUAL-KEY COLLISION","CLEAR")))</x:f>
        <x:v>SOURCE EMPTY</x:v>
      </x:c>
      <x:c r="S233" s="75" t="str">
        <x:f>IF(OR(J233="",L233="",M233="",N233="",O233=""),"SOURCE EMPTY",IF(AND(OR(D233=4,D233=5,D233=8),K233=""),"SOURCE EMPTY",IF(R233&lt;&gt;"CLEAR","COLLISION",IF(P233&lt;&gt;"","ROLLBACK",IF(O233&lt;&gt;"ACCEPT","HOLD",IF(OR(D233=1,Q233="ACCEPTED"),"ACCEPTED","SEQUENCE HOLD"))))))</x:f>
        <x:v>SOURCE EMPTY</x:v>
      </x:c>
      <x:c r="T233" s="85" t="n">
        <x:f>IF(S233="ACCEPTED",H233*I233,0)</x:f>
        <x:v>0</x:v>
      </x:c>
      <x:c r="U233" s="75"/>
      <x:c r="V233" s="75"/>
      <x:c r="W233" s="75"/>
      <x:c r="X233" s="75"/>
      <x:c r="Y233" s="75"/>
      <x:c r="Z233" s="75"/>
    </x:row>
    <x:row r="234" ht="20" customHeight="1">
      <x:c r="A234" s="86" t="str">
        <x:v>MS-HU-D-PW-01</x:v>
      </x:c>
      <x:c r="B234" s="75" t="str">
        <x:v>MS-HU-D</x:v>
      </x:c>
      <x:c r="C234" s="75" t="str">
        <x:v>MS-HU</x:v>
      </x:c>
      <x:c r="D234" s="75" t="n">
        <x:v>1</x:v>
      </x:c>
      <x:c r="E234" s="75" t="str">
        <x:v>PW-01</x:v>
      </x:c>
      <x:c r="F234" s="86" t="str">
        <x:v>Civil Resilience Authority</x:v>
      </x:c>
      <x:c r="G234" s="86" t="str">
        <x:v>Public Effect College</x:v>
      </x:c>
      <x:c r="H234" s="88" t="n">
        <x:v>0.01</x:v>
      </x:c>
      <x:c r="I234" s="85" t="n">
        <x:f>INDEX('Root Registry'!$G$6:$G$29,MATCH(B234,'Root Registry'!$A$6:$A$29,0))</x:f>
        <x:v>38.25</x:v>
      </x:c>
      <x:c r="J234" s="75" t="str">
        <x:f>INDEX('Root Registry'!$D$6:$D$29,MATCH(B234,'Root Registry'!$A$6:$A$29,0))</x:f>
      </x:c>
      <x:c r="K234" s="75" t="str">
        <x:f>INDEX('Root Registry'!$F$6:$F$29,MATCH(B234,'Root Registry'!$A$6:$A$29,0))</x:f>
      </x:c>
      <x:c r="L234" s="43" t="str"/>
      <x:c r="M234" s="43" t="str"/>
      <x:c r="N234" s="43" t="str"/>
      <x:c r="O234" s="43" t="str"/>
      <x:c r="P234" s="43" t="str"/>
      <x:c r="Q234" s="75" t="str">
        <x:f>"ORIGIN"</x:f>
        <x:v>ORIGIN</x:v>
      </x:c>
      <x:c r="R234" s="75" t="str">
        <x:f>IF(L234="","SOURCE EMPTY",IF(L234=J234,"ROOT COLLISION",IF(AND(M234&lt;&gt;"",M234=L234),"DUAL-KEY COLLISION","CLEAR")))</x:f>
        <x:v>SOURCE EMPTY</x:v>
      </x:c>
      <x:c r="S234" s="75" t="str">
        <x:f>IF(OR(J234="",L234="",M234="",N234="",O234=""),"SOURCE EMPTY",IF(AND(OR(D234=4,D234=5,D234=8),K234=""),"SOURCE EMPTY",IF(R234&lt;&gt;"CLEAR","COLLISION",IF(P234&lt;&gt;"","ROLLBACK",IF(O234&lt;&gt;"ACCEPT","HOLD",IF(OR(D234=1,Q234="ACCEPTED"),"ACCEPTED","SEQUENCE HOLD"))))))</x:f>
        <x:v>SOURCE EMPTY</x:v>
      </x:c>
      <x:c r="T234" s="85" t="n">
        <x:f>IF(S234="ACCEPTED",H234*I234,0)</x:f>
        <x:v>0</x:v>
      </x:c>
      <x:c r="U234" s="75"/>
      <x:c r="V234" s="75"/>
      <x:c r="W234" s="75"/>
      <x:c r="X234" s="75"/>
      <x:c r="Y234" s="75"/>
      <x:c r="Z234" s="75"/>
    </x:row>
    <x:row r="235" ht="20" customHeight="1">
      <x:c r="A235" s="86" t="str">
        <x:v>MS-HU-D-MW-02</x:v>
      </x:c>
      <x:c r="B235" s="75" t="str">
        <x:v>MS-HU-D</x:v>
      </x:c>
      <x:c r="C235" s="75" t="str">
        <x:v>MS-HU</x:v>
      </x:c>
      <x:c r="D235" s="75" t="n">
        <x:v>2</x:v>
      </x:c>
      <x:c r="E235" s="75" t="str">
        <x:v>MW-02</x:v>
      </x:c>
      <x:c r="F235" s="86" t="str">
        <x:v>Mission System Command</x:v>
      </x:c>
      <x:c r="G235" s="86" t="str">
        <x:v>Civil Resilience Authority</x:v>
      </x:c>
      <x:c r="H235" s="88" t="n">
        <x:v>0.02</x:v>
      </x:c>
      <x:c r="I235" s="85" t="n">
        <x:f>INDEX('Root Registry'!$G$6:$G$29,MATCH(B235,'Root Registry'!$A$6:$A$29,0))</x:f>
        <x:v>38.25</x:v>
      </x:c>
      <x:c r="J235" s="75" t="str">
        <x:f>INDEX('Root Registry'!$D$6:$D$29,MATCH(B235,'Root Registry'!$A$6:$A$29,0))</x:f>
      </x:c>
      <x:c r="K235" s="75" t="str">
        <x:f>INDEX('Root Registry'!$F$6:$F$29,MATCH(B235,'Root Registry'!$A$6:$A$29,0))</x:f>
      </x:c>
      <x:c r="L235" s="43" t="str"/>
      <x:c r="M235" s="43" t="str"/>
      <x:c r="N235" s="43" t="str"/>
      <x:c r="O235" s="43" t="str"/>
      <x:c r="P235" s="43" t="str"/>
      <x:c r="Q235" s="75" t="str">
        <x:f>S234</x:f>
        <x:v>SOURCE EMPTY</x:v>
      </x:c>
      <x:c r="R235" s="75" t="str">
        <x:f>IF(L235="","SOURCE EMPTY",IF(L235=J235,"ROOT COLLISION",IF(AND(M235&lt;&gt;"",M235=L235),"DUAL-KEY COLLISION","CLEAR")))</x:f>
        <x:v>SOURCE EMPTY</x:v>
      </x:c>
      <x:c r="S235" s="75" t="str">
        <x:f>IF(OR(J235="",L235="",M235="",N235="",O235=""),"SOURCE EMPTY",IF(AND(OR(D235=4,D235=5,D235=8),K235=""),"SOURCE EMPTY",IF(R235&lt;&gt;"CLEAR","COLLISION",IF(P235&lt;&gt;"","ROLLBACK",IF(O235&lt;&gt;"ACCEPT","HOLD",IF(OR(D235=1,Q235="ACCEPTED"),"ACCEPTED","SEQUENCE HOLD"))))))</x:f>
        <x:v>SOURCE EMPTY</x:v>
      </x:c>
      <x:c r="T235" s="85" t="n">
        <x:f>IF(S235="ACCEPTED",H235*I235,0)</x:f>
        <x:v>0</x:v>
      </x:c>
      <x:c r="U235" s="75"/>
      <x:c r="V235" s="75"/>
      <x:c r="W235" s="75"/>
      <x:c r="X235" s="75"/>
      <x:c r="Y235" s="75"/>
      <x:c r="Z235" s="75"/>
    </x:row>
    <x:row r="236" ht="20" customHeight="1">
      <x:c r="A236" s="86" t="str">
        <x:v>MS-HU-D-FW-03</x:v>
      </x:c>
      <x:c r="B236" s="75" t="str">
        <x:v>MS-HU-D</x:v>
      </x:c>
      <x:c r="C236" s="75" t="str">
        <x:v>MS-HU</x:v>
      </x:c>
      <x:c r="D236" s="75" t="n">
        <x:v>3</x:v>
      </x:c>
      <x:c r="E236" s="75" t="str">
        <x:v>FW-03</x:v>
      </x:c>
      <x:c r="F236" s="86" t="str">
        <x:v>Department Capital Board</x:v>
      </x:c>
      <x:c r="G236" s="86" t="str">
        <x:v>Failure Reserve Trustee</x:v>
      </x:c>
      <x:c r="H236" s="88" t="n">
        <x:v>0.05</x:v>
      </x:c>
      <x:c r="I236" s="85" t="n">
        <x:f>INDEX('Root Registry'!$G$6:$G$29,MATCH(B236,'Root Registry'!$A$6:$A$29,0))</x:f>
        <x:v>38.25</x:v>
      </x:c>
      <x:c r="J236" s="75" t="str">
        <x:f>INDEX('Root Registry'!$D$6:$D$29,MATCH(B236,'Root Registry'!$A$6:$A$29,0))</x:f>
      </x:c>
      <x:c r="K236" s="75" t="str">
        <x:f>INDEX('Root Registry'!$F$6:$F$29,MATCH(B236,'Root Registry'!$A$6:$A$29,0))</x:f>
      </x:c>
      <x:c r="L236" s="43" t="str"/>
      <x:c r="M236" s="43" t="str"/>
      <x:c r="N236" s="43" t="str"/>
      <x:c r="O236" s="43" t="str"/>
      <x:c r="P236" s="43" t="str"/>
      <x:c r="Q236" s="75" t="str">
        <x:f>S235</x:f>
        <x:v>SOURCE EMPTY</x:v>
      </x:c>
      <x:c r="R236" s="75" t="str">
        <x:f>IF(L236="","SOURCE EMPTY",IF(L236=J236,"ROOT COLLISION",IF(AND(M236&lt;&gt;"",M236=L236),"DUAL-KEY COLLISION","CLEAR")))</x:f>
        <x:v>SOURCE EMPTY</x:v>
      </x:c>
      <x:c r="S236" s="75" t="str">
        <x:f>IF(OR(J236="",L236="",M236="",N236="",O236=""),"SOURCE EMPTY",IF(AND(OR(D236=4,D236=5,D236=8),K236=""),"SOURCE EMPTY",IF(R236&lt;&gt;"CLEAR","COLLISION",IF(P236&lt;&gt;"","ROLLBACK",IF(O236&lt;&gt;"ACCEPT","HOLD",IF(OR(D236=1,Q236="ACCEPTED"),"ACCEPTED","SEQUENCE HOLD"))))))</x:f>
        <x:v>SOURCE EMPTY</x:v>
      </x:c>
      <x:c r="T236" s="85" t="n">
        <x:f>IF(S236="ACCEPTED",H236*I236,0)</x:f>
        <x:v>0</x:v>
      </x:c>
      <x:c r="U236" s="75"/>
      <x:c r="V236" s="75"/>
      <x:c r="W236" s="75"/>
      <x:c r="X236" s="75"/>
      <x:c r="Y236" s="75"/>
      <x:c r="Z236" s="75"/>
    </x:row>
    <x:row r="237" ht="20" customHeight="1">
      <x:c r="A237" s="86" t="str">
        <x:v>MS-HU-D-CW-04</x:v>
      </x:c>
      <x:c r="B237" s="75" t="str">
        <x:v>MS-HU-D</x:v>
      </x:c>
      <x:c r="C237" s="75" t="str">
        <x:v>MS-HU</x:v>
      </x:c>
      <x:c r="D237" s="75" t="n">
        <x:v>4</x:v>
      </x:c>
      <x:c r="E237" s="75" t="str">
        <x:v>CW-04</x:v>
      </x:c>
      <x:c r="F237" s="86" t="str">
        <x:v>Service Technical College</x:v>
      </x:c>
      <x:c r="G237" s="86" t="str">
        <x:v>Independent Root House</x:v>
      </x:c>
      <x:c r="H237" s="88" t="n">
        <x:v>0.12</x:v>
      </x:c>
      <x:c r="I237" s="85" t="n">
        <x:f>INDEX('Root Registry'!$G$6:$G$29,MATCH(B237,'Root Registry'!$A$6:$A$29,0))</x:f>
        <x:v>38.25</x:v>
      </x:c>
      <x:c r="J237" s="75" t="str">
        <x:f>INDEX('Root Registry'!$D$6:$D$29,MATCH(B237,'Root Registry'!$A$6:$A$29,0))</x:f>
      </x:c>
      <x:c r="K237" s="75" t="str">
        <x:f>INDEX('Root Registry'!$F$6:$F$29,MATCH(B237,'Root Registry'!$A$6:$A$29,0))</x:f>
      </x:c>
      <x:c r="L237" s="43" t="str"/>
      <x:c r="M237" s="43" t="str"/>
      <x:c r="N237" s="43" t="str"/>
      <x:c r="O237" s="43" t="str"/>
      <x:c r="P237" s="43" t="str"/>
      <x:c r="Q237" s="75" t="str">
        <x:f>S236</x:f>
        <x:v>SOURCE EMPTY</x:v>
      </x:c>
      <x:c r="R237" s="75" t="str">
        <x:f>IF(L237="","SOURCE EMPTY",IF(L237=J237,"ROOT COLLISION",IF(AND(M237&lt;&gt;"",M237=L237),"DUAL-KEY COLLISION","CLEAR")))</x:f>
        <x:v>SOURCE EMPTY</x:v>
      </x:c>
      <x:c r="S237" s="75" t="str">
        <x:f>IF(OR(J237="",L237="",M237="",N237="",O237=""),"SOURCE EMPTY",IF(AND(OR(D237=4,D237=5,D237=8),K237=""),"SOURCE EMPTY",IF(R237&lt;&gt;"CLEAR","COLLISION",IF(P237&lt;&gt;"","ROLLBACK",IF(O237&lt;&gt;"ACCEPT","HOLD",IF(OR(D237=1,Q237="ACCEPTED"),"ACCEPTED","SEQUENCE HOLD"))))))</x:f>
        <x:v>SOURCE EMPTY</x:v>
      </x:c>
      <x:c r="T237" s="85" t="n">
        <x:f>IF(S237="ACCEPTED",H237*I237,0)</x:f>
        <x:v>0</x:v>
      </x:c>
      <x:c r="U237" s="75"/>
      <x:c r="V237" s="75"/>
      <x:c r="W237" s="75"/>
      <x:c r="X237" s="75"/>
      <x:c r="Y237" s="75"/>
      <x:c r="Z237" s="75"/>
    </x:row>
    <x:row r="238" ht="20" customHeight="1">
      <x:c r="A238" s="86" t="str">
        <x:v>MS-HU-D-TW-05</x:v>
      </x:c>
      <x:c r="B238" s="75" t="str">
        <x:v>MS-HU-D</x:v>
      </x:c>
      <x:c r="C238" s="75" t="str">
        <x:v>MS-HU</x:v>
      </x:c>
      <x:c r="D238" s="75" t="n">
        <x:v>5</x:v>
      </x:c>
      <x:c r="E238" s="75" t="str">
        <x:v>TW-05</x:v>
      </x:c>
      <x:c r="F238" s="86" t="str">
        <x:v>Service Technical College</x:v>
      </x:c>
      <x:c r="G238" s="86" t="str">
        <x:v>Public Protection Inspectorate</x:v>
      </x:c>
      <x:c r="H238" s="88" t="n">
        <x:v>0.08</x:v>
      </x:c>
      <x:c r="I238" s="85" t="n">
        <x:f>INDEX('Root Registry'!$G$6:$G$29,MATCH(B238,'Root Registry'!$A$6:$A$29,0))</x:f>
        <x:v>38.25</x:v>
      </x:c>
      <x:c r="J238" s="75" t="str">
        <x:f>INDEX('Root Registry'!$D$6:$D$29,MATCH(B238,'Root Registry'!$A$6:$A$29,0))</x:f>
      </x:c>
      <x:c r="K238" s="75" t="str">
        <x:f>INDEX('Root Registry'!$F$6:$F$29,MATCH(B238,'Root Registry'!$A$6:$A$29,0))</x:f>
      </x:c>
      <x:c r="L238" s="43" t="str"/>
      <x:c r="M238" s="43" t="str"/>
      <x:c r="N238" s="43" t="str"/>
      <x:c r="O238" s="43" t="str"/>
      <x:c r="P238" s="43" t="str"/>
      <x:c r="Q238" s="75" t="str">
        <x:f>S237</x:f>
        <x:v>SOURCE EMPTY</x:v>
      </x:c>
      <x:c r="R238" s="75" t="str">
        <x:f>IF(L238="","SOURCE EMPTY",IF(L238=J238,"ROOT COLLISION",IF(AND(M238&lt;&gt;"",M238=L238),"DUAL-KEY COLLISION","CLEAR")))</x:f>
        <x:v>SOURCE EMPTY</x:v>
      </x:c>
      <x:c r="S238" s="75" t="str">
        <x:f>IF(OR(J238="",L238="",M238="",N238="",O238=""),"SOURCE EMPTY",IF(AND(OR(D238=4,D238=5,D238=8),K238=""),"SOURCE EMPTY",IF(R238&lt;&gt;"CLEAR","COLLISION",IF(P238&lt;&gt;"","ROLLBACK",IF(O238&lt;&gt;"ACCEPT","HOLD",IF(OR(D238=1,Q238="ACCEPTED"),"ACCEPTED","SEQUENCE HOLD"))))))</x:f>
        <x:v>SOURCE EMPTY</x:v>
      </x:c>
      <x:c r="T238" s="85" t="n">
        <x:f>IF(S238="ACCEPTED",H238*I238,0)</x:f>
        <x:v>0</x:v>
      </x:c>
      <x:c r="U238" s="75"/>
      <x:c r="V238" s="75"/>
      <x:c r="W238" s="75"/>
      <x:c r="X238" s="75"/>
      <x:c r="Y238" s="75"/>
      <x:c r="Z238" s="75"/>
    </x:row>
    <x:row r="239" ht="20" customHeight="1">
      <x:c r="A239" s="86" t="str">
        <x:v>MS-HU-D-EW-06</x:v>
      </x:c>
      <x:c r="B239" s="75" t="str">
        <x:v>MS-HU-D</x:v>
      </x:c>
      <x:c r="C239" s="75" t="str">
        <x:v>MS-HU</x:v>
      </x:c>
      <x:c r="D239" s="75" t="n">
        <x:v>6</x:v>
      </x:c>
      <x:c r="E239" s="75" t="str">
        <x:v>EW-06</x:v>
      </x:c>
      <x:c r="F239" s="86" t="str">
        <x:v>Resilience Proving Service</x:v>
      </x:c>
      <x:c r="G239" s="86" t="str">
        <x:v>Public Effect College</x:v>
      </x:c>
      <x:c r="H239" s="88" t="n">
        <x:v>0.2</x:v>
      </x:c>
      <x:c r="I239" s="85" t="n">
        <x:f>INDEX('Root Registry'!$G$6:$G$29,MATCH(B239,'Root Registry'!$A$6:$A$29,0))</x:f>
        <x:v>38.25</x:v>
      </x:c>
      <x:c r="J239" s="75" t="str">
        <x:f>INDEX('Root Registry'!$D$6:$D$29,MATCH(B239,'Root Registry'!$A$6:$A$29,0))</x:f>
      </x:c>
      <x:c r="K239" s="75" t="str">
        <x:f>INDEX('Root Registry'!$F$6:$F$29,MATCH(B239,'Root Registry'!$A$6:$A$29,0))</x:f>
      </x:c>
      <x:c r="L239" s="43" t="str"/>
      <x:c r="M239" s="43" t="str"/>
      <x:c r="N239" s="43" t="str"/>
      <x:c r="O239" s="43" t="str"/>
      <x:c r="P239" s="43" t="str"/>
      <x:c r="Q239" s="75" t="str">
        <x:f>S238</x:f>
        <x:v>SOURCE EMPTY</x:v>
      </x:c>
      <x:c r="R239" s="75" t="str">
        <x:f>IF(L239="","SOURCE EMPTY",IF(L239=J239,"ROOT COLLISION",IF(AND(M239&lt;&gt;"",M239=L239),"DUAL-KEY COLLISION","CLEAR")))</x:f>
        <x:v>SOURCE EMPTY</x:v>
      </x:c>
      <x:c r="S239" s="75" t="str">
        <x:f>IF(OR(J239="",L239="",M239="",N239="",O239=""),"SOURCE EMPTY",IF(AND(OR(D239=4,D239=5,D239=8),K239=""),"SOURCE EMPTY",IF(R239&lt;&gt;"CLEAR","COLLISION",IF(P239&lt;&gt;"","ROLLBACK",IF(O239&lt;&gt;"ACCEPT","HOLD",IF(OR(D239=1,Q239="ACCEPTED"),"ACCEPTED","SEQUENCE HOLD"))))))</x:f>
        <x:v>SOURCE EMPTY</x:v>
      </x:c>
      <x:c r="T239" s="85" t="n">
        <x:f>IF(S239="ACCEPTED",H239*I239,0)</x:f>
        <x:v>0</x:v>
      </x:c>
      <x:c r="U239" s="75"/>
      <x:c r="V239" s="75"/>
      <x:c r="W239" s="75"/>
      <x:c r="X239" s="75"/>
      <x:c r="Y239" s="75"/>
      <x:c r="Z239" s="75"/>
    </x:row>
    <x:row r="240" ht="20" customHeight="1">
      <x:c r="A240" s="86" t="str">
        <x:v>MS-HU-D-IW-07</x:v>
      </x:c>
      <x:c r="B240" s="75" t="str">
        <x:v>MS-HU-D</x:v>
      </x:c>
      <x:c r="C240" s="75" t="str">
        <x:v>MS-HU</x:v>
      </x:c>
      <x:c r="D240" s="75" t="n">
        <x:v>7</x:v>
      </x:c>
      <x:c r="E240" s="75" t="str">
        <x:v>IW-07</x:v>
      </x:c>
      <x:c r="F240" s="86" t="str">
        <x:v>Industrial Mobilization Administration</x:v>
      </x:c>
      <x:c r="G240" s="86" t="str">
        <x:v>Reconstruction Command</x:v>
      </x:c>
      <x:c r="H240" s="88" t="n">
        <x:v>0.15</x:v>
      </x:c>
      <x:c r="I240" s="85" t="n">
        <x:f>INDEX('Root Registry'!$G$6:$G$29,MATCH(B240,'Root Registry'!$A$6:$A$29,0))</x:f>
        <x:v>38.25</x:v>
      </x:c>
      <x:c r="J240" s="75" t="str">
        <x:f>INDEX('Root Registry'!$D$6:$D$29,MATCH(B240,'Root Registry'!$A$6:$A$29,0))</x:f>
      </x:c>
      <x:c r="K240" s="75" t="str">
        <x:f>INDEX('Root Registry'!$F$6:$F$29,MATCH(B240,'Root Registry'!$A$6:$A$29,0))</x:f>
      </x:c>
      <x:c r="L240" s="43" t="str"/>
      <x:c r="M240" s="43" t="str"/>
      <x:c r="N240" s="43" t="str"/>
      <x:c r="O240" s="43" t="str"/>
      <x:c r="P240" s="43" t="str"/>
      <x:c r="Q240" s="75" t="str">
        <x:f>S239</x:f>
        <x:v>SOURCE EMPTY</x:v>
      </x:c>
      <x:c r="R240" s="75" t="str">
        <x:f>IF(L240="","SOURCE EMPTY",IF(L240=J240,"ROOT COLLISION",IF(AND(M240&lt;&gt;"",M240=L240),"DUAL-KEY COLLISION","CLEAR")))</x:f>
        <x:v>SOURCE EMPTY</x:v>
      </x:c>
      <x:c r="S240" s="75" t="str">
        <x:f>IF(OR(J240="",L240="",M240="",N240="",O240=""),"SOURCE EMPTY",IF(AND(OR(D240=4,D240=5,D240=8),K240=""),"SOURCE EMPTY",IF(R240&lt;&gt;"CLEAR","COLLISION",IF(P240&lt;&gt;"","ROLLBACK",IF(O240&lt;&gt;"ACCEPT","HOLD",IF(OR(D240=1,Q240="ACCEPTED"),"ACCEPTED","SEQUENCE HOLD"))))))</x:f>
        <x:v>SOURCE EMPTY</x:v>
      </x:c>
      <x:c r="T240" s="85" t="n">
        <x:f>IF(S240="ACCEPTED",H240*I240,0)</x:f>
        <x:v>0</x:v>
      </x:c>
      <x:c r="U240" s="75"/>
      <x:c r="V240" s="75"/>
      <x:c r="W240" s="75"/>
      <x:c r="X240" s="75"/>
      <x:c r="Y240" s="75"/>
      <x:c r="Z240" s="75"/>
    </x:row>
    <x:row r="241" ht="20" customHeight="1">
      <x:c r="A241" s="86" t="str">
        <x:v>MS-HU-D-CW-08</x:v>
      </x:c>
      <x:c r="B241" s="75" t="str">
        <x:v>MS-HU-D</x:v>
      </x:c>
      <x:c r="C241" s="75" t="str">
        <x:v>MS-HU</x:v>
      </x:c>
      <x:c r="D241" s="75" t="n">
        <x:v>8</x:v>
      </x:c>
      <x:c r="E241" s="75" t="str">
        <x:v>CW-08</x:v>
      </x:c>
      <x:c r="F241" s="86" t="str">
        <x:v>Operating Services</x:v>
      </x:c>
      <x:c r="G241" s="86" t="str">
        <x:v>Joint Capacity Authority</x:v>
      </x:c>
      <x:c r="H241" s="88" t="n">
        <x:v>0.12</x:v>
      </x:c>
      <x:c r="I241" s="85" t="n">
        <x:f>INDEX('Root Registry'!$G$6:$G$29,MATCH(B241,'Root Registry'!$A$6:$A$29,0))</x:f>
        <x:v>38.25</x:v>
      </x:c>
      <x:c r="J241" s="75" t="str">
        <x:f>INDEX('Root Registry'!$D$6:$D$29,MATCH(B241,'Root Registry'!$A$6:$A$29,0))</x:f>
      </x:c>
      <x:c r="K241" s="75" t="str">
        <x:f>INDEX('Root Registry'!$F$6:$F$29,MATCH(B241,'Root Registry'!$A$6:$A$29,0))</x:f>
      </x:c>
      <x:c r="L241" s="43" t="str"/>
      <x:c r="M241" s="43" t="str"/>
      <x:c r="N241" s="43" t="str"/>
      <x:c r="O241" s="43" t="str"/>
      <x:c r="P241" s="43" t="str"/>
      <x:c r="Q241" s="75" t="str">
        <x:f>S240</x:f>
        <x:v>SOURCE EMPTY</x:v>
      </x:c>
      <x:c r="R241" s="75" t="str">
        <x:f>IF(L241="","SOURCE EMPTY",IF(L241=J241,"ROOT COLLISION",IF(AND(M241&lt;&gt;"",M241=L241),"DUAL-KEY COLLISION","CLEAR")))</x:f>
        <x:v>SOURCE EMPTY</x:v>
      </x:c>
      <x:c r="S241" s="75" t="str">
        <x:f>IF(OR(J241="",L241="",M241="",N241="",O241=""),"SOURCE EMPTY",IF(AND(OR(D241=4,D241=5,D241=8),K241=""),"SOURCE EMPTY",IF(R241&lt;&gt;"CLEAR","COLLISION",IF(P241&lt;&gt;"","ROLLBACK",IF(O241&lt;&gt;"ACCEPT","HOLD",IF(OR(D241=1,Q241="ACCEPTED"),"ACCEPTED","SEQUENCE HOLD"))))))</x:f>
        <x:v>SOURCE EMPTY</x:v>
      </x:c>
      <x:c r="T241" s="85" t="n">
        <x:f>IF(S241="ACCEPTED",H241*I241,0)</x:f>
        <x:v>0</x:v>
      </x:c>
      <x:c r="U241" s="75"/>
      <x:c r="V241" s="75"/>
      <x:c r="W241" s="75"/>
      <x:c r="X241" s="75"/>
      <x:c r="Y241" s="75"/>
      <x:c r="Z241" s="75"/>
    </x:row>
    <x:row r="242" ht="20" customHeight="1">
      <x:c r="A242" s="86" t="str">
        <x:v>MS-HU-D-RW-09</x:v>
      </x:c>
      <x:c r="B242" s="75" t="str">
        <x:v>MS-HU-D</x:v>
      </x:c>
      <x:c r="C242" s="75" t="str">
        <x:v>MS-HU</x:v>
      </x:c>
      <x:c r="D242" s="75" t="n">
        <x:v>9</x:v>
      </x:c>
      <x:c r="E242" s="75" t="str">
        <x:v>RW-09</x:v>
      </x:c>
      <x:c r="F242" s="86" t="str">
        <x:v>Joint Capacity Authority</x:v>
      </x:c>
      <x:c r="G242" s="86" t="str">
        <x:v>Department Comptroller</x:v>
      </x:c>
      <x:c r="H242" s="88" t="n">
        <x:v>0.08</x:v>
      </x:c>
      <x:c r="I242" s="85" t="n">
        <x:f>INDEX('Root Registry'!$G$6:$G$29,MATCH(B242,'Root Registry'!$A$6:$A$29,0))</x:f>
        <x:v>38.25</x:v>
      </x:c>
      <x:c r="J242" s="75" t="str">
        <x:f>INDEX('Root Registry'!$D$6:$D$29,MATCH(B242,'Root Registry'!$A$6:$A$29,0))</x:f>
      </x:c>
      <x:c r="K242" s="75" t="str">
        <x:f>INDEX('Root Registry'!$F$6:$F$29,MATCH(B242,'Root Registry'!$A$6:$A$29,0))</x:f>
      </x:c>
      <x:c r="L242" s="43" t="str"/>
      <x:c r="M242" s="43" t="str"/>
      <x:c r="N242" s="43" t="str"/>
      <x:c r="O242" s="43" t="str"/>
      <x:c r="P242" s="43" t="str"/>
      <x:c r="Q242" s="75" t="str">
        <x:f>S241</x:f>
        <x:v>SOURCE EMPTY</x:v>
      </x:c>
      <x:c r="R242" s="75" t="str">
        <x:f>IF(L242="","SOURCE EMPTY",IF(L242=J242,"ROOT COLLISION",IF(AND(M242&lt;&gt;"",M242=L242),"DUAL-KEY COLLISION","CLEAR")))</x:f>
        <x:v>SOURCE EMPTY</x:v>
      </x:c>
      <x:c r="S242" s="75" t="str">
        <x:f>IF(OR(J242="",L242="",M242="",N242="",O242=""),"SOURCE EMPTY",IF(AND(OR(D242=4,D242=5,D242=8),K242=""),"SOURCE EMPTY",IF(R242&lt;&gt;"CLEAR","COLLISION",IF(P242&lt;&gt;"","ROLLBACK",IF(O242&lt;&gt;"ACCEPT","HOLD",IF(OR(D242=1,Q242="ACCEPTED"),"ACCEPTED","SEQUENCE HOLD"))))))</x:f>
        <x:v>SOURCE EMPTY</x:v>
      </x:c>
      <x:c r="T242" s="85" t="n">
        <x:f>IF(S242="ACCEPTED",H242*I242,0)</x:f>
        <x:v>0</x:v>
      </x:c>
      <x:c r="U242" s="75"/>
      <x:c r="V242" s="75"/>
      <x:c r="W242" s="75"/>
      <x:c r="X242" s="75"/>
      <x:c r="Y242" s="75"/>
      <x:c r="Z242" s="75"/>
    </x:row>
    <x:row r="243" ht="20" customHeight="1">
      <x:c r="A243" s="86" t="str">
        <x:v>MS-HU-D-OW-10</x:v>
      </x:c>
      <x:c r="B243" s="75" t="str">
        <x:v>MS-HU-D</x:v>
      </x:c>
      <x:c r="C243" s="75" t="str">
        <x:v>MS-HU</x:v>
      </x:c>
      <x:c r="D243" s="75" t="n">
        <x:v>10</x:v>
      </x:c>
      <x:c r="E243" s="75" t="str">
        <x:v>OW-10</x:v>
      </x:c>
      <x:c r="F243" s="86" t="str">
        <x:v>Operational Command</x:v>
      </x:c>
      <x:c r="G243" s="86" t="str">
        <x:v>Civil Resilience Authority</x:v>
      </x:c>
      <x:c r="H243" s="88" t="n">
        <x:v>0.05</x:v>
      </x:c>
      <x:c r="I243" s="85" t="n">
        <x:f>INDEX('Root Registry'!$G$6:$G$29,MATCH(B243,'Root Registry'!$A$6:$A$29,0))</x:f>
        <x:v>38.25</x:v>
      </x:c>
      <x:c r="J243" s="75" t="str">
        <x:f>INDEX('Root Registry'!$D$6:$D$29,MATCH(B243,'Root Registry'!$A$6:$A$29,0))</x:f>
      </x:c>
      <x:c r="K243" s="75" t="str">
        <x:f>INDEX('Root Registry'!$F$6:$F$29,MATCH(B243,'Root Registry'!$A$6:$A$29,0))</x:f>
      </x:c>
      <x:c r="L243" s="43" t="str"/>
      <x:c r="M243" s="43" t="str"/>
      <x:c r="N243" s="43" t="str"/>
      <x:c r="O243" s="43" t="str"/>
      <x:c r="P243" s="43" t="str"/>
      <x:c r="Q243" s="75" t="str">
        <x:f>S242</x:f>
        <x:v>SOURCE EMPTY</x:v>
      </x:c>
      <x:c r="R243" s="75" t="str">
        <x:f>IF(L243="","SOURCE EMPTY",IF(L243=J243,"ROOT COLLISION",IF(AND(M243&lt;&gt;"",M243=L243),"DUAL-KEY COLLISION","CLEAR")))</x:f>
        <x:v>SOURCE EMPTY</x:v>
      </x:c>
      <x:c r="S243" s="75" t="str">
        <x:f>IF(OR(J243="",L243="",M243="",N243="",O243=""),"SOURCE EMPTY",IF(AND(OR(D243=4,D243=5,D243=8),K243=""),"SOURCE EMPTY",IF(R243&lt;&gt;"CLEAR","COLLISION",IF(P243&lt;&gt;"","ROLLBACK",IF(O243&lt;&gt;"ACCEPT","HOLD",IF(OR(D243=1,Q243="ACCEPTED"),"ACCEPTED","SEQUENCE HOLD"))))))</x:f>
        <x:v>SOURCE EMPTY</x:v>
      </x:c>
      <x:c r="T243" s="85" t="n">
        <x:f>IF(S243="ACCEPTED",H243*I243,0)</x:f>
        <x:v>0</x:v>
      </x:c>
      <x:c r="U243" s="75"/>
      <x:c r="V243" s="75"/>
      <x:c r="W243" s="75"/>
      <x:c r="X243" s="75"/>
      <x:c r="Y243" s="75"/>
      <x:c r="Z243" s="75"/>
    </x:row>
    <x:row r="244" ht="20" customHeight="1">
      <x:c r="A244" s="86" t="str">
        <x:v>MS-HU-D-SW-11</x:v>
      </x:c>
      <x:c r="B244" s="75" t="str">
        <x:v>MS-HU-D</x:v>
      </x:c>
      <x:c r="C244" s="75" t="str">
        <x:v>MS-HU</x:v>
      </x:c>
      <x:c r="D244" s="75" t="n">
        <x:v>11</x:v>
      </x:c>
      <x:c r="E244" s="75" t="str">
        <x:v>SW-11</x:v>
      </x:c>
      <x:c r="F244" s="86" t="str">
        <x:v>Civil Resilience Authority</x:v>
      </x:c>
      <x:c r="G244" s="86" t="str">
        <x:v>Affected Civil Authority</x:v>
      </x:c>
      <x:c r="H244" s="88" t="n">
        <x:v>0.07</x:v>
      </x:c>
      <x:c r="I244" s="85" t="n">
        <x:f>INDEX('Root Registry'!$G$6:$G$29,MATCH(B244,'Root Registry'!$A$6:$A$29,0))</x:f>
        <x:v>38.25</x:v>
      </x:c>
      <x:c r="J244" s="75" t="str">
        <x:f>INDEX('Root Registry'!$D$6:$D$29,MATCH(B244,'Root Registry'!$A$6:$A$29,0))</x:f>
      </x:c>
      <x:c r="K244" s="75" t="str">
        <x:f>INDEX('Root Registry'!$F$6:$F$29,MATCH(B244,'Root Registry'!$A$6:$A$29,0))</x:f>
      </x:c>
      <x:c r="L244" s="43" t="str"/>
      <x:c r="M244" s="43" t="str"/>
      <x:c r="N244" s="43" t="str"/>
      <x:c r="O244" s="43" t="str"/>
      <x:c r="P244" s="43" t="str"/>
      <x:c r="Q244" s="75" t="str">
        <x:f>S243</x:f>
        <x:v>SOURCE EMPTY</x:v>
      </x:c>
      <x:c r="R244" s="75" t="str">
        <x:f>IF(L244="","SOURCE EMPTY",IF(L244=J244,"ROOT COLLISION",IF(AND(M244&lt;&gt;"",M244=L244),"DUAL-KEY COLLISION","CLEAR")))</x:f>
        <x:v>SOURCE EMPTY</x:v>
      </x:c>
      <x:c r="S244" s="75" t="str">
        <x:f>IF(OR(J244="",L244="",M244="",N244="",O244=""),"SOURCE EMPTY",IF(AND(OR(D244=4,D244=5,D244=8),K244=""),"SOURCE EMPTY",IF(R244&lt;&gt;"CLEAR","COLLISION",IF(P244&lt;&gt;"","ROLLBACK",IF(O244&lt;&gt;"ACCEPT","HOLD",IF(OR(D244=1,Q244="ACCEPTED"),"ACCEPTED","SEQUENCE HOLD"))))))</x:f>
        <x:v>SOURCE EMPTY</x:v>
      </x:c>
      <x:c r="T244" s="85" t="n">
        <x:f>IF(S244="ACCEPTED",H244*I244,0)</x:f>
        <x:v>0</x:v>
      </x:c>
      <x:c r="U244" s="75"/>
      <x:c r="V244" s="75"/>
      <x:c r="W244" s="75"/>
      <x:c r="X244" s="75"/>
      <x:c r="Y244" s="75"/>
      <x:c r="Z244" s="75"/>
    </x:row>
    <x:row r="245" ht="20" customHeight="1">
      <x:c r="A245" s="86" t="str">
        <x:v>MS-HU-D-GW-12</x:v>
      </x:c>
      <x:c r="B245" s="75" t="str">
        <x:v>MS-HU-D</x:v>
      </x:c>
      <x:c r="C245" s="75" t="str">
        <x:v>MS-HU</x:v>
      </x:c>
      <x:c r="D245" s="75" t="n">
        <x:v>12</x:v>
      </x:c>
      <x:c r="E245" s="75" t="str">
        <x:v>GW-12</x:v>
      </x:c>
      <x:c r="F245" s="86" t="str">
        <x:v>Strategic Sustainment Command</x:v>
      </x:c>
      <x:c r="G245" s="86" t="str">
        <x:v>Joint Capacity Authority</x:v>
      </x:c>
      <x:c r="H245" s="88" t="n">
        <x:v>0.05</x:v>
      </x:c>
      <x:c r="I245" s="85" t="n">
        <x:f>INDEX('Root Registry'!$G$6:$G$29,MATCH(B245,'Root Registry'!$A$6:$A$29,0))</x:f>
        <x:v>38.25</x:v>
      </x:c>
      <x:c r="J245" s="75" t="str">
        <x:f>INDEX('Root Registry'!$D$6:$D$29,MATCH(B245,'Root Registry'!$A$6:$A$29,0))</x:f>
      </x:c>
      <x:c r="K245" s="75" t="str">
        <x:f>INDEX('Root Registry'!$F$6:$F$29,MATCH(B245,'Root Registry'!$A$6:$A$29,0))</x:f>
      </x:c>
      <x:c r="L245" s="43" t="str"/>
      <x:c r="M245" s="43" t="str"/>
      <x:c r="N245" s="43" t="str"/>
      <x:c r="O245" s="43" t="str"/>
      <x:c r="P245" s="43" t="str"/>
      <x:c r="Q245" s="75" t="str">
        <x:f>S244</x:f>
        <x:v>SOURCE EMPTY</x:v>
      </x:c>
      <x:c r="R245" s="75" t="str">
        <x:f>IF(L245="","SOURCE EMPTY",IF(L245=J245,"ROOT COLLISION",IF(AND(M245&lt;&gt;"",M245=L245),"DUAL-KEY COLLISION","CLEAR")))</x:f>
        <x:v>SOURCE EMPTY</x:v>
      </x:c>
      <x:c r="S245" s="75" t="str">
        <x:f>IF(OR(J245="",L245="",M245="",N245="",O245=""),"SOURCE EMPTY",IF(AND(OR(D245=4,D245=5,D245=8),K245=""),"SOURCE EMPTY",IF(R245&lt;&gt;"CLEAR","COLLISION",IF(P245&lt;&gt;"","ROLLBACK",IF(O245&lt;&gt;"ACCEPT","HOLD",IF(OR(D245=1,Q245="ACCEPTED"),"ACCEPTED","SEQUENCE HOLD"))))))</x:f>
        <x:v>SOURCE EMPTY</x:v>
      </x:c>
      <x:c r="T245" s="85" t="n">
        <x:f>IF(S245="ACCEPTED",H245*I245,0)</x:f>
        <x:v>0</x:v>
      </x:c>
      <x:c r="U245" s="75"/>
      <x:c r="V245" s="75"/>
      <x:c r="W245" s="75"/>
      <x:c r="X245" s="75"/>
      <x:c r="Y245" s="75"/>
      <x:c r="Z245" s="75"/>
    </x:row>
    <x:row r="246" ht="20" customHeight="1">
      <x:c r="A246" s="86" t="str">
        <x:v>MS-RT-A-PW-01</x:v>
      </x:c>
      <x:c r="B246" s="75" t="str">
        <x:v>MS-RT-A</x:v>
      </x:c>
      <x:c r="C246" s="75" t="str">
        <x:v>MS-RT</x:v>
      </x:c>
      <x:c r="D246" s="75" t="n">
        <x:v>1</x:v>
      </x:c>
      <x:c r="E246" s="75" t="str">
        <x:v>PW-01</x:v>
      </x:c>
      <x:c r="F246" s="86" t="str">
        <x:v>Civil Resilience Authority</x:v>
      </x:c>
      <x:c r="G246" s="86" t="str">
        <x:v>Public Effect College</x:v>
      </x:c>
      <x:c r="H246" s="88" t="n">
        <x:v>0.01</x:v>
      </x:c>
      <x:c r="I246" s="85" t="n">
        <x:f>INDEX('Root Registry'!$G$6:$G$29,MATCH(B246,'Root Registry'!$A$6:$A$29,0))</x:f>
        <x:v>22.35</x:v>
      </x:c>
      <x:c r="J246" s="75" t="str">
        <x:f>INDEX('Root Registry'!$D$6:$D$29,MATCH(B246,'Root Registry'!$A$6:$A$29,0))</x:f>
      </x:c>
      <x:c r="K246" s="75" t="str">
        <x:f>INDEX('Root Registry'!$F$6:$F$29,MATCH(B246,'Root Registry'!$A$6:$A$29,0))</x:f>
      </x:c>
      <x:c r="L246" s="43" t="str"/>
      <x:c r="M246" s="43" t="str"/>
      <x:c r="N246" s="43" t="str"/>
      <x:c r="O246" s="43" t="str"/>
      <x:c r="P246" s="43" t="str"/>
      <x:c r="Q246" s="75" t="str">
        <x:f>"ORIGIN"</x:f>
        <x:v>ORIGIN</x:v>
      </x:c>
      <x:c r="R246" s="75" t="str">
        <x:f>IF(L246="","SOURCE EMPTY",IF(L246=J246,"ROOT COLLISION",IF(AND(M246&lt;&gt;"",M246=L246),"DUAL-KEY COLLISION","CLEAR")))</x:f>
        <x:v>SOURCE EMPTY</x:v>
      </x:c>
      <x:c r="S246" s="75" t="str">
        <x:f>IF(OR(J246="",L246="",M246="",N246="",O246=""),"SOURCE EMPTY",IF(AND(OR(D246=4,D246=5,D246=8),K246=""),"SOURCE EMPTY",IF(R246&lt;&gt;"CLEAR","COLLISION",IF(P246&lt;&gt;"","ROLLBACK",IF(O246&lt;&gt;"ACCEPT","HOLD",IF(OR(D246=1,Q246="ACCEPTED"),"ACCEPTED","SEQUENCE HOLD"))))))</x:f>
        <x:v>SOURCE EMPTY</x:v>
      </x:c>
      <x:c r="T246" s="85" t="n">
        <x:f>IF(S246="ACCEPTED",H246*I246,0)</x:f>
        <x:v>0</x:v>
      </x:c>
      <x:c r="U246" s="75"/>
      <x:c r="V246" s="75"/>
      <x:c r="W246" s="75"/>
      <x:c r="X246" s="75"/>
      <x:c r="Y246" s="75"/>
      <x:c r="Z246" s="75"/>
    </x:row>
    <x:row r="247" ht="20" customHeight="1">
      <x:c r="A247" s="86" t="str">
        <x:v>MS-RT-A-MW-02</x:v>
      </x:c>
      <x:c r="B247" s="75" t="str">
        <x:v>MS-RT-A</x:v>
      </x:c>
      <x:c r="C247" s="75" t="str">
        <x:v>MS-RT</x:v>
      </x:c>
      <x:c r="D247" s="75" t="n">
        <x:v>2</x:v>
      </x:c>
      <x:c r="E247" s="75" t="str">
        <x:v>MW-02</x:v>
      </x:c>
      <x:c r="F247" s="86" t="str">
        <x:v>Mission System Command</x:v>
      </x:c>
      <x:c r="G247" s="86" t="str">
        <x:v>Civil Resilience Authority</x:v>
      </x:c>
      <x:c r="H247" s="88" t="n">
        <x:v>0.02</x:v>
      </x:c>
      <x:c r="I247" s="85" t="n">
        <x:f>INDEX('Root Registry'!$G$6:$G$29,MATCH(B247,'Root Registry'!$A$6:$A$29,0))</x:f>
        <x:v>22.35</x:v>
      </x:c>
      <x:c r="J247" s="75" t="str">
        <x:f>INDEX('Root Registry'!$D$6:$D$29,MATCH(B247,'Root Registry'!$A$6:$A$29,0))</x:f>
      </x:c>
      <x:c r="K247" s="75" t="str">
        <x:f>INDEX('Root Registry'!$F$6:$F$29,MATCH(B247,'Root Registry'!$A$6:$A$29,0))</x:f>
      </x:c>
      <x:c r="L247" s="43" t="str"/>
      <x:c r="M247" s="43" t="str"/>
      <x:c r="N247" s="43" t="str"/>
      <x:c r="O247" s="43" t="str"/>
      <x:c r="P247" s="43" t="str"/>
      <x:c r="Q247" s="75" t="str">
        <x:f>S246</x:f>
        <x:v>SOURCE EMPTY</x:v>
      </x:c>
      <x:c r="R247" s="75" t="str">
        <x:f>IF(L247="","SOURCE EMPTY",IF(L247=J247,"ROOT COLLISION",IF(AND(M247&lt;&gt;"",M247=L247),"DUAL-KEY COLLISION","CLEAR")))</x:f>
        <x:v>SOURCE EMPTY</x:v>
      </x:c>
      <x:c r="S247" s="75" t="str">
        <x:f>IF(OR(J247="",L247="",M247="",N247="",O247=""),"SOURCE EMPTY",IF(AND(OR(D247=4,D247=5,D247=8),K247=""),"SOURCE EMPTY",IF(R247&lt;&gt;"CLEAR","COLLISION",IF(P247&lt;&gt;"","ROLLBACK",IF(O247&lt;&gt;"ACCEPT","HOLD",IF(OR(D247=1,Q247="ACCEPTED"),"ACCEPTED","SEQUENCE HOLD"))))))</x:f>
        <x:v>SOURCE EMPTY</x:v>
      </x:c>
      <x:c r="T247" s="85" t="n">
        <x:f>IF(S247="ACCEPTED",H247*I247,0)</x:f>
        <x:v>0</x:v>
      </x:c>
      <x:c r="U247" s="75"/>
      <x:c r="V247" s="75"/>
      <x:c r="W247" s="75"/>
      <x:c r="X247" s="75"/>
      <x:c r="Y247" s="75"/>
      <x:c r="Z247" s="75"/>
    </x:row>
    <x:row r="248" ht="20" customHeight="1">
      <x:c r="A248" s="86" t="str">
        <x:v>MS-RT-A-FW-03</x:v>
      </x:c>
      <x:c r="B248" s="75" t="str">
        <x:v>MS-RT-A</x:v>
      </x:c>
      <x:c r="C248" s="75" t="str">
        <x:v>MS-RT</x:v>
      </x:c>
      <x:c r="D248" s="75" t="n">
        <x:v>3</x:v>
      </x:c>
      <x:c r="E248" s="75" t="str">
        <x:v>FW-03</x:v>
      </x:c>
      <x:c r="F248" s="86" t="str">
        <x:v>Department Capital Board</x:v>
      </x:c>
      <x:c r="G248" s="86" t="str">
        <x:v>Failure Reserve Trustee</x:v>
      </x:c>
      <x:c r="H248" s="88" t="n">
        <x:v>0.05</x:v>
      </x:c>
      <x:c r="I248" s="85" t="n">
        <x:f>INDEX('Root Registry'!$G$6:$G$29,MATCH(B248,'Root Registry'!$A$6:$A$29,0))</x:f>
        <x:v>22.35</x:v>
      </x:c>
      <x:c r="J248" s="75" t="str">
        <x:f>INDEX('Root Registry'!$D$6:$D$29,MATCH(B248,'Root Registry'!$A$6:$A$29,0))</x:f>
      </x:c>
      <x:c r="K248" s="75" t="str">
        <x:f>INDEX('Root Registry'!$F$6:$F$29,MATCH(B248,'Root Registry'!$A$6:$A$29,0))</x:f>
      </x:c>
      <x:c r="L248" s="43" t="str"/>
      <x:c r="M248" s="43" t="str"/>
      <x:c r="N248" s="43" t="str"/>
      <x:c r="O248" s="43" t="str"/>
      <x:c r="P248" s="43" t="str"/>
      <x:c r="Q248" s="75" t="str">
        <x:f>S247</x:f>
        <x:v>SOURCE EMPTY</x:v>
      </x:c>
      <x:c r="R248" s="75" t="str">
        <x:f>IF(L248="","SOURCE EMPTY",IF(L248=J248,"ROOT COLLISION",IF(AND(M248&lt;&gt;"",M248=L248),"DUAL-KEY COLLISION","CLEAR")))</x:f>
        <x:v>SOURCE EMPTY</x:v>
      </x:c>
      <x:c r="S248" s="75" t="str">
        <x:f>IF(OR(J248="",L248="",M248="",N248="",O248=""),"SOURCE EMPTY",IF(AND(OR(D248=4,D248=5,D248=8),K248=""),"SOURCE EMPTY",IF(R248&lt;&gt;"CLEAR","COLLISION",IF(P248&lt;&gt;"","ROLLBACK",IF(O248&lt;&gt;"ACCEPT","HOLD",IF(OR(D248=1,Q248="ACCEPTED"),"ACCEPTED","SEQUENCE HOLD"))))))</x:f>
        <x:v>SOURCE EMPTY</x:v>
      </x:c>
      <x:c r="T248" s="85" t="n">
        <x:f>IF(S248="ACCEPTED",H248*I248,0)</x:f>
        <x:v>0</x:v>
      </x:c>
      <x:c r="U248" s="75"/>
      <x:c r="V248" s="75"/>
      <x:c r="W248" s="75"/>
      <x:c r="X248" s="75"/>
      <x:c r="Y248" s="75"/>
      <x:c r="Z248" s="75"/>
    </x:row>
    <x:row r="249" ht="20" customHeight="1">
      <x:c r="A249" s="86" t="str">
        <x:v>MS-RT-A-CW-04</x:v>
      </x:c>
      <x:c r="B249" s="75" t="str">
        <x:v>MS-RT-A</x:v>
      </x:c>
      <x:c r="C249" s="75" t="str">
        <x:v>MS-RT</x:v>
      </x:c>
      <x:c r="D249" s="75" t="n">
        <x:v>4</x:v>
      </x:c>
      <x:c r="E249" s="75" t="str">
        <x:v>CW-04</x:v>
      </x:c>
      <x:c r="F249" s="86" t="str">
        <x:v>Service Technical College</x:v>
      </x:c>
      <x:c r="G249" s="86" t="str">
        <x:v>Independent Root House</x:v>
      </x:c>
      <x:c r="H249" s="88" t="n">
        <x:v>0.12</x:v>
      </x:c>
      <x:c r="I249" s="85" t="n">
        <x:f>INDEX('Root Registry'!$G$6:$G$29,MATCH(B249,'Root Registry'!$A$6:$A$29,0))</x:f>
        <x:v>22.35</x:v>
      </x:c>
      <x:c r="J249" s="75" t="str">
        <x:f>INDEX('Root Registry'!$D$6:$D$29,MATCH(B249,'Root Registry'!$A$6:$A$29,0))</x:f>
      </x:c>
      <x:c r="K249" s="75" t="str">
        <x:f>INDEX('Root Registry'!$F$6:$F$29,MATCH(B249,'Root Registry'!$A$6:$A$29,0))</x:f>
      </x:c>
      <x:c r="L249" s="43" t="str"/>
      <x:c r="M249" s="43" t="str"/>
      <x:c r="N249" s="43" t="str"/>
      <x:c r="O249" s="43" t="str"/>
      <x:c r="P249" s="43" t="str"/>
      <x:c r="Q249" s="75" t="str">
        <x:f>S248</x:f>
        <x:v>SOURCE EMPTY</x:v>
      </x:c>
      <x:c r="R249" s="75" t="str">
        <x:f>IF(L249="","SOURCE EMPTY",IF(L249=J249,"ROOT COLLISION",IF(AND(M249&lt;&gt;"",M249=L249),"DUAL-KEY COLLISION","CLEAR")))</x:f>
        <x:v>SOURCE EMPTY</x:v>
      </x:c>
      <x:c r="S249" s="75" t="str">
        <x:f>IF(OR(J249="",L249="",M249="",N249="",O249=""),"SOURCE EMPTY",IF(AND(OR(D249=4,D249=5,D249=8),K249=""),"SOURCE EMPTY",IF(R249&lt;&gt;"CLEAR","COLLISION",IF(P249&lt;&gt;"","ROLLBACK",IF(O249&lt;&gt;"ACCEPT","HOLD",IF(OR(D249=1,Q249="ACCEPTED"),"ACCEPTED","SEQUENCE HOLD"))))))</x:f>
        <x:v>SOURCE EMPTY</x:v>
      </x:c>
      <x:c r="T249" s="85" t="n">
        <x:f>IF(S249="ACCEPTED",H249*I249,0)</x:f>
        <x:v>0</x:v>
      </x:c>
      <x:c r="U249" s="75"/>
      <x:c r="V249" s="75"/>
      <x:c r="W249" s="75"/>
      <x:c r="X249" s="75"/>
      <x:c r="Y249" s="75"/>
      <x:c r="Z249" s="75"/>
    </x:row>
    <x:row r="250" ht="20" customHeight="1">
      <x:c r="A250" s="86" t="str">
        <x:v>MS-RT-A-TW-05</x:v>
      </x:c>
      <x:c r="B250" s="75" t="str">
        <x:v>MS-RT-A</x:v>
      </x:c>
      <x:c r="C250" s="75" t="str">
        <x:v>MS-RT</x:v>
      </x:c>
      <x:c r="D250" s="75" t="n">
        <x:v>5</x:v>
      </x:c>
      <x:c r="E250" s="75" t="str">
        <x:v>TW-05</x:v>
      </x:c>
      <x:c r="F250" s="86" t="str">
        <x:v>Service Technical College</x:v>
      </x:c>
      <x:c r="G250" s="86" t="str">
        <x:v>Public Protection Inspectorate</x:v>
      </x:c>
      <x:c r="H250" s="88" t="n">
        <x:v>0.08</x:v>
      </x:c>
      <x:c r="I250" s="85" t="n">
        <x:f>INDEX('Root Registry'!$G$6:$G$29,MATCH(B250,'Root Registry'!$A$6:$A$29,0))</x:f>
        <x:v>22.35</x:v>
      </x:c>
      <x:c r="J250" s="75" t="str">
        <x:f>INDEX('Root Registry'!$D$6:$D$29,MATCH(B250,'Root Registry'!$A$6:$A$29,0))</x:f>
      </x:c>
      <x:c r="K250" s="75" t="str">
        <x:f>INDEX('Root Registry'!$F$6:$F$29,MATCH(B250,'Root Registry'!$A$6:$A$29,0))</x:f>
      </x:c>
      <x:c r="L250" s="43" t="str"/>
      <x:c r="M250" s="43" t="str"/>
      <x:c r="N250" s="43" t="str"/>
      <x:c r="O250" s="43" t="str"/>
      <x:c r="P250" s="43" t="str"/>
      <x:c r="Q250" s="75" t="str">
        <x:f>S249</x:f>
        <x:v>SOURCE EMPTY</x:v>
      </x:c>
      <x:c r="R250" s="75" t="str">
        <x:f>IF(L250="","SOURCE EMPTY",IF(L250=J250,"ROOT COLLISION",IF(AND(M250&lt;&gt;"",M250=L250),"DUAL-KEY COLLISION","CLEAR")))</x:f>
        <x:v>SOURCE EMPTY</x:v>
      </x:c>
      <x:c r="S250" s="75" t="str">
        <x:f>IF(OR(J250="",L250="",M250="",N250="",O250=""),"SOURCE EMPTY",IF(AND(OR(D250=4,D250=5,D250=8),K250=""),"SOURCE EMPTY",IF(R250&lt;&gt;"CLEAR","COLLISION",IF(P250&lt;&gt;"","ROLLBACK",IF(O250&lt;&gt;"ACCEPT","HOLD",IF(OR(D250=1,Q250="ACCEPTED"),"ACCEPTED","SEQUENCE HOLD"))))))</x:f>
        <x:v>SOURCE EMPTY</x:v>
      </x:c>
      <x:c r="T250" s="85" t="n">
        <x:f>IF(S250="ACCEPTED",H250*I250,0)</x:f>
        <x:v>0</x:v>
      </x:c>
      <x:c r="U250" s="75"/>
      <x:c r="V250" s="75"/>
      <x:c r="W250" s="75"/>
      <x:c r="X250" s="75"/>
      <x:c r="Y250" s="75"/>
      <x:c r="Z250" s="75"/>
    </x:row>
    <x:row r="251" ht="20" customHeight="1">
      <x:c r="A251" s="86" t="str">
        <x:v>MS-RT-A-EW-06</x:v>
      </x:c>
      <x:c r="B251" s="75" t="str">
        <x:v>MS-RT-A</x:v>
      </x:c>
      <x:c r="C251" s="75" t="str">
        <x:v>MS-RT</x:v>
      </x:c>
      <x:c r="D251" s="75" t="n">
        <x:v>6</x:v>
      </x:c>
      <x:c r="E251" s="75" t="str">
        <x:v>EW-06</x:v>
      </x:c>
      <x:c r="F251" s="86" t="str">
        <x:v>Resilience Proving Service</x:v>
      </x:c>
      <x:c r="G251" s="86" t="str">
        <x:v>Public Effect College</x:v>
      </x:c>
      <x:c r="H251" s="88" t="n">
        <x:v>0.2</x:v>
      </x:c>
      <x:c r="I251" s="85" t="n">
        <x:f>INDEX('Root Registry'!$G$6:$G$29,MATCH(B251,'Root Registry'!$A$6:$A$29,0))</x:f>
        <x:v>22.35</x:v>
      </x:c>
      <x:c r="J251" s="75" t="str">
        <x:f>INDEX('Root Registry'!$D$6:$D$29,MATCH(B251,'Root Registry'!$A$6:$A$29,0))</x:f>
      </x:c>
      <x:c r="K251" s="75" t="str">
        <x:f>INDEX('Root Registry'!$F$6:$F$29,MATCH(B251,'Root Registry'!$A$6:$A$29,0))</x:f>
      </x:c>
      <x:c r="L251" s="43" t="str"/>
      <x:c r="M251" s="43" t="str"/>
      <x:c r="N251" s="43" t="str"/>
      <x:c r="O251" s="43" t="str"/>
      <x:c r="P251" s="43" t="str"/>
      <x:c r="Q251" s="75" t="str">
        <x:f>S250</x:f>
        <x:v>SOURCE EMPTY</x:v>
      </x:c>
      <x:c r="R251" s="75" t="str">
        <x:f>IF(L251="","SOURCE EMPTY",IF(L251=J251,"ROOT COLLISION",IF(AND(M251&lt;&gt;"",M251=L251),"DUAL-KEY COLLISION","CLEAR")))</x:f>
        <x:v>SOURCE EMPTY</x:v>
      </x:c>
      <x:c r="S251" s="75" t="str">
        <x:f>IF(OR(J251="",L251="",M251="",N251="",O251=""),"SOURCE EMPTY",IF(AND(OR(D251=4,D251=5,D251=8),K251=""),"SOURCE EMPTY",IF(R251&lt;&gt;"CLEAR","COLLISION",IF(P251&lt;&gt;"","ROLLBACK",IF(O251&lt;&gt;"ACCEPT","HOLD",IF(OR(D251=1,Q251="ACCEPTED"),"ACCEPTED","SEQUENCE HOLD"))))))</x:f>
        <x:v>SOURCE EMPTY</x:v>
      </x:c>
      <x:c r="T251" s="85" t="n">
        <x:f>IF(S251="ACCEPTED",H251*I251,0)</x:f>
        <x:v>0</x:v>
      </x:c>
      <x:c r="U251" s="75"/>
      <x:c r="V251" s="75"/>
      <x:c r="W251" s="75"/>
      <x:c r="X251" s="75"/>
      <x:c r="Y251" s="75"/>
      <x:c r="Z251" s="75"/>
    </x:row>
    <x:row r="252" ht="20" customHeight="1">
      <x:c r="A252" s="86" t="str">
        <x:v>MS-RT-A-IW-07</x:v>
      </x:c>
      <x:c r="B252" s="75" t="str">
        <x:v>MS-RT-A</x:v>
      </x:c>
      <x:c r="C252" s="75" t="str">
        <x:v>MS-RT</x:v>
      </x:c>
      <x:c r="D252" s="75" t="n">
        <x:v>7</x:v>
      </x:c>
      <x:c r="E252" s="75" t="str">
        <x:v>IW-07</x:v>
      </x:c>
      <x:c r="F252" s="86" t="str">
        <x:v>Industrial Mobilization Administration</x:v>
      </x:c>
      <x:c r="G252" s="86" t="str">
        <x:v>Reconstruction Command</x:v>
      </x:c>
      <x:c r="H252" s="88" t="n">
        <x:v>0.15</x:v>
      </x:c>
      <x:c r="I252" s="85" t="n">
        <x:f>INDEX('Root Registry'!$G$6:$G$29,MATCH(B252,'Root Registry'!$A$6:$A$29,0))</x:f>
        <x:v>22.35</x:v>
      </x:c>
      <x:c r="J252" s="75" t="str">
        <x:f>INDEX('Root Registry'!$D$6:$D$29,MATCH(B252,'Root Registry'!$A$6:$A$29,0))</x:f>
      </x:c>
      <x:c r="K252" s="75" t="str">
        <x:f>INDEX('Root Registry'!$F$6:$F$29,MATCH(B252,'Root Registry'!$A$6:$A$29,0))</x:f>
      </x:c>
      <x:c r="L252" s="43" t="str"/>
      <x:c r="M252" s="43" t="str"/>
      <x:c r="N252" s="43" t="str"/>
      <x:c r="O252" s="43" t="str"/>
      <x:c r="P252" s="43" t="str"/>
      <x:c r="Q252" s="75" t="str">
        <x:f>S251</x:f>
        <x:v>SOURCE EMPTY</x:v>
      </x:c>
      <x:c r="R252" s="75" t="str">
        <x:f>IF(L252="","SOURCE EMPTY",IF(L252=J252,"ROOT COLLISION",IF(AND(M252&lt;&gt;"",M252=L252),"DUAL-KEY COLLISION","CLEAR")))</x:f>
        <x:v>SOURCE EMPTY</x:v>
      </x:c>
      <x:c r="S252" s="75" t="str">
        <x:f>IF(OR(J252="",L252="",M252="",N252="",O252=""),"SOURCE EMPTY",IF(AND(OR(D252=4,D252=5,D252=8),K252=""),"SOURCE EMPTY",IF(R252&lt;&gt;"CLEAR","COLLISION",IF(P252&lt;&gt;"","ROLLBACK",IF(O252&lt;&gt;"ACCEPT","HOLD",IF(OR(D252=1,Q252="ACCEPTED"),"ACCEPTED","SEQUENCE HOLD"))))))</x:f>
        <x:v>SOURCE EMPTY</x:v>
      </x:c>
      <x:c r="T252" s="85" t="n">
        <x:f>IF(S252="ACCEPTED",H252*I252,0)</x:f>
        <x:v>0</x:v>
      </x:c>
      <x:c r="U252" s="75"/>
      <x:c r="V252" s="75"/>
      <x:c r="W252" s="75"/>
      <x:c r="X252" s="75"/>
      <x:c r="Y252" s="75"/>
      <x:c r="Z252" s="75"/>
    </x:row>
    <x:row r="253" ht="20" customHeight="1">
      <x:c r="A253" s="86" t="str">
        <x:v>MS-RT-A-CW-08</x:v>
      </x:c>
      <x:c r="B253" s="75" t="str">
        <x:v>MS-RT-A</x:v>
      </x:c>
      <x:c r="C253" s="75" t="str">
        <x:v>MS-RT</x:v>
      </x:c>
      <x:c r="D253" s="75" t="n">
        <x:v>8</x:v>
      </x:c>
      <x:c r="E253" s="75" t="str">
        <x:v>CW-08</x:v>
      </x:c>
      <x:c r="F253" s="86" t="str">
        <x:v>Operating Services</x:v>
      </x:c>
      <x:c r="G253" s="86" t="str">
        <x:v>Joint Capacity Authority</x:v>
      </x:c>
      <x:c r="H253" s="88" t="n">
        <x:v>0.12</x:v>
      </x:c>
      <x:c r="I253" s="85" t="n">
        <x:f>INDEX('Root Registry'!$G$6:$G$29,MATCH(B253,'Root Registry'!$A$6:$A$29,0))</x:f>
        <x:v>22.35</x:v>
      </x:c>
      <x:c r="J253" s="75" t="str">
        <x:f>INDEX('Root Registry'!$D$6:$D$29,MATCH(B253,'Root Registry'!$A$6:$A$29,0))</x:f>
      </x:c>
      <x:c r="K253" s="75" t="str">
        <x:f>INDEX('Root Registry'!$F$6:$F$29,MATCH(B253,'Root Registry'!$A$6:$A$29,0))</x:f>
      </x:c>
      <x:c r="L253" s="43" t="str"/>
      <x:c r="M253" s="43" t="str"/>
      <x:c r="N253" s="43" t="str"/>
      <x:c r="O253" s="43" t="str"/>
      <x:c r="P253" s="43" t="str"/>
      <x:c r="Q253" s="75" t="str">
        <x:f>S252</x:f>
        <x:v>SOURCE EMPTY</x:v>
      </x:c>
      <x:c r="R253" s="75" t="str">
        <x:f>IF(L253="","SOURCE EMPTY",IF(L253=J253,"ROOT COLLISION",IF(AND(M253&lt;&gt;"",M253=L253),"DUAL-KEY COLLISION","CLEAR")))</x:f>
        <x:v>SOURCE EMPTY</x:v>
      </x:c>
      <x:c r="S253" s="75" t="str">
        <x:f>IF(OR(J253="",L253="",M253="",N253="",O253=""),"SOURCE EMPTY",IF(AND(OR(D253=4,D253=5,D253=8),K253=""),"SOURCE EMPTY",IF(R253&lt;&gt;"CLEAR","COLLISION",IF(P253&lt;&gt;"","ROLLBACK",IF(O253&lt;&gt;"ACCEPT","HOLD",IF(OR(D253=1,Q253="ACCEPTED"),"ACCEPTED","SEQUENCE HOLD"))))))</x:f>
        <x:v>SOURCE EMPTY</x:v>
      </x:c>
      <x:c r="T253" s="85" t="n">
        <x:f>IF(S253="ACCEPTED",H253*I253,0)</x:f>
        <x:v>0</x:v>
      </x:c>
      <x:c r="U253" s="75"/>
      <x:c r="V253" s="75"/>
      <x:c r="W253" s="75"/>
      <x:c r="X253" s="75"/>
      <x:c r="Y253" s="75"/>
      <x:c r="Z253" s="75"/>
    </x:row>
    <x:row r="254" ht="20" customHeight="1">
      <x:c r="A254" s="86" t="str">
        <x:v>MS-RT-A-RW-09</x:v>
      </x:c>
      <x:c r="B254" s="75" t="str">
        <x:v>MS-RT-A</x:v>
      </x:c>
      <x:c r="C254" s="75" t="str">
        <x:v>MS-RT</x:v>
      </x:c>
      <x:c r="D254" s="75" t="n">
        <x:v>9</x:v>
      </x:c>
      <x:c r="E254" s="75" t="str">
        <x:v>RW-09</x:v>
      </x:c>
      <x:c r="F254" s="86" t="str">
        <x:v>Joint Capacity Authority</x:v>
      </x:c>
      <x:c r="G254" s="86" t="str">
        <x:v>Department Comptroller</x:v>
      </x:c>
      <x:c r="H254" s="88" t="n">
        <x:v>0.08</x:v>
      </x:c>
      <x:c r="I254" s="85" t="n">
        <x:f>INDEX('Root Registry'!$G$6:$G$29,MATCH(B254,'Root Registry'!$A$6:$A$29,0))</x:f>
        <x:v>22.35</x:v>
      </x:c>
      <x:c r="J254" s="75" t="str">
        <x:f>INDEX('Root Registry'!$D$6:$D$29,MATCH(B254,'Root Registry'!$A$6:$A$29,0))</x:f>
      </x:c>
      <x:c r="K254" s="75" t="str">
        <x:f>INDEX('Root Registry'!$F$6:$F$29,MATCH(B254,'Root Registry'!$A$6:$A$29,0))</x:f>
      </x:c>
      <x:c r="L254" s="43" t="str"/>
      <x:c r="M254" s="43" t="str"/>
      <x:c r="N254" s="43" t="str"/>
      <x:c r="O254" s="43" t="str"/>
      <x:c r="P254" s="43" t="str"/>
      <x:c r="Q254" s="75" t="str">
        <x:f>S253</x:f>
        <x:v>SOURCE EMPTY</x:v>
      </x:c>
      <x:c r="R254" s="75" t="str">
        <x:f>IF(L254="","SOURCE EMPTY",IF(L254=J254,"ROOT COLLISION",IF(AND(M254&lt;&gt;"",M254=L254),"DUAL-KEY COLLISION","CLEAR")))</x:f>
        <x:v>SOURCE EMPTY</x:v>
      </x:c>
      <x:c r="S254" s="75" t="str">
        <x:f>IF(OR(J254="",L254="",M254="",N254="",O254=""),"SOURCE EMPTY",IF(AND(OR(D254=4,D254=5,D254=8),K254=""),"SOURCE EMPTY",IF(R254&lt;&gt;"CLEAR","COLLISION",IF(P254&lt;&gt;"","ROLLBACK",IF(O254&lt;&gt;"ACCEPT","HOLD",IF(OR(D254=1,Q254="ACCEPTED"),"ACCEPTED","SEQUENCE HOLD"))))))</x:f>
        <x:v>SOURCE EMPTY</x:v>
      </x:c>
      <x:c r="T254" s="85" t="n">
        <x:f>IF(S254="ACCEPTED",H254*I254,0)</x:f>
        <x:v>0</x:v>
      </x:c>
      <x:c r="U254" s="75"/>
      <x:c r="V254" s="75"/>
      <x:c r="W254" s="75"/>
      <x:c r="X254" s="75"/>
      <x:c r="Y254" s="75"/>
      <x:c r="Z254" s="75"/>
    </x:row>
    <x:row r="255" ht="20" customHeight="1">
      <x:c r="A255" s="86" t="str">
        <x:v>MS-RT-A-OW-10</x:v>
      </x:c>
      <x:c r="B255" s="75" t="str">
        <x:v>MS-RT-A</x:v>
      </x:c>
      <x:c r="C255" s="75" t="str">
        <x:v>MS-RT</x:v>
      </x:c>
      <x:c r="D255" s="75" t="n">
        <x:v>10</x:v>
      </x:c>
      <x:c r="E255" s="75" t="str">
        <x:v>OW-10</x:v>
      </x:c>
      <x:c r="F255" s="86" t="str">
        <x:v>Operational Command</x:v>
      </x:c>
      <x:c r="G255" s="86" t="str">
        <x:v>Civil Resilience Authority</x:v>
      </x:c>
      <x:c r="H255" s="88" t="n">
        <x:v>0.05</x:v>
      </x:c>
      <x:c r="I255" s="85" t="n">
        <x:f>INDEX('Root Registry'!$G$6:$G$29,MATCH(B255,'Root Registry'!$A$6:$A$29,0))</x:f>
        <x:v>22.35</x:v>
      </x:c>
      <x:c r="J255" s="75" t="str">
        <x:f>INDEX('Root Registry'!$D$6:$D$29,MATCH(B255,'Root Registry'!$A$6:$A$29,0))</x:f>
      </x:c>
      <x:c r="K255" s="75" t="str">
        <x:f>INDEX('Root Registry'!$F$6:$F$29,MATCH(B255,'Root Registry'!$A$6:$A$29,0))</x:f>
      </x:c>
      <x:c r="L255" s="43" t="str"/>
      <x:c r="M255" s="43" t="str"/>
      <x:c r="N255" s="43" t="str"/>
      <x:c r="O255" s="43" t="str"/>
      <x:c r="P255" s="43" t="str"/>
      <x:c r="Q255" s="75" t="str">
        <x:f>S254</x:f>
        <x:v>SOURCE EMPTY</x:v>
      </x:c>
      <x:c r="R255" s="75" t="str">
        <x:f>IF(L255="","SOURCE EMPTY",IF(L255=J255,"ROOT COLLISION",IF(AND(M255&lt;&gt;"",M255=L255),"DUAL-KEY COLLISION","CLEAR")))</x:f>
        <x:v>SOURCE EMPTY</x:v>
      </x:c>
      <x:c r="S255" s="75" t="str">
        <x:f>IF(OR(J255="",L255="",M255="",N255="",O255=""),"SOURCE EMPTY",IF(AND(OR(D255=4,D255=5,D255=8),K255=""),"SOURCE EMPTY",IF(R255&lt;&gt;"CLEAR","COLLISION",IF(P255&lt;&gt;"","ROLLBACK",IF(O255&lt;&gt;"ACCEPT","HOLD",IF(OR(D255=1,Q255="ACCEPTED"),"ACCEPTED","SEQUENCE HOLD"))))))</x:f>
        <x:v>SOURCE EMPTY</x:v>
      </x:c>
      <x:c r="T255" s="85" t="n">
        <x:f>IF(S255="ACCEPTED",H255*I255,0)</x:f>
        <x:v>0</x:v>
      </x:c>
      <x:c r="U255" s="75"/>
      <x:c r="V255" s="75"/>
      <x:c r="W255" s="75"/>
      <x:c r="X255" s="75"/>
      <x:c r="Y255" s="75"/>
      <x:c r="Z255" s="75"/>
    </x:row>
    <x:row r="256" ht="20" customHeight="1">
      <x:c r="A256" s="86" t="str">
        <x:v>MS-RT-A-SW-11</x:v>
      </x:c>
      <x:c r="B256" s="75" t="str">
        <x:v>MS-RT-A</x:v>
      </x:c>
      <x:c r="C256" s="75" t="str">
        <x:v>MS-RT</x:v>
      </x:c>
      <x:c r="D256" s="75" t="n">
        <x:v>11</x:v>
      </x:c>
      <x:c r="E256" s="75" t="str">
        <x:v>SW-11</x:v>
      </x:c>
      <x:c r="F256" s="86" t="str">
        <x:v>Civil Resilience Authority</x:v>
      </x:c>
      <x:c r="G256" s="86" t="str">
        <x:v>Affected Civil Authority</x:v>
      </x:c>
      <x:c r="H256" s="88" t="n">
        <x:v>0.07</x:v>
      </x:c>
      <x:c r="I256" s="85" t="n">
        <x:f>INDEX('Root Registry'!$G$6:$G$29,MATCH(B256,'Root Registry'!$A$6:$A$29,0))</x:f>
        <x:v>22.35</x:v>
      </x:c>
      <x:c r="J256" s="75" t="str">
        <x:f>INDEX('Root Registry'!$D$6:$D$29,MATCH(B256,'Root Registry'!$A$6:$A$29,0))</x:f>
      </x:c>
      <x:c r="K256" s="75" t="str">
        <x:f>INDEX('Root Registry'!$F$6:$F$29,MATCH(B256,'Root Registry'!$A$6:$A$29,0))</x:f>
      </x:c>
      <x:c r="L256" s="43" t="str"/>
      <x:c r="M256" s="43" t="str"/>
      <x:c r="N256" s="43" t="str"/>
      <x:c r="O256" s="43" t="str"/>
      <x:c r="P256" s="43" t="str"/>
      <x:c r="Q256" s="75" t="str">
        <x:f>S255</x:f>
        <x:v>SOURCE EMPTY</x:v>
      </x:c>
      <x:c r="R256" s="75" t="str">
        <x:f>IF(L256="","SOURCE EMPTY",IF(L256=J256,"ROOT COLLISION",IF(AND(M256&lt;&gt;"",M256=L256),"DUAL-KEY COLLISION","CLEAR")))</x:f>
        <x:v>SOURCE EMPTY</x:v>
      </x:c>
      <x:c r="S256" s="75" t="str">
        <x:f>IF(OR(J256="",L256="",M256="",N256="",O256=""),"SOURCE EMPTY",IF(AND(OR(D256=4,D256=5,D256=8),K256=""),"SOURCE EMPTY",IF(R256&lt;&gt;"CLEAR","COLLISION",IF(P256&lt;&gt;"","ROLLBACK",IF(O256&lt;&gt;"ACCEPT","HOLD",IF(OR(D256=1,Q256="ACCEPTED"),"ACCEPTED","SEQUENCE HOLD"))))))</x:f>
        <x:v>SOURCE EMPTY</x:v>
      </x:c>
      <x:c r="T256" s="85" t="n">
        <x:f>IF(S256="ACCEPTED",H256*I256,0)</x:f>
        <x:v>0</x:v>
      </x:c>
      <x:c r="U256" s="75"/>
      <x:c r="V256" s="75"/>
      <x:c r="W256" s="75"/>
      <x:c r="X256" s="75"/>
      <x:c r="Y256" s="75"/>
      <x:c r="Z256" s="75"/>
    </x:row>
    <x:row r="257" ht="20" customHeight="1">
      <x:c r="A257" s="86" t="str">
        <x:v>MS-RT-A-GW-12</x:v>
      </x:c>
      <x:c r="B257" s="75" t="str">
        <x:v>MS-RT-A</x:v>
      </x:c>
      <x:c r="C257" s="75" t="str">
        <x:v>MS-RT</x:v>
      </x:c>
      <x:c r="D257" s="75" t="n">
        <x:v>12</x:v>
      </x:c>
      <x:c r="E257" s="75" t="str">
        <x:v>GW-12</x:v>
      </x:c>
      <x:c r="F257" s="86" t="str">
        <x:v>Strategic Sustainment Command</x:v>
      </x:c>
      <x:c r="G257" s="86" t="str">
        <x:v>Joint Capacity Authority</x:v>
      </x:c>
      <x:c r="H257" s="88" t="n">
        <x:v>0.05</x:v>
      </x:c>
      <x:c r="I257" s="85" t="n">
        <x:f>INDEX('Root Registry'!$G$6:$G$29,MATCH(B257,'Root Registry'!$A$6:$A$29,0))</x:f>
        <x:v>22.35</x:v>
      </x:c>
      <x:c r="J257" s="75" t="str">
        <x:f>INDEX('Root Registry'!$D$6:$D$29,MATCH(B257,'Root Registry'!$A$6:$A$29,0))</x:f>
      </x:c>
      <x:c r="K257" s="75" t="str">
        <x:f>INDEX('Root Registry'!$F$6:$F$29,MATCH(B257,'Root Registry'!$A$6:$A$29,0))</x:f>
      </x:c>
      <x:c r="L257" s="43" t="str"/>
      <x:c r="M257" s="43" t="str"/>
      <x:c r="N257" s="43" t="str"/>
      <x:c r="O257" s="43" t="str"/>
      <x:c r="P257" s="43" t="str"/>
      <x:c r="Q257" s="75" t="str">
        <x:f>S256</x:f>
        <x:v>SOURCE EMPTY</x:v>
      </x:c>
      <x:c r="R257" s="75" t="str">
        <x:f>IF(L257="","SOURCE EMPTY",IF(L257=J257,"ROOT COLLISION",IF(AND(M257&lt;&gt;"",M257=L257),"DUAL-KEY COLLISION","CLEAR")))</x:f>
        <x:v>SOURCE EMPTY</x:v>
      </x:c>
      <x:c r="S257" s="75" t="str">
        <x:f>IF(OR(J257="",L257="",M257="",N257="",O257=""),"SOURCE EMPTY",IF(AND(OR(D257=4,D257=5,D257=8),K257=""),"SOURCE EMPTY",IF(R257&lt;&gt;"CLEAR","COLLISION",IF(P257&lt;&gt;"","ROLLBACK",IF(O257&lt;&gt;"ACCEPT","HOLD",IF(OR(D257=1,Q257="ACCEPTED"),"ACCEPTED","SEQUENCE HOLD"))))))</x:f>
        <x:v>SOURCE EMPTY</x:v>
      </x:c>
      <x:c r="T257" s="85" t="n">
        <x:f>IF(S257="ACCEPTED",H257*I257,0)</x:f>
        <x:v>0</x:v>
      </x:c>
      <x:c r="U257" s="75"/>
      <x:c r="V257" s="75"/>
      <x:c r="W257" s="75"/>
      <x:c r="X257" s="75"/>
      <x:c r="Y257" s="75"/>
      <x:c r="Z257" s="75"/>
    </x:row>
    <x:row r="258" ht="20" customHeight="1">
      <x:c r="A258" s="86" t="str">
        <x:v>MS-RT-B-PW-01</x:v>
      </x:c>
      <x:c r="B258" s="75" t="str">
        <x:v>MS-RT-B</x:v>
      </x:c>
      <x:c r="C258" s="75" t="str">
        <x:v>MS-RT</x:v>
      </x:c>
      <x:c r="D258" s="75" t="n">
        <x:v>1</x:v>
      </x:c>
      <x:c r="E258" s="75" t="str">
        <x:v>PW-01</x:v>
      </x:c>
      <x:c r="F258" s="86" t="str">
        <x:v>Civil Resilience Authority</x:v>
      </x:c>
      <x:c r="G258" s="86" t="str">
        <x:v>Public Effect College</x:v>
      </x:c>
      <x:c r="H258" s="88" t="n">
        <x:v>0.01</x:v>
      </x:c>
      <x:c r="I258" s="85" t="n">
        <x:f>INDEX('Root Registry'!$G$6:$G$29,MATCH(B258,'Root Registry'!$A$6:$A$29,0))</x:f>
        <x:v>22.35</x:v>
      </x:c>
      <x:c r="J258" s="75" t="str">
        <x:f>INDEX('Root Registry'!$D$6:$D$29,MATCH(B258,'Root Registry'!$A$6:$A$29,0))</x:f>
      </x:c>
      <x:c r="K258" s="75" t="str">
        <x:f>INDEX('Root Registry'!$F$6:$F$29,MATCH(B258,'Root Registry'!$A$6:$A$29,0))</x:f>
      </x:c>
      <x:c r="L258" s="43" t="str"/>
      <x:c r="M258" s="43" t="str"/>
      <x:c r="N258" s="43" t="str"/>
      <x:c r="O258" s="43" t="str"/>
      <x:c r="P258" s="43" t="str"/>
      <x:c r="Q258" s="75" t="str">
        <x:f>"ORIGIN"</x:f>
        <x:v>ORIGIN</x:v>
      </x:c>
      <x:c r="R258" s="75" t="str">
        <x:f>IF(L258="","SOURCE EMPTY",IF(L258=J258,"ROOT COLLISION",IF(AND(M258&lt;&gt;"",M258=L258),"DUAL-KEY COLLISION","CLEAR")))</x:f>
        <x:v>SOURCE EMPTY</x:v>
      </x:c>
      <x:c r="S258" s="75" t="str">
        <x:f>IF(OR(J258="",L258="",M258="",N258="",O258=""),"SOURCE EMPTY",IF(AND(OR(D258=4,D258=5,D258=8),K258=""),"SOURCE EMPTY",IF(R258&lt;&gt;"CLEAR","COLLISION",IF(P258&lt;&gt;"","ROLLBACK",IF(O258&lt;&gt;"ACCEPT","HOLD",IF(OR(D258=1,Q258="ACCEPTED"),"ACCEPTED","SEQUENCE HOLD"))))))</x:f>
        <x:v>SOURCE EMPTY</x:v>
      </x:c>
      <x:c r="T258" s="85" t="n">
        <x:f>IF(S258="ACCEPTED",H258*I258,0)</x:f>
        <x:v>0</x:v>
      </x:c>
      <x:c r="U258" s="75"/>
      <x:c r="V258" s="75"/>
      <x:c r="W258" s="75"/>
      <x:c r="X258" s="75"/>
      <x:c r="Y258" s="75"/>
      <x:c r="Z258" s="75"/>
    </x:row>
    <x:row r="259" ht="20" customHeight="1">
      <x:c r="A259" s="86" t="str">
        <x:v>MS-RT-B-MW-02</x:v>
      </x:c>
      <x:c r="B259" s="75" t="str">
        <x:v>MS-RT-B</x:v>
      </x:c>
      <x:c r="C259" s="75" t="str">
        <x:v>MS-RT</x:v>
      </x:c>
      <x:c r="D259" s="75" t="n">
        <x:v>2</x:v>
      </x:c>
      <x:c r="E259" s="75" t="str">
        <x:v>MW-02</x:v>
      </x:c>
      <x:c r="F259" s="86" t="str">
        <x:v>Mission System Command</x:v>
      </x:c>
      <x:c r="G259" s="86" t="str">
        <x:v>Civil Resilience Authority</x:v>
      </x:c>
      <x:c r="H259" s="88" t="n">
        <x:v>0.02</x:v>
      </x:c>
      <x:c r="I259" s="85" t="n">
        <x:f>INDEX('Root Registry'!$G$6:$G$29,MATCH(B259,'Root Registry'!$A$6:$A$29,0))</x:f>
        <x:v>22.35</x:v>
      </x:c>
      <x:c r="J259" s="75" t="str">
        <x:f>INDEX('Root Registry'!$D$6:$D$29,MATCH(B259,'Root Registry'!$A$6:$A$29,0))</x:f>
      </x:c>
      <x:c r="K259" s="75" t="str">
        <x:f>INDEX('Root Registry'!$F$6:$F$29,MATCH(B259,'Root Registry'!$A$6:$A$29,0))</x:f>
      </x:c>
      <x:c r="L259" s="43" t="str"/>
      <x:c r="M259" s="43" t="str"/>
      <x:c r="N259" s="43" t="str"/>
      <x:c r="O259" s="43" t="str"/>
      <x:c r="P259" s="43" t="str"/>
      <x:c r="Q259" s="75" t="str">
        <x:f>S258</x:f>
        <x:v>SOURCE EMPTY</x:v>
      </x:c>
      <x:c r="R259" s="75" t="str">
        <x:f>IF(L259="","SOURCE EMPTY",IF(L259=J259,"ROOT COLLISION",IF(AND(M259&lt;&gt;"",M259=L259),"DUAL-KEY COLLISION","CLEAR")))</x:f>
        <x:v>SOURCE EMPTY</x:v>
      </x:c>
      <x:c r="S259" s="75" t="str">
        <x:f>IF(OR(J259="",L259="",M259="",N259="",O259=""),"SOURCE EMPTY",IF(AND(OR(D259=4,D259=5,D259=8),K259=""),"SOURCE EMPTY",IF(R259&lt;&gt;"CLEAR","COLLISION",IF(P259&lt;&gt;"","ROLLBACK",IF(O259&lt;&gt;"ACCEPT","HOLD",IF(OR(D259=1,Q259="ACCEPTED"),"ACCEPTED","SEQUENCE HOLD"))))))</x:f>
        <x:v>SOURCE EMPTY</x:v>
      </x:c>
      <x:c r="T259" s="85" t="n">
        <x:f>IF(S259="ACCEPTED",H259*I259,0)</x:f>
        <x:v>0</x:v>
      </x:c>
      <x:c r="U259" s="75"/>
      <x:c r="V259" s="75"/>
      <x:c r="W259" s="75"/>
      <x:c r="X259" s="75"/>
      <x:c r="Y259" s="75"/>
      <x:c r="Z259" s="75"/>
    </x:row>
    <x:row r="260" ht="20" customHeight="1">
      <x:c r="A260" s="86" t="str">
        <x:v>MS-RT-B-FW-03</x:v>
      </x:c>
      <x:c r="B260" s="75" t="str">
        <x:v>MS-RT-B</x:v>
      </x:c>
      <x:c r="C260" s="75" t="str">
        <x:v>MS-RT</x:v>
      </x:c>
      <x:c r="D260" s="75" t="n">
        <x:v>3</x:v>
      </x:c>
      <x:c r="E260" s="75" t="str">
        <x:v>FW-03</x:v>
      </x:c>
      <x:c r="F260" s="86" t="str">
        <x:v>Department Capital Board</x:v>
      </x:c>
      <x:c r="G260" s="86" t="str">
        <x:v>Failure Reserve Trustee</x:v>
      </x:c>
      <x:c r="H260" s="88" t="n">
        <x:v>0.05</x:v>
      </x:c>
      <x:c r="I260" s="85" t="n">
        <x:f>INDEX('Root Registry'!$G$6:$G$29,MATCH(B260,'Root Registry'!$A$6:$A$29,0))</x:f>
        <x:v>22.35</x:v>
      </x:c>
      <x:c r="J260" s="75" t="str">
        <x:f>INDEX('Root Registry'!$D$6:$D$29,MATCH(B260,'Root Registry'!$A$6:$A$29,0))</x:f>
      </x:c>
      <x:c r="K260" s="75" t="str">
        <x:f>INDEX('Root Registry'!$F$6:$F$29,MATCH(B260,'Root Registry'!$A$6:$A$29,0))</x:f>
      </x:c>
      <x:c r="L260" s="43" t="str"/>
      <x:c r="M260" s="43" t="str"/>
      <x:c r="N260" s="43" t="str"/>
      <x:c r="O260" s="43" t="str"/>
      <x:c r="P260" s="43" t="str"/>
      <x:c r="Q260" s="75" t="str">
        <x:f>S259</x:f>
        <x:v>SOURCE EMPTY</x:v>
      </x:c>
      <x:c r="R260" s="75" t="str">
        <x:f>IF(L260="","SOURCE EMPTY",IF(L260=J260,"ROOT COLLISION",IF(AND(M260&lt;&gt;"",M260=L260),"DUAL-KEY COLLISION","CLEAR")))</x:f>
        <x:v>SOURCE EMPTY</x:v>
      </x:c>
      <x:c r="S260" s="75" t="str">
        <x:f>IF(OR(J260="",L260="",M260="",N260="",O260=""),"SOURCE EMPTY",IF(AND(OR(D260=4,D260=5,D260=8),K260=""),"SOURCE EMPTY",IF(R260&lt;&gt;"CLEAR","COLLISION",IF(P260&lt;&gt;"","ROLLBACK",IF(O260&lt;&gt;"ACCEPT","HOLD",IF(OR(D260=1,Q260="ACCEPTED"),"ACCEPTED","SEQUENCE HOLD"))))))</x:f>
        <x:v>SOURCE EMPTY</x:v>
      </x:c>
      <x:c r="T260" s="85" t="n">
        <x:f>IF(S260="ACCEPTED",H260*I260,0)</x:f>
        <x:v>0</x:v>
      </x:c>
      <x:c r="U260" s="75"/>
      <x:c r="V260" s="75"/>
      <x:c r="W260" s="75"/>
      <x:c r="X260" s="75"/>
      <x:c r="Y260" s="75"/>
      <x:c r="Z260" s="75"/>
    </x:row>
    <x:row r="261" ht="20" customHeight="1">
      <x:c r="A261" s="86" t="str">
        <x:v>MS-RT-B-CW-04</x:v>
      </x:c>
      <x:c r="B261" s="75" t="str">
        <x:v>MS-RT-B</x:v>
      </x:c>
      <x:c r="C261" s="75" t="str">
        <x:v>MS-RT</x:v>
      </x:c>
      <x:c r="D261" s="75" t="n">
        <x:v>4</x:v>
      </x:c>
      <x:c r="E261" s="75" t="str">
        <x:v>CW-04</x:v>
      </x:c>
      <x:c r="F261" s="86" t="str">
        <x:v>Service Technical College</x:v>
      </x:c>
      <x:c r="G261" s="86" t="str">
        <x:v>Independent Root House</x:v>
      </x:c>
      <x:c r="H261" s="88" t="n">
        <x:v>0.12</x:v>
      </x:c>
      <x:c r="I261" s="85" t="n">
        <x:f>INDEX('Root Registry'!$G$6:$G$29,MATCH(B261,'Root Registry'!$A$6:$A$29,0))</x:f>
        <x:v>22.35</x:v>
      </x:c>
      <x:c r="J261" s="75" t="str">
        <x:f>INDEX('Root Registry'!$D$6:$D$29,MATCH(B261,'Root Registry'!$A$6:$A$29,0))</x:f>
      </x:c>
      <x:c r="K261" s="75" t="str">
        <x:f>INDEX('Root Registry'!$F$6:$F$29,MATCH(B261,'Root Registry'!$A$6:$A$29,0))</x:f>
      </x:c>
      <x:c r="L261" s="43" t="str"/>
      <x:c r="M261" s="43" t="str"/>
      <x:c r="N261" s="43" t="str"/>
      <x:c r="O261" s="43" t="str"/>
      <x:c r="P261" s="43" t="str"/>
      <x:c r="Q261" s="75" t="str">
        <x:f>S260</x:f>
        <x:v>SOURCE EMPTY</x:v>
      </x:c>
      <x:c r="R261" s="75" t="str">
        <x:f>IF(L261="","SOURCE EMPTY",IF(L261=J261,"ROOT COLLISION",IF(AND(M261&lt;&gt;"",M261=L261),"DUAL-KEY COLLISION","CLEAR")))</x:f>
        <x:v>SOURCE EMPTY</x:v>
      </x:c>
      <x:c r="S261" s="75" t="str">
        <x:f>IF(OR(J261="",L261="",M261="",N261="",O261=""),"SOURCE EMPTY",IF(AND(OR(D261=4,D261=5,D261=8),K261=""),"SOURCE EMPTY",IF(R261&lt;&gt;"CLEAR","COLLISION",IF(P261&lt;&gt;"","ROLLBACK",IF(O261&lt;&gt;"ACCEPT","HOLD",IF(OR(D261=1,Q261="ACCEPTED"),"ACCEPTED","SEQUENCE HOLD"))))))</x:f>
        <x:v>SOURCE EMPTY</x:v>
      </x:c>
      <x:c r="T261" s="85" t="n">
        <x:f>IF(S261="ACCEPTED",H261*I261,0)</x:f>
        <x:v>0</x:v>
      </x:c>
      <x:c r="U261" s="75"/>
      <x:c r="V261" s="75"/>
      <x:c r="W261" s="75"/>
      <x:c r="X261" s="75"/>
      <x:c r="Y261" s="75"/>
      <x:c r="Z261" s="75"/>
    </x:row>
    <x:row r="262" ht="20" customHeight="1">
      <x:c r="A262" s="86" t="str">
        <x:v>MS-RT-B-TW-05</x:v>
      </x:c>
      <x:c r="B262" s="75" t="str">
        <x:v>MS-RT-B</x:v>
      </x:c>
      <x:c r="C262" s="75" t="str">
        <x:v>MS-RT</x:v>
      </x:c>
      <x:c r="D262" s="75" t="n">
        <x:v>5</x:v>
      </x:c>
      <x:c r="E262" s="75" t="str">
        <x:v>TW-05</x:v>
      </x:c>
      <x:c r="F262" s="86" t="str">
        <x:v>Service Technical College</x:v>
      </x:c>
      <x:c r="G262" s="86" t="str">
        <x:v>Public Protection Inspectorate</x:v>
      </x:c>
      <x:c r="H262" s="88" t="n">
        <x:v>0.08</x:v>
      </x:c>
      <x:c r="I262" s="85" t="n">
        <x:f>INDEX('Root Registry'!$G$6:$G$29,MATCH(B262,'Root Registry'!$A$6:$A$29,0))</x:f>
        <x:v>22.35</x:v>
      </x:c>
      <x:c r="J262" s="75" t="str">
        <x:f>INDEX('Root Registry'!$D$6:$D$29,MATCH(B262,'Root Registry'!$A$6:$A$29,0))</x:f>
      </x:c>
      <x:c r="K262" s="75" t="str">
        <x:f>INDEX('Root Registry'!$F$6:$F$29,MATCH(B262,'Root Registry'!$A$6:$A$29,0))</x:f>
      </x:c>
      <x:c r="L262" s="43" t="str"/>
      <x:c r="M262" s="43" t="str"/>
      <x:c r="N262" s="43" t="str"/>
      <x:c r="O262" s="43" t="str"/>
      <x:c r="P262" s="43" t="str"/>
      <x:c r="Q262" s="75" t="str">
        <x:f>S261</x:f>
        <x:v>SOURCE EMPTY</x:v>
      </x:c>
      <x:c r="R262" s="75" t="str">
        <x:f>IF(L262="","SOURCE EMPTY",IF(L262=J262,"ROOT COLLISION",IF(AND(M262&lt;&gt;"",M262=L262),"DUAL-KEY COLLISION","CLEAR")))</x:f>
        <x:v>SOURCE EMPTY</x:v>
      </x:c>
      <x:c r="S262" s="75" t="str">
        <x:f>IF(OR(J262="",L262="",M262="",N262="",O262=""),"SOURCE EMPTY",IF(AND(OR(D262=4,D262=5,D262=8),K262=""),"SOURCE EMPTY",IF(R262&lt;&gt;"CLEAR","COLLISION",IF(P262&lt;&gt;"","ROLLBACK",IF(O262&lt;&gt;"ACCEPT","HOLD",IF(OR(D262=1,Q262="ACCEPTED"),"ACCEPTED","SEQUENCE HOLD"))))))</x:f>
        <x:v>SOURCE EMPTY</x:v>
      </x:c>
      <x:c r="T262" s="85" t="n">
        <x:f>IF(S262="ACCEPTED",H262*I262,0)</x:f>
        <x:v>0</x:v>
      </x:c>
      <x:c r="U262" s="75"/>
      <x:c r="V262" s="75"/>
      <x:c r="W262" s="75"/>
      <x:c r="X262" s="75"/>
      <x:c r="Y262" s="75"/>
      <x:c r="Z262" s="75"/>
    </x:row>
    <x:row r="263" ht="20" customHeight="1">
      <x:c r="A263" s="86" t="str">
        <x:v>MS-RT-B-EW-06</x:v>
      </x:c>
      <x:c r="B263" s="75" t="str">
        <x:v>MS-RT-B</x:v>
      </x:c>
      <x:c r="C263" s="75" t="str">
        <x:v>MS-RT</x:v>
      </x:c>
      <x:c r="D263" s="75" t="n">
        <x:v>6</x:v>
      </x:c>
      <x:c r="E263" s="75" t="str">
        <x:v>EW-06</x:v>
      </x:c>
      <x:c r="F263" s="86" t="str">
        <x:v>Resilience Proving Service</x:v>
      </x:c>
      <x:c r="G263" s="86" t="str">
        <x:v>Public Effect College</x:v>
      </x:c>
      <x:c r="H263" s="88" t="n">
        <x:v>0.2</x:v>
      </x:c>
      <x:c r="I263" s="85" t="n">
        <x:f>INDEX('Root Registry'!$G$6:$G$29,MATCH(B263,'Root Registry'!$A$6:$A$29,0))</x:f>
        <x:v>22.35</x:v>
      </x:c>
      <x:c r="J263" s="75" t="str">
        <x:f>INDEX('Root Registry'!$D$6:$D$29,MATCH(B263,'Root Registry'!$A$6:$A$29,0))</x:f>
      </x:c>
      <x:c r="K263" s="75" t="str">
        <x:f>INDEX('Root Registry'!$F$6:$F$29,MATCH(B263,'Root Registry'!$A$6:$A$29,0))</x:f>
      </x:c>
      <x:c r="L263" s="43" t="str"/>
      <x:c r="M263" s="43" t="str"/>
      <x:c r="N263" s="43" t="str"/>
      <x:c r="O263" s="43" t="str"/>
      <x:c r="P263" s="43" t="str"/>
      <x:c r="Q263" s="75" t="str">
        <x:f>S262</x:f>
        <x:v>SOURCE EMPTY</x:v>
      </x:c>
      <x:c r="R263" s="75" t="str">
        <x:f>IF(L263="","SOURCE EMPTY",IF(L263=J263,"ROOT COLLISION",IF(AND(M263&lt;&gt;"",M263=L263),"DUAL-KEY COLLISION","CLEAR")))</x:f>
        <x:v>SOURCE EMPTY</x:v>
      </x:c>
      <x:c r="S263" s="75" t="str">
        <x:f>IF(OR(J263="",L263="",M263="",N263="",O263=""),"SOURCE EMPTY",IF(AND(OR(D263=4,D263=5,D263=8),K263=""),"SOURCE EMPTY",IF(R263&lt;&gt;"CLEAR","COLLISION",IF(P263&lt;&gt;"","ROLLBACK",IF(O263&lt;&gt;"ACCEPT","HOLD",IF(OR(D263=1,Q263="ACCEPTED"),"ACCEPTED","SEQUENCE HOLD"))))))</x:f>
        <x:v>SOURCE EMPTY</x:v>
      </x:c>
      <x:c r="T263" s="85" t="n">
        <x:f>IF(S263="ACCEPTED",H263*I263,0)</x:f>
        <x:v>0</x:v>
      </x:c>
      <x:c r="U263" s="75"/>
      <x:c r="V263" s="75"/>
      <x:c r="W263" s="75"/>
      <x:c r="X263" s="75"/>
      <x:c r="Y263" s="75"/>
      <x:c r="Z263" s="75"/>
    </x:row>
    <x:row r="264" ht="20" customHeight="1">
      <x:c r="A264" s="86" t="str">
        <x:v>MS-RT-B-IW-07</x:v>
      </x:c>
      <x:c r="B264" s="75" t="str">
        <x:v>MS-RT-B</x:v>
      </x:c>
      <x:c r="C264" s="75" t="str">
        <x:v>MS-RT</x:v>
      </x:c>
      <x:c r="D264" s="75" t="n">
        <x:v>7</x:v>
      </x:c>
      <x:c r="E264" s="75" t="str">
        <x:v>IW-07</x:v>
      </x:c>
      <x:c r="F264" s="86" t="str">
        <x:v>Industrial Mobilization Administration</x:v>
      </x:c>
      <x:c r="G264" s="86" t="str">
        <x:v>Reconstruction Command</x:v>
      </x:c>
      <x:c r="H264" s="88" t="n">
        <x:v>0.15</x:v>
      </x:c>
      <x:c r="I264" s="85" t="n">
        <x:f>INDEX('Root Registry'!$G$6:$G$29,MATCH(B264,'Root Registry'!$A$6:$A$29,0))</x:f>
        <x:v>22.35</x:v>
      </x:c>
      <x:c r="J264" s="75" t="str">
        <x:f>INDEX('Root Registry'!$D$6:$D$29,MATCH(B264,'Root Registry'!$A$6:$A$29,0))</x:f>
      </x:c>
      <x:c r="K264" s="75" t="str">
        <x:f>INDEX('Root Registry'!$F$6:$F$29,MATCH(B264,'Root Registry'!$A$6:$A$29,0))</x:f>
      </x:c>
      <x:c r="L264" s="43" t="str"/>
      <x:c r="M264" s="43" t="str"/>
      <x:c r="N264" s="43" t="str"/>
      <x:c r="O264" s="43" t="str"/>
      <x:c r="P264" s="43" t="str"/>
      <x:c r="Q264" s="75" t="str">
        <x:f>S263</x:f>
        <x:v>SOURCE EMPTY</x:v>
      </x:c>
      <x:c r="R264" s="75" t="str">
        <x:f>IF(L264="","SOURCE EMPTY",IF(L264=J264,"ROOT COLLISION",IF(AND(M264&lt;&gt;"",M264=L264),"DUAL-KEY COLLISION","CLEAR")))</x:f>
        <x:v>SOURCE EMPTY</x:v>
      </x:c>
      <x:c r="S264" s="75" t="str">
        <x:f>IF(OR(J264="",L264="",M264="",N264="",O264=""),"SOURCE EMPTY",IF(AND(OR(D264=4,D264=5,D264=8),K264=""),"SOURCE EMPTY",IF(R264&lt;&gt;"CLEAR","COLLISION",IF(P264&lt;&gt;"","ROLLBACK",IF(O264&lt;&gt;"ACCEPT","HOLD",IF(OR(D264=1,Q264="ACCEPTED"),"ACCEPTED","SEQUENCE HOLD"))))))</x:f>
        <x:v>SOURCE EMPTY</x:v>
      </x:c>
      <x:c r="T264" s="85" t="n">
        <x:f>IF(S264="ACCEPTED",H264*I264,0)</x:f>
        <x:v>0</x:v>
      </x:c>
      <x:c r="U264" s="75"/>
      <x:c r="V264" s="75"/>
      <x:c r="W264" s="75"/>
      <x:c r="X264" s="75"/>
      <x:c r="Y264" s="75"/>
      <x:c r="Z264" s="75"/>
    </x:row>
    <x:row r="265" ht="20" customHeight="1">
      <x:c r="A265" s="86" t="str">
        <x:v>MS-RT-B-CW-08</x:v>
      </x:c>
      <x:c r="B265" s="75" t="str">
        <x:v>MS-RT-B</x:v>
      </x:c>
      <x:c r="C265" s="75" t="str">
        <x:v>MS-RT</x:v>
      </x:c>
      <x:c r="D265" s="75" t="n">
        <x:v>8</x:v>
      </x:c>
      <x:c r="E265" s="75" t="str">
        <x:v>CW-08</x:v>
      </x:c>
      <x:c r="F265" s="86" t="str">
        <x:v>Operating Services</x:v>
      </x:c>
      <x:c r="G265" s="86" t="str">
        <x:v>Joint Capacity Authority</x:v>
      </x:c>
      <x:c r="H265" s="88" t="n">
        <x:v>0.12</x:v>
      </x:c>
      <x:c r="I265" s="85" t="n">
        <x:f>INDEX('Root Registry'!$G$6:$G$29,MATCH(B265,'Root Registry'!$A$6:$A$29,0))</x:f>
        <x:v>22.35</x:v>
      </x:c>
      <x:c r="J265" s="75" t="str">
        <x:f>INDEX('Root Registry'!$D$6:$D$29,MATCH(B265,'Root Registry'!$A$6:$A$29,0))</x:f>
      </x:c>
      <x:c r="K265" s="75" t="str">
        <x:f>INDEX('Root Registry'!$F$6:$F$29,MATCH(B265,'Root Registry'!$A$6:$A$29,0))</x:f>
      </x:c>
      <x:c r="L265" s="43" t="str"/>
      <x:c r="M265" s="43" t="str"/>
      <x:c r="N265" s="43" t="str"/>
      <x:c r="O265" s="43" t="str"/>
      <x:c r="P265" s="43" t="str"/>
      <x:c r="Q265" s="75" t="str">
        <x:f>S264</x:f>
        <x:v>SOURCE EMPTY</x:v>
      </x:c>
      <x:c r="R265" s="75" t="str">
        <x:f>IF(L265="","SOURCE EMPTY",IF(L265=J265,"ROOT COLLISION",IF(AND(M265&lt;&gt;"",M265=L265),"DUAL-KEY COLLISION","CLEAR")))</x:f>
        <x:v>SOURCE EMPTY</x:v>
      </x:c>
      <x:c r="S265" s="75" t="str">
        <x:f>IF(OR(J265="",L265="",M265="",N265="",O265=""),"SOURCE EMPTY",IF(AND(OR(D265=4,D265=5,D265=8),K265=""),"SOURCE EMPTY",IF(R265&lt;&gt;"CLEAR","COLLISION",IF(P265&lt;&gt;"","ROLLBACK",IF(O265&lt;&gt;"ACCEPT","HOLD",IF(OR(D265=1,Q265="ACCEPTED"),"ACCEPTED","SEQUENCE HOLD"))))))</x:f>
        <x:v>SOURCE EMPTY</x:v>
      </x:c>
      <x:c r="T265" s="85" t="n">
        <x:f>IF(S265="ACCEPTED",H265*I265,0)</x:f>
        <x:v>0</x:v>
      </x:c>
      <x:c r="U265" s="75"/>
      <x:c r="V265" s="75"/>
      <x:c r="W265" s="75"/>
      <x:c r="X265" s="75"/>
      <x:c r="Y265" s="75"/>
      <x:c r="Z265" s="75"/>
    </x:row>
    <x:row r="266" ht="20" customHeight="1">
      <x:c r="A266" s="86" t="str">
        <x:v>MS-RT-B-RW-09</x:v>
      </x:c>
      <x:c r="B266" s="75" t="str">
        <x:v>MS-RT-B</x:v>
      </x:c>
      <x:c r="C266" s="75" t="str">
        <x:v>MS-RT</x:v>
      </x:c>
      <x:c r="D266" s="75" t="n">
        <x:v>9</x:v>
      </x:c>
      <x:c r="E266" s="75" t="str">
        <x:v>RW-09</x:v>
      </x:c>
      <x:c r="F266" s="86" t="str">
        <x:v>Joint Capacity Authority</x:v>
      </x:c>
      <x:c r="G266" s="86" t="str">
        <x:v>Department Comptroller</x:v>
      </x:c>
      <x:c r="H266" s="88" t="n">
        <x:v>0.08</x:v>
      </x:c>
      <x:c r="I266" s="85" t="n">
        <x:f>INDEX('Root Registry'!$G$6:$G$29,MATCH(B266,'Root Registry'!$A$6:$A$29,0))</x:f>
        <x:v>22.35</x:v>
      </x:c>
      <x:c r="J266" s="75" t="str">
        <x:f>INDEX('Root Registry'!$D$6:$D$29,MATCH(B266,'Root Registry'!$A$6:$A$29,0))</x:f>
      </x:c>
      <x:c r="K266" s="75" t="str">
        <x:f>INDEX('Root Registry'!$F$6:$F$29,MATCH(B266,'Root Registry'!$A$6:$A$29,0))</x:f>
      </x:c>
      <x:c r="L266" s="43" t="str"/>
      <x:c r="M266" s="43" t="str"/>
      <x:c r="N266" s="43" t="str"/>
      <x:c r="O266" s="43" t="str"/>
      <x:c r="P266" s="43" t="str"/>
      <x:c r="Q266" s="75" t="str">
        <x:f>S265</x:f>
        <x:v>SOURCE EMPTY</x:v>
      </x:c>
      <x:c r="R266" s="75" t="str">
        <x:f>IF(L266="","SOURCE EMPTY",IF(L266=J266,"ROOT COLLISION",IF(AND(M266&lt;&gt;"",M266=L266),"DUAL-KEY COLLISION","CLEAR")))</x:f>
        <x:v>SOURCE EMPTY</x:v>
      </x:c>
      <x:c r="S266" s="75" t="str">
        <x:f>IF(OR(J266="",L266="",M266="",N266="",O266=""),"SOURCE EMPTY",IF(AND(OR(D266=4,D266=5,D266=8),K266=""),"SOURCE EMPTY",IF(R266&lt;&gt;"CLEAR","COLLISION",IF(P266&lt;&gt;"","ROLLBACK",IF(O266&lt;&gt;"ACCEPT","HOLD",IF(OR(D266=1,Q266="ACCEPTED"),"ACCEPTED","SEQUENCE HOLD"))))))</x:f>
        <x:v>SOURCE EMPTY</x:v>
      </x:c>
      <x:c r="T266" s="85" t="n">
        <x:f>IF(S266="ACCEPTED",H266*I266,0)</x:f>
        <x:v>0</x:v>
      </x:c>
      <x:c r="U266" s="75"/>
      <x:c r="V266" s="75"/>
      <x:c r="W266" s="75"/>
      <x:c r="X266" s="75"/>
      <x:c r="Y266" s="75"/>
      <x:c r="Z266" s="75"/>
    </x:row>
    <x:row r="267" ht="20" customHeight="1">
      <x:c r="A267" s="86" t="str">
        <x:v>MS-RT-B-OW-10</x:v>
      </x:c>
      <x:c r="B267" s="75" t="str">
        <x:v>MS-RT-B</x:v>
      </x:c>
      <x:c r="C267" s="75" t="str">
        <x:v>MS-RT</x:v>
      </x:c>
      <x:c r="D267" s="75" t="n">
        <x:v>10</x:v>
      </x:c>
      <x:c r="E267" s="75" t="str">
        <x:v>OW-10</x:v>
      </x:c>
      <x:c r="F267" s="86" t="str">
        <x:v>Operational Command</x:v>
      </x:c>
      <x:c r="G267" s="86" t="str">
        <x:v>Civil Resilience Authority</x:v>
      </x:c>
      <x:c r="H267" s="88" t="n">
        <x:v>0.05</x:v>
      </x:c>
      <x:c r="I267" s="85" t="n">
        <x:f>INDEX('Root Registry'!$G$6:$G$29,MATCH(B267,'Root Registry'!$A$6:$A$29,0))</x:f>
        <x:v>22.35</x:v>
      </x:c>
      <x:c r="J267" s="75" t="str">
        <x:f>INDEX('Root Registry'!$D$6:$D$29,MATCH(B267,'Root Registry'!$A$6:$A$29,0))</x:f>
      </x:c>
      <x:c r="K267" s="75" t="str">
        <x:f>INDEX('Root Registry'!$F$6:$F$29,MATCH(B267,'Root Registry'!$A$6:$A$29,0))</x:f>
      </x:c>
      <x:c r="L267" s="43" t="str"/>
      <x:c r="M267" s="43" t="str"/>
      <x:c r="N267" s="43" t="str"/>
      <x:c r="O267" s="43" t="str"/>
      <x:c r="P267" s="43" t="str"/>
      <x:c r="Q267" s="75" t="str">
        <x:f>S266</x:f>
        <x:v>SOURCE EMPTY</x:v>
      </x:c>
      <x:c r="R267" s="75" t="str">
        <x:f>IF(L267="","SOURCE EMPTY",IF(L267=J267,"ROOT COLLISION",IF(AND(M267&lt;&gt;"",M267=L267),"DUAL-KEY COLLISION","CLEAR")))</x:f>
        <x:v>SOURCE EMPTY</x:v>
      </x:c>
      <x:c r="S267" s="75" t="str">
        <x:f>IF(OR(J267="",L267="",M267="",N267="",O267=""),"SOURCE EMPTY",IF(AND(OR(D267=4,D267=5,D267=8),K267=""),"SOURCE EMPTY",IF(R267&lt;&gt;"CLEAR","COLLISION",IF(P267&lt;&gt;"","ROLLBACK",IF(O267&lt;&gt;"ACCEPT","HOLD",IF(OR(D267=1,Q267="ACCEPTED"),"ACCEPTED","SEQUENCE HOLD"))))))</x:f>
        <x:v>SOURCE EMPTY</x:v>
      </x:c>
      <x:c r="T267" s="85" t="n">
        <x:f>IF(S267="ACCEPTED",H267*I267,0)</x:f>
        <x:v>0</x:v>
      </x:c>
      <x:c r="U267" s="75"/>
      <x:c r="V267" s="75"/>
      <x:c r="W267" s="75"/>
      <x:c r="X267" s="75"/>
      <x:c r="Y267" s="75"/>
      <x:c r="Z267" s="75"/>
    </x:row>
    <x:row r="268" ht="20" customHeight="1">
      <x:c r="A268" s="86" t="str">
        <x:v>MS-RT-B-SW-11</x:v>
      </x:c>
      <x:c r="B268" s="75" t="str">
        <x:v>MS-RT-B</x:v>
      </x:c>
      <x:c r="C268" s="75" t="str">
        <x:v>MS-RT</x:v>
      </x:c>
      <x:c r="D268" s="75" t="n">
        <x:v>11</x:v>
      </x:c>
      <x:c r="E268" s="75" t="str">
        <x:v>SW-11</x:v>
      </x:c>
      <x:c r="F268" s="86" t="str">
        <x:v>Civil Resilience Authority</x:v>
      </x:c>
      <x:c r="G268" s="86" t="str">
        <x:v>Affected Civil Authority</x:v>
      </x:c>
      <x:c r="H268" s="88" t="n">
        <x:v>0.07</x:v>
      </x:c>
      <x:c r="I268" s="85" t="n">
        <x:f>INDEX('Root Registry'!$G$6:$G$29,MATCH(B268,'Root Registry'!$A$6:$A$29,0))</x:f>
        <x:v>22.35</x:v>
      </x:c>
      <x:c r="J268" s="75" t="str">
        <x:f>INDEX('Root Registry'!$D$6:$D$29,MATCH(B268,'Root Registry'!$A$6:$A$29,0))</x:f>
      </x:c>
      <x:c r="K268" s="75" t="str">
        <x:f>INDEX('Root Registry'!$F$6:$F$29,MATCH(B268,'Root Registry'!$A$6:$A$29,0))</x:f>
      </x:c>
      <x:c r="L268" s="43" t="str"/>
      <x:c r="M268" s="43" t="str"/>
      <x:c r="N268" s="43" t="str"/>
      <x:c r="O268" s="43" t="str"/>
      <x:c r="P268" s="43" t="str"/>
      <x:c r="Q268" s="75" t="str">
        <x:f>S267</x:f>
        <x:v>SOURCE EMPTY</x:v>
      </x:c>
      <x:c r="R268" s="75" t="str">
        <x:f>IF(L268="","SOURCE EMPTY",IF(L268=J268,"ROOT COLLISION",IF(AND(M268&lt;&gt;"",M268=L268),"DUAL-KEY COLLISION","CLEAR")))</x:f>
        <x:v>SOURCE EMPTY</x:v>
      </x:c>
      <x:c r="S268" s="75" t="str">
        <x:f>IF(OR(J268="",L268="",M268="",N268="",O268=""),"SOURCE EMPTY",IF(AND(OR(D268=4,D268=5,D268=8),K268=""),"SOURCE EMPTY",IF(R268&lt;&gt;"CLEAR","COLLISION",IF(P268&lt;&gt;"","ROLLBACK",IF(O268&lt;&gt;"ACCEPT","HOLD",IF(OR(D268=1,Q268="ACCEPTED"),"ACCEPTED","SEQUENCE HOLD"))))))</x:f>
        <x:v>SOURCE EMPTY</x:v>
      </x:c>
      <x:c r="T268" s="85" t="n">
        <x:f>IF(S268="ACCEPTED",H268*I268,0)</x:f>
        <x:v>0</x:v>
      </x:c>
      <x:c r="U268" s="75"/>
      <x:c r="V268" s="75"/>
      <x:c r="W268" s="75"/>
      <x:c r="X268" s="75"/>
      <x:c r="Y268" s="75"/>
      <x:c r="Z268" s="75"/>
    </x:row>
    <x:row r="269" ht="20" customHeight="1">
      <x:c r="A269" s="86" t="str">
        <x:v>MS-RT-B-GW-12</x:v>
      </x:c>
      <x:c r="B269" s="75" t="str">
        <x:v>MS-RT-B</x:v>
      </x:c>
      <x:c r="C269" s="75" t="str">
        <x:v>MS-RT</x:v>
      </x:c>
      <x:c r="D269" s="75" t="n">
        <x:v>12</x:v>
      </x:c>
      <x:c r="E269" s="75" t="str">
        <x:v>GW-12</x:v>
      </x:c>
      <x:c r="F269" s="86" t="str">
        <x:v>Strategic Sustainment Command</x:v>
      </x:c>
      <x:c r="G269" s="86" t="str">
        <x:v>Joint Capacity Authority</x:v>
      </x:c>
      <x:c r="H269" s="88" t="n">
        <x:v>0.05</x:v>
      </x:c>
      <x:c r="I269" s="85" t="n">
        <x:f>INDEX('Root Registry'!$G$6:$G$29,MATCH(B269,'Root Registry'!$A$6:$A$29,0))</x:f>
        <x:v>22.35</x:v>
      </x:c>
      <x:c r="J269" s="75" t="str">
        <x:f>INDEX('Root Registry'!$D$6:$D$29,MATCH(B269,'Root Registry'!$A$6:$A$29,0))</x:f>
      </x:c>
      <x:c r="K269" s="75" t="str">
        <x:f>INDEX('Root Registry'!$F$6:$F$29,MATCH(B269,'Root Registry'!$A$6:$A$29,0))</x:f>
      </x:c>
      <x:c r="L269" s="43" t="str"/>
      <x:c r="M269" s="43" t="str"/>
      <x:c r="N269" s="43" t="str"/>
      <x:c r="O269" s="43" t="str"/>
      <x:c r="P269" s="43" t="str"/>
      <x:c r="Q269" s="75" t="str">
        <x:f>S268</x:f>
        <x:v>SOURCE EMPTY</x:v>
      </x:c>
      <x:c r="R269" s="75" t="str">
        <x:f>IF(L269="","SOURCE EMPTY",IF(L269=J269,"ROOT COLLISION",IF(AND(M269&lt;&gt;"",M269=L269),"DUAL-KEY COLLISION","CLEAR")))</x:f>
        <x:v>SOURCE EMPTY</x:v>
      </x:c>
      <x:c r="S269" s="75" t="str">
        <x:f>IF(OR(J269="",L269="",M269="",N269="",O269=""),"SOURCE EMPTY",IF(AND(OR(D269=4,D269=5,D269=8),K269=""),"SOURCE EMPTY",IF(R269&lt;&gt;"CLEAR","COLLISION",IF(P269&lt;&gt;"","ROLLBACK",IF(O269&lt;&gt;"ACCEPT","HOLD",IF(OR(D269=1,Q269="ACCEPTED"),"ACCEPTED","SEQUENCE HOLD"))))))</x:f>
        <x:v>SOURCE EMPTY</x:v>
      </x:c>
      <x:c r="T269" s="85" t="n">
        <x:f>IF(S269="ACCEPTED",H269*I269,0)</x:f>
        <x:v>0</x:v>
      </x:c>
      <x:c r="U269" s="75"/>
      <x:c r="V269" s="75"/>
      <x:c r="W269" s="75"/>
      <x:c r="X269" s="75"/>
      <x:c r="Y269" s="75"/>
      <x:c r="Z269" s="75"/>
    </x:row>
    <x:row r="270" ht="20" customHeight="1">
      <x:c r="A270" s="86" t="str">
        <x:v>MS-RT-C-PW-01</x:v>
      </x:c>
      <x:c r="B270" s="75" t="str">
        <x:v>MS-RT-C</x:v>
      </x:c>
      <x:c r="C270" s="75" t="str">
        <x:v>MS-RT</x:v>
      </x:c>
      <x:c r="D270" s="75" t="n">
        <x:v>1</x:v>
      </x:c>
      <x:c r="E270" s="75" t="str">
        <x:v>PW-01</x:v>
      </x:c>
      <x:c r="F270" s="86" t="str">
        <x:v>Civil Resilience Authority</x:v>
      </x:c>
      <x:c r="G270" s="86" t="str">
        <x:v>Public Effect College</x:v>
      </x:c>
      <x:c r="H270" s="88" t="n">
        <x:v>0.01</x:v>
      </x:c>
      <x:c r="I270" s="85" t="n">
        <x:f>INDEX('Root Registry'!$G$6:$G$29,MATCH(B270,'Root Registry'!$A$6:$A$29,0))</x:f>
        <x:v>22.35</x:v>
      </x:c>
      <x:c r="J270" s="75" t="str">
        <x:f>INDEX('Root Registry'!$D$6:$D$29,MATCH(B270,'Root Registry'!$A$6:$A$29,0))</x:f>
      </x:c>
      <x:c r="K270" s="75" t="str">
        <x:f>INDEX('Root Registry'!$F$6:$F$29,MATCH(B270,'Root Registry'!$A$6:$A$29,0))</x:f>
      </x:c>
      <x:c r="L270" s="43" t="str"/>
      <x:c r="M270" s="43" t="str"/>
      <x:c r="N270" s="43" t="str"/>
      <x:c r="O270" s="43" t="str"/>
      <x:c r="P270" s="43" t="str"/>
      <x:c r="Q270" s="75" t="str">
        <x:f>"ORIGIN"</x:f>
        <x:v>ORIGIN</x:v>
      </x:c>
      <x:c r="R270" s="75" t="str">
        <x:f>IF(L270="","SOURCE EMPTY",IF(L270=J270,"ROOT COLLISION",IF(AND(M270&lt;&gt;"",M270=L270),"DUAL-KEY COLLISION","CLEAR")))</x:f>
        <x:v>SOURCE EMPTY</x:v>
      </x:c>
      <x:c r="S270" s="75" t="str">
        <x:f>IF(OR(J270="",L270="",M270="",N270="",O270=""),"SOURCE EMPTY",IF(AND(OR(D270=4,D270=5,D270=8),K270=""),"SOURCE EMPTY",IF(R270&lt;&gt;"CLEAR","COLLISION",IF(P270&lt;&gt;"","ROLLBACK",IF(O270&lt;&gt;"ACCEPT","HOLD",IF(OR(D270=1,Q270="ACCEPTED"),"ACCEPTED","SEQUENCE HOLD"))))))</x:f>
        <x:v>SOURCE EMPTY</x:v>
      </x:c>
      <x:c r="T270" s="85" t="n">
        <x:f>IF(S270="ACCEPTED",H270*I270,0)</x:f>
        <x:v>0</x:v>
      </x:c>
      <x:c r="U270" s="75"/>
      <x:c r="V270" s="75"/>
      <x:c r="W270" s="75"/>
      <x:c r="X270" s="75"/>
      <x:c r="Y270" s="75"/>
      <x:c r="Z270" s="75"/>
    </x:row>
    <x:row r="271" ht="20" customHeight="1">
      <x:c r="A271" s="86" t="str">
        <x:v>MS-RT-C-MW-02</x:v>
      </x:c>
      <x:c r="B271" s="75" t="str">
        <x:v>MS-RT-C</x:v>
      </x:c>
      <x:c r="C271" s="75" t="str">
        <x:v>MS-RT</x:v>
      </x:c>
      <x:c r="D271" s="75" t="n">
        <x:v>2</x:v>
      </x:c>
      <x:c r="E271" s="75" t="str">
        <x:v>MW-02</x:v>
      </x:c>
      <x:c r="F271" s="86" t="str">
        <x:v>Mission System Command</x:v>
      </x:c>
      <x:c r="G271" s="86" t="str">
        <x:v>Civil Resilience Authority</x:v>
      </x:c>
      <x:c r="H271" s="88" t="n">
        <x:v>0.02</x:v>
      </x:c>
      <x:c r="I271" s="85" t="n">
        <x:f>INDEX('Root Registry'!$G$6:$G$29,MATCH(B271,'Root Registry'!$A$6:$A$29,0))</x:f>
        <x:v>22.35</x:v>
      </x:c>
      <x:c r="J271" s="75" t="str">
        <x:f>INDEX('Root Registry'!$D$6:$D$29,MATCH(B271,'Root Registry'!$A$6:$A$29,0))</x:f>
      </x:c>
      <x:c r="K271" s="75" t="str">
        <x:f>INDEX('Root Registry'!$F$6:$F$29,MATCH(B271,'Root Registry'!$A$6:$A$29,0))</x:f>
      </x:c>
      <x:c r="L271" s="43" t="str"/>
      <x:c r="M271" s="43" t="str"/>
      <x:c r="N271" s="43" t="str"/>
      <x:c r="O271" s="43" t="str"/>
      <x:c r="P271" s="43" t="str"/>
      <x:c r="Q271" s="75" t="str">
        <x:f>S270</x:f>
        <x:v>SOURCE EMPTY</x:v>
      </x:c>
      <x:c r="R271" s="75" t="str">
        <x:f>IF(L271="","SOURCE EMPTY",IF(L271=J271,"ROOT COLLISION",IF(AND(M271&lt;&gt;"",M271=L271),"DUAL-KEY COLLISION","CLEAR")))</x:f>
        <x:v>SOURCE EMPTY</x:v>
      </x:c>
      <x:c r="S271" s="75" t="str">
        <x:f>IF(OR(J271="",L271="",M271="",N271="",O271=""),"SOURCE EMPTY",IF(AND(OR(D271=4,D271=5,D271=8),K271=""),"SOURCE EMPTY",IF(R271&lt;&gt;"CLEAR","COLLISION",IF(P271&lt;&gt;"","ROLLBACK",IF(O271&lt;&gt;"ACCEPT","HOLD",IF(OR(D271=1,Q271="ACCEPTED"),"ACCEPTED","SEQUENCE HOLD"))))))</x:f>
        <x:v>SOURCE EMPTY</x:v>
      </x:c>
      <x:c r="T271" s="85" t="n">
        <x:f>IF(S271="ACCEPTED",H271*I271,0)</x:f>
        <x:v>0</x:v>
      </x:c>
      <x:c r="U271" s="75"/>
      <x:c r="V271" s="75"/>
      <x:c r="W271" s="75"/>
      <x:c r="X271" s="75"/>
      <x:c r="Y271" s="75"/>
      <x:c r="Z271" s="75"/>
    </x:row>
    <x:row r="272" ht="20" customHeight="1">
      <x:c r="A272" s="86" t="str">
        <x:v>MS-RT-C-FW-03</x:v>
      </x:c>
      <x:c r="B272" s="75" t="str">
        <x:v>MS-RT-C</x:v>
      </x:c>
      <x:c r="C272" s="75" t="str">
        <x:v>MS-RT</x:v>
      </x:c>
      <x:c r="D272" s="75" t="n">
        <x:v>3</x:v>
      </x:c>
      <x:c r="E272" s="75" t="str">
        <x:v>FW-03</x:v>
      </x:c>
      <x:c r="F272" s="86" t="str">
        <x:v>Department Capital Board</x:v>
      </x:c>
      <x:c r="G272" s="86" t="str">
        <x:v>Failure Reserve Trustee</x:v>
      </x:c>
      <x:c r="H272" s="88" t="n">
        <x:v>0.05</x:v>
      </x:c>
      <x:c r="I272" s="85" t="n">
        <x:f>INDEX('Root Registry'!$G$6:$G$29,MATCH(B272,'Root Registry'!$A$6:$A$29,0))</x:f>
        <x:v>22.35</x:v>
      </x:c>
      <x:c r="J272" s="75" t="str">
        <x:f>INDEX('Root Registry'!$D$6:$D$29,MATCH(B272,'Root Registry'!$A$6:$A$29,0))</x:f>
      </x:c>
      <x:c r="K272" s="75" t="str">
        <x:f>INDEX('Root Registry'!$F$6:$F$29,MATCH(B272,'Root Registry'!$A$6:$A$29,0))</x:f>
      </x:c>
      <x:c r="L272" s="43" t="str"/>
      <x:c r="M272" s="43" t="str"/>
      <x:c r="N272" s="43" t="str"/>
      <x:c r="O272" s="43" t="str"/>
      <x:c r="P272" s="43" t="str"/>
      <x:c r="Q272" s="75" t="str">
        <x:f>S271</x:f>
        <x:v>SOURCE EMPTY</x:v>
      </x:c>
      <x:c r="R272" s="75" t="str">
        <x:f>IF(L272="","SOURCE EMPTY",IF(L272=J272,"ROOT COLLISION",IF(AND(M272&lt;&gt;"",M272=L272),"DUAL-KEY COLLISION","CLEAR")))</x:f>
        <x:v>SOURCE EMPTY</x:v>
      </x:c>
      <x:c r="S272" s="75" t="str">
        <x:f>IF(OR(J272="",L272="",M272="",N272="",O272=""),"SOURCE EMPTY",IF(AND(OR(D272=4,D272=5,D272=8),K272=""),"SOURCE EMPTY",IF(R272&lt;&gt;"CLEAR","COLLISION",IF(P272&lt;&gt;"","ROLLBACK",IF(O272&lt;&gt;"ACCEPT","HOLD",IF(OR(D272=1,Q272="ACCEPTED"),"ACCEPTED","SEQUENCE HOLD"))))))</x:f>
        <x:v>SOURCE EMPTY</x:v>
      </x:c>
      <x:c r="T272" s="85" t="n">
        <x:f>IF(S272="ACCEPTED",H272*I272,0)</x:f>
        <x:v>0</x:v>
      </x:c>
      <x:c r="U272" s="75"/>
      <x:c r="V272" s="75"/>
      <x:c r="W272" s="75"/>
      <x:c r="X272" s="75"/>
      <x:c r="Y272" s="75"/>
      <x:c r="Z272" s="75"/>
    </x:row>
    <x:row r="273" ht="20" customHeight="1">
      <x:c r="A273" s="86" t="str">
        <x:v>MS-RT-C-CW-04</x:v>
      </x:c>
      <x:c r="B273" s="75" t="str">
        <x:v>MS-RT-C</x:v>
      </x:c>
      <x:c r="C273" s="75" t="str">
        <x:v>MS-RT</x:v>
      </x:c>
      <x:c r="D273" s="75" t="n">
        <x:v>4</x:v>
      </x:c>
      <x:c r="E273" s="75" t="str">
        <x:v>CW-04</x:v>
      </x:c>
      <x:c r="F273" s="86" t="str">
        <x:v>Service Technical College</x:v>
      </x:c>
      <x:c r="G273" s="86" t="str">
        <x:v>Independent Root House</x:v>
      </x:c>
      <x:c r="H273" s="88" t="n">
        <x:v>0.12</x:v>
      </x:c>
      <x:c r="I273" s="85" t="n">
        <x:f>INDEX('Root Registry'!$G$6:$G$29,MATCH(B273,'Root Registry'!$A$6:$A$29,0))</x:f>
        <x:v>22.35</x:v>
      </x:c>
      <x:c r="J273" s="75" t="str">
        <x:f>INDEX('Root Registry'!$D$6:$D$29,MATCH(B273,'Root Registry'!$A$6:$A$29,0))</x:f>
      </x:c>
      <x:c r="K273" s="75" t="str">
        <x:f>INDEX('Root Registry'!$F$6:$F$29,MATCH(B273,'Root Registry'!$A$6:$A$29,0))</x:f>
      </x:c>
      <x:c r="L273" s="43" t="str"/>
      <x:c r="M273" s="43" t="str"/>
      <x:c r="N273" s="43" t="str"/>
      <x:c r="O273" s="43" t="str"/>
      <x:c r="P273" s="43" t="str"/>
      <x:c r="Q273" s="75" t="str">
        <x:f>S272</x:f>
        <x:v>SOURCE EMPTY</x:v>
      </x:c>
      <x:c r="R273" s="75" t="str">
        <x:f>IF(L273="","SOURCE EMPTY",IF(L273=J273,"ROOT COLLISION",IF(AND(M273&lt;&gt;"",M273=L273),"DUAL-KEY COLLISION","CLEAR")))</x:f>
        <x:v>SOURCE EMPTY</x:v>
      </x:c>
      <x:c r="S273" s="75" t="str">
        <x:f>IF(OR(J273="",L273="",M273="",N273="",O273=""),"SOURCE EMPTY",IF(AND(OR(D273=4,D273=5,D273=8),K273=""),"SOURCE EMPTY",IF(R273&lt;&gt;"CLEAR","COLLISION",IF(P273&lt;&gt;"","ROLLBACK",IF(O273&lt;&gt;"ACCEPT","HOLD",IF(OR(D273=1,Q273="ACCEPTED"),"ACCEPTED","SEQUENCE HOLD"))))))</x:f>
        <x:v>SOURCE EMPTY</x:v>
      </x:c>
      <x:c r="T273" s="85" t="n">
        <x:f>IF(S273="ACCEPTED",H273*I273,0)</x:f>
        <x:v>0</x:v>
      </x:c>
      <x:c r="U273" s="75"/>
      <x:c r="V273" s="75"/>
      <x:c r="W273" s="75"/>
      <x:c r="X273" s="75"/>
      <x:c r="Y273" s="75"/>
      <x:c r="Z273" s="75"/>
    </x:row>
    <x:row r="274" ht="20" customHeight="1">
      <x:c r="A274" s="86" t="str">
        <x:v>MS-RT-C-TW-05</x:v>
      </x:c>
      <x:c r="B274" s="75" t="str">
        <x:v>MS-RT-C</x:v>
      </x:c>
      <x:c r="C274" s="75" t="str">
        <x:v>MS-RT</x:v>
      </x:c>
      <x:c r="D274" s="75" t="n">
        <x:v>5</x:v>
      </x:c>
      <x:c r="E274" s="75" t="str">
        <x:v>TW-05</x:v>
      </x:c>
      <x:c r="F274" s="86" t="str">
        <x:v>Service Technical College</x:v>
      </x:c>
      <x:c r="G274" s="86" t="str">
        <x:v>Public Protection Inspectorate</x:v>
      </x:c>
      <x:c r="H274" s="88" t="n">
        <x:v>0.08</x:v>
      </x:c>
      <x:c r="I274" s="85" t="n">
        <x:f>INDEX('Root Registry'!$G$6:$G$29,MATCH(B274,'Root Registry'!$A$6:$A$29,0))</x:f>
        <x:v>22.35</x:v>
      </x:c>
      <x:c r="J274" s="75" t="str">
        <x:f>INDEX('Root Registry'!$D$6:$D$29,MATCH(B274,'Root Registry'!$A$6:$A$29,0))</x:f>
      </x:c>
      <x:c r="K274" s="75" t="str">
        <x:f>INDEX('Root Registry'!$F$6:$F$29,MATCH(B274,'Root Registry'!$A$6:$A$29,0))</x:f>
      </x:c>
      <x:c r="L274" s="43" t="str"/>
      <x:c r="M274" s="43" t="str"/>
      <x:c r="N274" s="43" t="str"/>
      <x:c r="O274" s="43" t="str"/>
      <x:c r="P274" s="43" t="str"/>
      <x:c r="Q274" s="75" t="str">
        <x:f>S273</x:f>
        <x:v>SOURCE EMPTY</x:v>
      </x:c>
      <x:c r="R274" s="75" t="str">
        <x:f>IF(L274="","SOURCE EMPTY",IF(L274=J274,"ROOT COLLISION",IF(AND(M274&lt;&gt;"",M274=L274),"DUAL-KEY COLLISION","CLEAR")))</x:f>
        <x:v>SOURCE EMPTY</x:v>
      </x:c>
      <x:c r="S274" s="75" t="str">
        <x:f>IF(OR(J274="",L274="",M274="",N274="",O274=""),"SOURCE EMPTY",IF(AND(OR(D274=4,D274=5,D274=8),K274=""),"SOURCE EMPTY",IF(R274&lt;&gt;"CLEAR","COLLISION",IF(P274&lt;&gt;"","ROLLBACK",IF(O274&lt;&gt;"ACCEPT","HOLD",IF(OR(D274=1,Q274="ACCEPTED"),"ACCEPTED","SEQUENCE HOLD"))))))</x:f>
        <x:v>SOURCE EMPTY</x:v>
      </x:c>
      <x:c r="T274" s="85" t="n">
        <x:f>IF(S274="ACCEPTED",H274*I274,0)</x:f>
        <x:v>0</x:v>
      </x:c>
      <x:c r="U274" s="75"/>
      <x:c r="V274" s="75"/>
      <x:c r="W274" s="75"/>
      <x:c r="X274" s="75"/>
      <x:c r="Y274" s="75"/>
      <x:c r="Z274" s="75"/>
    </x:row>
    <x:row r="275" ht="20" customHeight="1">
      <x:c r="A275" s="86" t="str">
        <x:v>MS-RT-C-EW-06</x:v>
      </x:c>
      <x:c r="B275" s="75" t="str">
        <x:v>MS-RT-C</x:v>
      </x:c>
      <x:c r="C275" s="75" t="str">
        <x:v>MS-RT</x:v>
      </x:c>
      <x:c r="D275" s="75" t="n">
        <x:v>6</x:v>
      </x:c>
      <x:c r="E275" s="75" t="str">
        <x:v>EW-06</x:v>
      </x:c>
      <x:c r="F275" s="86" t="str">
        <x:v>Resilience Proving Service</x:v>
      </x:c>
      <x:c r="G275" s="86" t="str">
        <x:v>Public Effect College</x:v>
      </x:c>
      <x:c r="H275" s="88" t="n">
        <x:v>0.2</x:v>
      </x:c>
      <x:c r="I275" s="85" t="n">
        <x:f>INDEX('Root Registry'!$G$6:$G$29,MATCH(B275,'Root Registry'!$A$6:$A$29,0))</x:f>
        <x:v>22.35</x:v>
      </x:c>
      <x:c r="J275" s="75" t="str">
        <x:f>INDEX('Root Registry'!$D$6:$D$29,MATCH(B275,'Root Registry'!$A$6:$A$29,0))</x:f>
      </x:c>
      <x:c r="K275" s="75" t="str">
        <x:f>INDEX('Root Registry'!$F$6:$F$29,MATCH(B275,'Root Registry'!$A$6:$A$29,0))</x:f>
      </x:c>
      <x:c r="L275" s="43" t="str"/>
      <x:c r="M275" s="43" t="str"/>
      <x:c r="N275" s="43" t="str"/>
      <x:c r="O275" s="43" t="str"/>
      <x:c r="P275" s="43" t="str"/>
      <x:c r="Q275" s="75" t="str">
        <x:f>S274</x:f>
        <x:v>SOURCE EMPTY</x:v>
      </x:c>
      <x:c r="R275" s="75" t="str">
        <x:f>IF(L275="","SOURCE EMPTY",IF(L275=J275,"ROOT COLLISION",IF(AND(M275&lt;&gt;"",M275=L275),"DUAL-KEY COLLISION","CLEAR")))</x:f>
        <x:v>SOURCE EMPTY</x:v>
      </x:c>
      <x:c r="S275" s="75" t="str">
        <x:f>IF(OR(J275="",L275="",M275="",N275="",O275=""),"SOURCE EMPTY",IF(AND(OR(D275=4,D275=5,D275=8),K275=""),"SOURCE EMPTY",IF(R275&lt;&gt;"CLEAR","COLLISION",IF(P275&lt;&gt;"","ROLLBACK",IF(O275&lt;&gt;"ACCEPT","HOLD",IF(OR(D275=1,Q275="ACCEPTED"),"ACCEPTED","SEQUENCE HOLD"))))))</x:f>
        <x:v>SOURCE EMPTY</x:v>
      </x:c>
      <x:c r="T275" s="85" t="n">
        <x:f>IF(S275="ACCEPTED",H275*I275,0)</x:f>
        <x:v>0</x:v>
      </x:c>
      <x:c r="U275" s="75"/>
      <x:c r="V275" s="75"/>
      <x:c r="W275" s="75"/>
      <x:c r="X275" s="75"/>
      <x:c r="Y275" s="75"/>
      <x:c r="Z275" s="75"/>
    </x:row>
    <x:row r="276" ht="20" customHeight="1">
      <x:c r="A276" s="86" t="str">
        <x:v>MS-RT-C-IW-07</x:v>
      </x:c>
      <x:c r="B276" s="75" t="str">
        <x:v>MS-RT-C</x:v>
      </x:c>
      <x:c r="C276" s="75" t="str">
        <x:v>MS-RT</x:v>
      </x:c>
      <x:c r="D276" s="75" t="n">
        <x:v>7</x:v>
      </x:c>
      <x:c r="E276" s="75" t="str">
        <x:v>IW-07</x:v>
      </x:c>
      <x:c r="F276" s="86" t="str">
        <x:v>Industrial Mobilization Administration</x:v>
      </x:c>
      <x:c r="G276" s="86" t="str">
        <x:v>Reconstruction Command</x:v>
      </x:c>
      <x:c r="H276" s="88" t="n">
        <x:v>0.15</x:v>
      </x:c>
      <x:c r="I276" s="85" t="n">
        <x:f>INDEX('Root Registry'!$G$6:$G$29,MATCH(B276,'Root Registry'!$A$6:$A$29,0))</x:f>
        <x:v>22.35</x:v>
      </x:c>
      <x:c r="J276" s="75" t="str">
        <x:f>INDEX('Root Registry'!$D$6:$D$29,MATCH(B276,'Root Registry'!$A$6:$A$29,0))</x:f>
      </x:c>
      <x:c r="K276" s="75" t="str">
        <x:f>INDEX('Root Registry'!$F$6:$F$29,MATCH(B276,'Root Registry'!$A$6:$A$29,0))</x:f>
      </x:c>
      <x:c r="L276" s="43" t="str"/>
      <x:c r="M276" s="43" t="str"/>
      <x:c r="N276" s="43" t="str"/>
      <x:c r="O276" s="43" t="str"/>
      <x:c r="P276" s="43" t="str"/>
      <x:c r="Q276" s="75" t="str">
        <x:f>S275</x:f>
        <x:v>SOURCE EMPTY</x:v>
      </x:c>
      <x:c r="R276" s="75" t="str">
        <x:f>IF(L276="","SOURCE EMPTY",IF(L276=J276,"ROOT COLLISION",IF(AND(M276&lt;&gt;"",M276=L276),"DUAL-KEY COLLISION","CLEAR")))</x:f>
        <x:v>SOURCE EMPTY</x:v>
      </x:c>
      <x:c r="S276" s="75" t="str">
        <x:f>IF(OR(J276="",L276="",M276="",N276="",O276=""),"SOURCE EMPTY",IF(AND(OR(D276=4,D276=5,D276=8),K276=""),"SOURCE EMPTY",IF(R276&lt;&gt;"CLEAR","COLLISION",IF(P276&lt;&gt;"","ROLLBACK",IF(O276&lt;&gt;"ACCEPT","HOLD",IF(OR(D276=1,Q276="ACCEPTED"),"ACCEPTED","SEQUENCE HOLD"))))))</x:f>
        <x:v>SOURCE EMPTY</x:v>
      </x:c>
      <x:c r="T276" s="85" t="n">
        <x:f>IF(S276="ACCEPTED",H276*I276,0)</x:f>
        <x:v>0</x:v>
      </x:c>
      <x:c r="U276" s="75"/>
      <x:c r="V276" s="75"/>
      <x:c r="W276" s="75"/>
      <x:c r="X276" s="75"/>
      <x:c r="Y276" s="75"/>
      <x:c r="Z276" s="75"/>
    </x:row>
    <x:row r="277" ht="20" customHeight="1">
      <x:c r="A277" s="86" t="str">
        <x:v>MS-RT-C-CW-08</x:v>
      </x:c>
      <x:c r="B277" s="75" t="str">
        <x:v>MS-RT-C</x:v>
      </x:c>
      <x:c r="C277" s="75" t="str">
        <x:v>MS-RT</x:v>
      </x:c>
      <x:c r="D277" s="75" t="n">
        <x:v>8</x:v>
      </x:c>
      <x:c r="E277" s="75" t="str">
        <x:v>CW-08</x:v>
      </x:c>
      <x:c r="F277" s="86" t="str">
        <x:v>Operating Services</x:v>
      </x:c>
      <x:c r="G277" s="86" t="str">
        <x:v>Joint Capacity Authority</x:v>
      </x:c>
      <x:c r="H277" s="88" t="n">
        <x:v>0.12</x:v>
      </x:c>
      <x:c r="I277" s="85" t="n">
        <x:f>INDEX('Root Registry'!$G$6:$G$29,MATCH(B277,'Root Registry'!$A$6:$A$29,0))</x:f>
        <x:v>22.35</x:v>
      </x:c>
      <x:c r="J277" s="75" t="str">
        <x:f>INDEX('Root Registry'!$D$6:$D$29,MATCH(B277,'Root Registry'!$A$6:$A$29,0))</x:f>
      </x:c>
      <x:c r="K277" s="75" t="str">
        <x:f>INDEX('Root Registry'!$F$6:$F$29,MATCH(B277,'Root Registry'!$A$6:$A$29,0))</x:f>
      </x:c>
      <x:c r="L277" s="43" t="str"/>
      <x:c r="M277" s="43" t="str"/>
      <x:c r="N277" s="43" t="str"/>
      <x:c r="O277" s="43" t="str"/>
      <x:c r="P277" s="43" t="str"/>
      <x:c r="Q277" s="75" t="str">
        <x:f>S276</x:f>
        <x:v>SOURCE EMPTY</x:v>
      </x:c>
      <x:c r="R277" s="75" t="str">
        <x:f>IF(L277="","SOURCE EMPTY",IF(L277=J277,"ROOT COLLISION",IF(AND(M277&lt;&gt;"",M277=L277),"DUAL-KEY COLLISION","CLEAR")))</x:f>
        <x:v>SOURCE EMPTY</x:v>
      </x:c>
      <x:c r="S277" s="75" t="str">
        <x:f>IF(OR(J277="",L277="",M277="",N277="",O277=""),"SOURCE EMPTY",IF(AND(OR(D277=4,D277=5,D277=8),K277=""),"SOURCE EMPTY",IF(R277&lt;&gt;"CLEAR","COLLISION",IF(P277&lt;&gt;"","ROLLBACK",IF(O277&lt;&gt;"ACCEPT","HOLD",IF(OR(D277=1,Q277="ACCEPTED"),"ACCEPTED","SEQUENCE HOLD"))))))</x:f>
        <x:v>SOURCE EMPTY</x:v>
      </x:c>
      <x:c r="T277" s="85" t="n">
        <x:f>IF(S277="ACCEPTED",H277*I277,0)</x:f>
        <x:v>0</x:v>
      </x:c>
      <x:c r="U277" s="75"/>
      <x:c r="V277" s="75"/>
      <x:c r="W277" s="75"/>
      <x:c r="X277" s="75"/>
      <x:c r="Y277" s="75"/>
      <x:c r="Z277" s="75"/>
    </x:row>
    <x:row r="278" ht="20" customHeight="1">
      <x:c r="A278" s="86" t="str">
        <x:v>MS-RT-C-RW-09</x:v>
      </x:c>
      <x:c r="B278" s="75" t="str">
        <x:v>MS-RT-C</x:v>
      </x:c>
      <x:c r="C278" s="75" t="str">
        <x:v>MS-RT</x:v>
      </x:c>
      <x:c r="D278" s="75" t="n">
        <x:v>9</x:v>
      </x:c>
      <x:c r="E278" s="75" t="str">
        <x:v>RW-09</x:v>
      </x:c>
      <x:c r="F278" s="86" t="str">
        <x:v>Joint Capacity Authority</x:v>
      </x:c>
      <x:c r="G278" s="86" t="str">
        <x:v>Department Comptroller</x:v>
      </x:c>
      <x:c r="H278" s="88" t="n">
        <x:v>0.08</x:v>
      </x:c>
      <x:c r="I278" s="85" t="n">
        <x:f>INDEX('Root Registry'!$G$6:$G$29,MATCH(B278,'Root Registry'!$A$6:$A$29,0))</x:f>
        <x:v>22.35</x:v>
      </x:c>
      <x:c r="J278" s="75" t="str">
        <x:f>INDEX('Root Registry'!$D$6:$D$29,MATCH(B278,'Root Registry'!$A$6:$A$29,0))</x:f>
      </x:c>
      <x:c r="K278" s="75" t="str">
        <x:f>INDEX('Root Registry'!$F$6:$F$29,MATCH(B278,'Root Registry'!$A$6:$A$29,0))</x:f>
      </x:c>
      <x:c r="L278" s="43" t="str"/>
      <x:c r="M278" s="43" t="str"/>
      <x:c r="N278" s="43" t="str"/>
      <x:c r="O278" s="43" t="str"/>
      <x:c r="P278" s="43" t="str"/>
      <x:c r="Q278" s="75" t="str">
        <x:f>S277</x:f>
        <x:v>SOURCE EMPTY</x:v>
      </x:c>
      <x:c r="R278" s="75" t="str">
        <x:f>IF(L278="","SOURCE EMPTY",IF(L278=J278,"ROOT COLLISION",IF(AND(M278&lt;&gt;"",M278=L278),"DUAL-KEY COLLISION","CLEAR")))</x:f>
        <x:v>SOURCE EMPTY</x:v>
      </x:c>
      <x:c r="S278" s="75" t="str">
        <x:f>IF(OR(J278="",L278="",M278="",N278="",O278=""),"SOURCE EMPTY",IF(AND(OR(D278=4,D278=5,D278=8),K278=""),"SOURCE EMPTY",IF(R278&lt;&gt;"CLEAR","COLLISION",IF(P278&lt;&gt;"","ROLLBACK",IF(O278&lt;&gt;"ACCEPT","HOLD",IF(OR(D278=1,Q278="ACCEPTED"),"ACCEPTED","SEQUENCE HOLD"))))))</x:f>
        <x:v>SOURCE EMPTY</x:v>
      </x:c>
      <x:c r="T278" s="85" t="n">
        <x:f>IF(S278="ACCEPTED",H278*I278,0)</x:f>
        <x:v>0</x:v>
      </x:c>
      <x:c r="U278" s="75"/>
      <x:c r="V278" s="75"/>
      <x:c r="W278" s="75"/>
      <x:c r="X278" s="75"/>
      <x:c r="Y278" s="75"/>
      <x:c r="Z278" s="75"/>
    </x:row>
    <x:row r="279" ht="20" customHeight="1">
      <x:c r="A279" s="86" t="str">
        <x:v>MS-RT-C-OW-10</x:v>
      </x:c>
      <x:c r="B279" s="75" t="str">
        <x:v>MS-RT-C</x:v>
      </x:c>
      <x:c r="C279" s="75" t="str">
        <x:v>MS-RT</x:v>
      </x:c>
      <x:c r="D279" s="75" t="n">
        <x:v>10</x:v>
      </x:c>
      <x:c r="E279" s="75" t="str">
        <x:v>OW-10</x:v>
      </x:c>
      <x:c r="F279" s="86" t="str">
        <x:v>Operational Command</x:v>
      </x:c>
      <x:c r="G279" s="86" t="str">
        <x:v>Civil Resilience Authority</x:v>
      </x:c>
      <x:c r="H279" s="88" t="n">
        <x:v>0.05</x:v>
      </x:c>
      <x:c r="I279" s="85" t="n">
        <x:f>INDEX('Root Registry'!$G$6:$G$29,MATCH(B279,'Root Registry'!$A$6:$A$29,0))</x:f>
        <x:v>22.35</x:v>
      </x:c>
      <x:c r="J279" s="75" t="str">
        <x:f>INDEX('Root Registry'!$D$6:$D$29,MATCH(B279,'Root Registry'!$A$6:$A$29,0))</x:f>
      </x:c>
      <x:c r="K279" s="75" t="str">
        <x:f>INDEX('Root Registry'!$F$6:$F$29,MATCH(B279,'Root Registry'!$A$6:$A$29,0))</x:f>
      </x:c>
      <x:c r="L279" s="43" t="str"/>
      <x:c r="M279" s="43" t="str"/>
      <x:c r="N279" s="43" t="str"/>
      <x:c r="O279" s="43" t="str"/>
      <x:c r="P279" s="43" t="str"/>
      <x:c r="Q279" s="75" t="str">
        <x:f>S278</x:f>
        <x:v>SOURCE EMPTY</x:v>
      </x:c>
      <x:c r="R279" s="75" t="str">
        <x:f>IF(L279="","SOURCE EMPTY",IF(L279=J279,"ROOT COLLISION",IF(AND(M279&lt;&gt;"",M279=L279),"DUAL-KEY COLLISION","CLEAR")))</x:f>
        <x:v>SOURCE EMPTY</x:v>
      </x:c>
      <x:c r="S279" s="75" t="str">
        <x:f>IF(OR(J279="",L279="",M279="",N279="",O279=""),"SOURCE EMPTY",IF(AND(OR(D279=4,D279=5,D279=8),K279=""),"SOURCE EMPTY",IF(R279&lt;&gt;"CLEAR","COLLISION",IF(P279&lt;&gt;"","ROLLBACK",IF(O279&lt;&gt;"ACCEPT","HOLD",IF(OR(D279=1,Q279="ACCEPTED"),"ACCEPTED","SEQUENCE HOLD"))))))</x:f>
        <x:v>SOURCE EMPTY</x:v>
      </x:c>
      <x:c r="T279" s="85" t="n">
        <x:f>IF(S279="ACCEPTED",H279*I279,0)</x:f>
        <x:v>0</x:v>
      </x:c>
      <x:c r="U279" s="75"/>
      <x:c r="V279" s="75"/>
      <x:c r="W279" s="75"/>
      <x:c r="X279" s="75"/>
      <x:c r="Y279" s="75"/>
      <x:c r="Z279" s="75"/>
    </x:row>
    <x:row r="280" ht="20" customHeight="1">
      <x:c r="A280" s="86" t="str">
        <x:v>MS-RT-C-SW-11</x:v>
      </x:c>
      <x:c r="B280" s="75" t="str">
        <x:v>MS-RT-C</x:v>
      </x:c>
      <x:c r="C280" s="75" t="str">
        <x:v>MS-RT</x:v>
      </x:c>
      <x:c r="D280" s="75" t="n">
        <x:v>11</x:v>
      </x:c>
      <x:c r="E280" s="75" t="str">
        <x:v>SW-11</x:v>
      </x:c>
      <x:c r="F280" s="86" t="str">
        <x:v>Civil Resilience Authority</x:v>
      </x:c>
      <x:c r="G280" s="86" t="str">
        <x:v>Affected Civil Authority</x:v>
      </x:c>
      <x:c r="H280" s="88" t="n">
        <x:v>0.07</x:v>
      </x:c>
      <x:c r="I280" s="85" t="n">
        <x:f>INDEX('Root Registry'!$G$6:$G$29,MATCH(B280,'Root Registry'!$A$6:$A$29,0))</x:f>
        <x:v>22.35</x:v>
      </x:c>
      <x:c r="J280" s="75" t="str">
        <x:f>INDEX('Root Registry'!$D$6:$D$29,MATCH(B280,'Root Registry'!$A$6:$A$29,0))</x:f>
      </x:c>
      <x:c r="K280" s="75" t="str">
        <x:f>INDEX('Root Registry'!$F$6:$F$29,MATCH(B280,'Root Registry'!$A$6:$A$29,0))</x:f>
      </x:c>
      <x:c r="L280" s="43" t="str"/>
      <x:c r="M280" s="43" t="str"/>
      <x:c r="N280" s="43" t="str"/>
      <x:c r="O280" s="43" t="str"/>
      <x:c r="P280" s="43" t="str"/>
      <x:c r="Q280" s="75" t="str">
        <x:f>S279</x:f>
        <x:v>SOURCE EMPTY</x:v>
      </x:c>
      <x:c r="R280" s="75" t="str">
        <x:f>IF(L280="","SOURCE EMPTY",IF(L280=J280,"ROOT COLLISION",IF(AND(M280&lt;&gt;"",M280=L280),"DUAL-KEY COLLISION","CLEAR")))</x:f>
        <x:v>SOURCE EMPTY</x:v>
      </x:c>
      <x:c r="S280" s="75" t="str">
        <x:f>IF(OR(J280="",L280="",M280="",N280="",O280=""),"SOURCE EMPTY",IF(AND(OR(D280=4,D280=5,D280=8),K280=""),"SOURCE EMPTY",IF(R280&lt;&gt;"CLEAR","COLLISION",IF(P280&lt;&gt;"","ROLLBACK",IF(O280&lt;&gt;"ACCEPT","HOLD",IF(OR(D280=1,Q280="ACCEPTED"),"ACCEPTED","SEQUENCE HOLD"))))))</x:f>
        <x:v>SOURCE EMPTY</x:v>
      </x:c>
      <x:c r="T280" s="85" t="n">
        <x:f>IF(S280="ACCEPTED",H280*I280,0)</x:f>
        <x:v>0</x:v>
      </x:c>
      <x:c r="U280" s="75"/>
      <x:c r="V280" s="75"/>
      <x:c r="W280" s="75"/>
      <x:c r="X280" s="75"/>
      <x:c r="Y280" s="75"/>
      <x:c r="Z280" s="75"/>
    </x:row>
    <x:row r="281" ht="20" customHeight="1">
      <x:c r="A281" s="86" t="str">
        <x:v>MS-RT-C-GW-12</x:v>
      </x:c>
      <x:c r="B281" s="75" t="str">
        <x:v>MS-RT-C</x:v>
      </x:c>
      <x:c r="C281" s="75" t="str">
        <x:v>MS-RT</x:v>
      </x:c>
      <x:c r="D281" s="75" t="n">
        <x:v>12</x:v>
      </x:c>
      <x:c r="E281" s="75" t="str">
        <x:v>GW-12</x:v>
      </x:c>
      <x:c r="F281" s="86" t="str">
        <x:v>Strategic Sustainment Command</x:v>
      </x:c>
      <x:c r="G281" s="86" t="str">
        <x:v>Joint Capacity Authority</x:v>
      </x:c>
      <x:c r="H281" s="88" t="n">
        <x:v>0.05</x:v>
      </x:c>
      <x:c r="I281" s="85" t="n">
        <x:f>INDEX('Root Registry'!$G$6:$G$29,MATCH(B281,'Root Registry'!$A$6:$A$29,0))</x:f>
        <x:v>22.35</x:v>
      </x:c>
      <x:c r="J281" s="75" t="str">
        <x:f>INDEX('Root Registry'!$D$6:$D$29,MATCH(B281,'Root Registry'!$A$6:$A$29,0))</x:f>
      </x:c>
      <x:c r="K281" s="75" t="str">
        <x:f>INDEX('Root Registry'!$F$6:$F$29,MATCH(B281,'Root Registry'!$A$6:$A$29,0))</x:f>
      </x:c>
      <x:c r="L281" s="43" t="str"/>
      <x:c r="M281" s="43" t="str"/>
      <x:c r="N281" s="43" t="str"/>
      <x:c r="O281" s="43" t="str"/>
      <x:c r="P281" s="43" t="str"/>
      <x:c r="Q281" s="75" t="str">
        <x:f>S280</x:f>
        <x:v>SOURCE EMPTY</x:v>
      </x:c>
      <x:c r="R281" s="75" t="str">
        <x:f>IF(L281="","SOURCE EMPTY",IF(L281=J281,"ROOT COLLISION",IF(AND(M281&lt;&gt;"",M281=L281),"DUAL-KEY COLLISION","CLEAR")))</x:f>
        <x:v>SOURCE EMPTY</x:v>
      </x:c>
      <x:c r="S281" s="75" t="str">
        <x:f>IF(OR(J281="",L281="",M281="",N281="",O281=""),"SOURCE EMPTY",IF(AND(OR(D281=4,D281=5,D281=8),K281=""),"SOURCE EMPTY",IF(R281&lt;&gt;"CLEAR","COLLISION",IF(P281&lt;&gt;"","ROLLBACK",IF(O281&lt;&gt;"ACCEPT","HOLD",IF(OR(D281=1,Q281="ACCEPTED"),"ACCEPTED","SEQUENCE HOLD"))))))</x:f>
        <x:v>SOURCE EMPTY</x:v>
      </x:c>
      <x:c r="T281" s="85" t="n">
        <x:f>IF(S281="ACCEPTED",H281*I281,0)</x:f>
        <x:v>0</x:v>
      </x:c>
      <x:c r="U281" s="75"/>
      <x:c r="V281" s="75"/>
      <x:c r="W281" s="75"/>
      <x:c r="X281" s="75"/>
      <x:c r="Y281" s="75"/>
      <x:c r="Z281" s="75"/>
    </x:row>
    <x:row r="282" ht="20" customHeight="1">
      <x:c r="A282" s="86" t="str">
        <x:v>MS-RT-D-PW-01</x:v>
      </x:c>
      <x:c r="B282" s="75" t="str">
        <x:v>MS-RT-D</x:v>
      </x:c>
      <x:c r="C282" s="75" t="str">
        <x:v>MS-RT</x:v>
      </x:c>
      <x:c r="D282" s="75" t="n">
        <x:v>1</x:v>
      </x:c>
      <x:c r="E282" s="75" t="str">
        <x:v>PW-01</x:v>
      </x:c>
      <x:c r="F282" s="86" t="str">
        <x:v>Civil Resilience Authority</x:v>
      </x:c>
      <x:c r="G282" s="86" t="str">
        <x:v>Public Effect College</x:v>
      </x:c>
      <x:c r="H282" s="88" t="n">
        <x:v>0.01</x:v>
      </x:c>
      <x:c r="I282" s="85" t="n">
        <x:f>INDEX('Root Registry'!$G$6:$G$29,MATCH(B282,'Root Registry'!$A$6:$A$29,0))</x:f>
        <x:v>22.35</x:v>
      </x:c>
      <x:c r="J282" s="75" t="str">
        <x:f>INDEX('Root Registry'!$D$6:$D$29,MATCH(B282,'Root Registry'!$A$6:$A$29,0))</x:f>
      </x:c>
      <x:c r="K282" s="75" t="str">
        <x:f>INDEX('Root Registry'!$F$6:$F$29,MATCH(B282,'Root Registry'!$A$6:$A$29,0))</x:f>
      </x:c>
      <x:c r="L282" s="43" t="str"/>
      <x:c r="M282" s="43" t="str"/>
      <x:c r="N282" s="43" t="str"/>
      <x:c r="O282" s="43" t="str"/>
      <x:c r="P282" s="43" t="str"/>
      <x:c r="Q282" s="75" t="str">
        <x:f>"ORIGIN"</x:f>
        <x:v>ORIGIN</x:v>
      </x:c>
      <x:c r="R282" s="75" t="str">
        <x:f>IF(L282="","SOURCE EMPTY",IF(L282=J282,"ROOT COLLISION",IF(AND(M282&lt;&gt;"",M282=L282),"DUAL-KEY COLLISION","CLEAR")))</x:f>
        <x:v>SOURCE EMPTY</x:v>
      </x:c>
      <x:c r="S282" s="75" t="str">
        <x:f>IF(OR(J282="",L282="",M282="",N282="",O282=""),"SOURCE EMPTY",IF(AND(OR(D282=4,D282=5,D282=8),K282=""),"SOURCE EMPTY",IF(R282&lt;&gt;"CLEAR","COLLISION",IF(P282&lt;&gt;"","ROLLBACK",IF(O282&lt;&gt;"ACCEPT","HOLD",IF(OR(D282=1,Q282="ACCEPTED"),"ACCEPTED","SEQUENCE HOLD"))))))</x:f>
        <x:v>SOURCE EMPTY</x:v>
      </x:c>
      <x:c r="T282" s="85" t="n">
        <x:f>IF(S282="ACCEPTED",H282*I282,0)</x:f>
        <x:v>0</x:v>
      </x:c>
      <x:c r="U282" s="75"/>
      <x:c r="V282" s="75"/>
      <x:c r="W282" s="75"/>
      <x:c r="X282" s="75"/>
      <x:c r="Y282" s="75"/>
      <x:c r="Z282" s="75"/>
    </x:row>
    <x:row r="283" ht="20" customHeight="1">
      <x:c r="A283" s="86" t="str">
        <x:v>MS-RT-D-MW-02</x:v>
      </x:c>
      <x:c r="B283" s="75" t="str">
        <x:v>MS-RT-D</x:v>
      </x:c>
      <x:c r="C283" s="75" t="str">
        <x:v>MS-RT</x:v>
      </x:c>
      <x:c r="D283" s="75" t="n">
        <x:v>2</x:v>
      </x:c>
      <x:c r="E283" s="75" t="str">
        <x:v>MW-02</x:v>
      </x:c>
      <x:c r="F283" s="86" t="str">
        <x:v>Mission System Command</x:v>
      </x:c>
      <x:c r="G283" s="86" t="str">
        <x:v>Civil Resilience Authority</x:v>
      </x:c>
      <x:c r="H283" s="88" t="n">
        <x:v>0.02</x:v>
      </x:c>
      <x:c r="I283" s="85" t="n">
        <x:f>INDEX('Root Registry'!$G$6:$G$29,MATCH(B283,'Root Registry'!$A$6:$A$29,0))</x:f>
        <x:v>22.35</x:v>
      </x:c>
      <x:c r="J283" s="75" t="str">
        <x:f>INDEX('Root Registry'!$D$6:$D$29,MATCH(B283,'Root Registry'!$A$6:$A$29,0))</x:f>
      </x:c>
      <x:c r="K283" s="75" t="str">
        <x:f>INDEX('Root Registry'!$F$6:$F$29,MATCH(B283,'Root Registry'!$A$6:$A$29,0))</x:f>
      </x:c>
      <x:c r="L283" s="43" t="str"/>
      <x:c r="M283" s="43" t="str"/>
      <x:c r="N283" s="43" t="str"/>
      <x:c r="O283" s="43" t="str"/>
      <x:c r="P283" s="43" t="str"/>
      <x:c r="Q283" s="75" t="str">
        <x:f>S282</x:f>
        <x:v>SOURCE EMPTY</x:v>
      </x:c>
      <x:c r="R283" s="75" t="str">
        <x:f>IF(L283="","SOURCE EMPTY",IF(L283=J283,"ROOT COLLISION",IF(AND(M283&lt;&gt;"",M283=L283),"DUAL-KEY COLLISION","CLEAR")))</x:f>
        <x:v>SOURCE EMPTY</x:v>
      </x:c>
      <x:c r="S283" s="75" t="str">
        <x:f>IF(OR(J283="",L283="",M283="",N283="",O283=""),"SOURCE EMPTY",IF(AND(OR(D283=4,D283=5,D283=8),K283=""),"SOURCE EMPTY",IF(R283&lt;&gt;"CLEAR","COLLISION",IF(P283&lt;&gt;"","ROLLBACK",IF(O283&lt;&gt;"ACCEPT","HOLD",IF(OR(D283=1,Q283="ACCEPTED"),"ACCEPTED","SEQUENCE HOLD"))))))</x:f>
        <x:v>SOURCE EMPTY</x:v>
      </x:c>
      <x:c r="T283" s="85" t="n">
        <x:f>IF(S283="ACCEPTED",H283*I283,0)</x:f>
        <x:v>0</x:v>
      </x:c>
      <x:c r="U283" s="75"/>
      <x:c r="V283" s="75"/>
      <x:c r="W283" s="75"/>
      <x:c r="X283" s="75"/>
      <x:c r="Y283" s="75"/>
      <x:c r="Z283" s="75"/>
    </x:row>
    <x:row r="284" ht="20" customHeight="1">
      <x:c r="A284" s="86" t="str">
        <x:v>MS-RT-D-FW-03</x:v>
      </x:c>
      <x:c r="B284" s="75" t="str">
        <x:v>MS-RT-D</x:v>
      </x:c>
      <x:c r="C284" s="75" t="str">
        <x:v>MS-RT</x:v>
      </x:c>
      <x:c r="D284" s="75" t="n">
        <x:v>3</x:v>
      </x:c>
      <x:c r="E284" s="75" t="str">
        <x:v>FW-03</x:v>
      </x:c>
      <x:c r="F284" s="86" t="str">
        <x:v>Department Capital Board</x:v>
      </x:c>
      <x:c r="G284" s="86" t="str">
        <x:v>Failure Reserve Trustee</x:v>
      </x:c>
      <x:c r="H284" s="88" t="n">
        <x:v>0.05</x:v>
      </x:c>
      <x:c r="I284" s="85" t="n">
        <x:f>INDEX('Root Registry'!$G$6:$G$29,MATCH(B284,'Root Registry'!$A$6:$A$29,0))</x:f>
        <x:v>22.35</x:v>
      </x:c>
      <x:c r="J284" s="75" t="str">
        <x:f>INDEX('Root Registry'!$D$6:$D$29,MATCH(B284,'Root Registry'!$A$6:$A$29,0))</x:f>
      </x:c>
      <x:c r="K284" s="75" t="str">
        <x:f>INDEX('Root Registry'!$F$6:$F$29,MATCH(B284,'Root Registry'!$A$6:$A$29,0))</x:f>
      </x:c>
      <x:c r="L284" s="43" t="str"/>
      <x:c r="M284" s="43" t="str"/>
      <x:c r="N284" s="43" t="str"/>
      <x:c r="O284" s="43" t="str"/>
      <x:c r="P284" s="43" t="str"/>
      <x:c r="Q284" s="75" t="str">
        <x:f>S283</x:f>
        <x:v>SOURCE EMPTY</x:v>
      </x:c>
      <x:c r="R284" s="75" t="str">
        <x:f>IF(L284="","SOURCE EMPTY",IF(L284=J284,"ROOT COLLISION",IF(AND(M284&lt;&gt;"",M284=L284),"DUAL-KEY COLLISION","CLEAR")))</x:f>
        <x:v>SOURCE EMPTY</x:v>
      </x:c>
      <x:c r="S284" s="75" t="str">
        <x:f>IF(OR(J284="",L284="",M284="",N284="",O284=""),"SOURCE EMPTY",IF(AND(OR(D284=4,D284=5,D284=8),K284=""),"SOURCE EMPTY",IF(R284&lt;&gt;"CLEAR","COLLISION",IF(P284&lt;&gt;"","ROLLBACK",IF(O284&lt;&gt;"ACCEPT","HOLD",IF(OR(D284=1,Q284="ACCEPTED"),"ACCEPTED","SEQUENCE HOLD"))))))</x:f>
        <x:v>SOURCE EMPTY</x:v>
      </x:c>
      <x:c r="T284" s="85" t="n">
        <x:f>IF(S284="ACCEPTED",H284*I284,0)</x:f>
        <x:v>0</x:v>
      </x:c>
      <x:c r="U284" s="75"/>
      <x:c r="V284" s="75"/>
      <x:c r="W284" s="75"/>
      <x:c r="X284" s="75"/>
      <x:c r="Y284" s="75"/>
      <x:c r="Z284" s="75"/>
    </x:row>
    <x:row r="285" ht="20" customHeight="1">
      <x:c r="A285" s="86" t="str">
        <x:v>MS-RT-D-CW-04</x:v>
      </x:c>
      <x:c r="B285" s="75" t="str">
        <x:v>MS-RT-D</x:v>
      </x:c>
      <x:c r="C285" s="75" t="str">
        <x:v>MS-RT</x:v>
      </x:c>
      <x:c r="D285" s="75" t="n">
        <x:v>4</x:v>
      </x:c>
      <x:c r="E285" s="75" t="str">
        <x:v>CW-04</x:v>
      </x:c>
      <x:c r="F285" s="86" t="str">
        <x:v>Service Technical College</x:v>
      </x:c>
      <x:c r="G285" s="86" t="str">
        <x:v>Independent Root House</x:v>
      </x:c>
      <x:c r="H285" s="88" t="n">
        <x:v>0.12</x:v>
      </x:c>
      <x:c r="I285" s="85" t="n">
        <x:f>INDEX('Root Registry'!$G$6:$G$29,MATCH(B285,'Root Registry'!$A$6:$A$29,0))</x:f>
        <x:v>22.35</x:v>
      </x:c>
      <x:c r="J285" s="75" t="str">
        <x:f>INDEX('Root Registry'!$D$6:$D$29,MATCH(B285,'Root Registry'!$A$6:$A$29,0))</x:f>
      </x:c>
      <x:c r="K285" s="75" t="str">
        <x:f>INDEX('Root Registry'!$F$6:$F$29,MATCH(B285,'Root Registry'!$A$6:$A$29,0))</x:f>
      </x:c>
      <x:c r="L285" s="43" t="str"/>
      <x:c r="M285" s="43" t="str"/>
      <x:c r="N285" s="43" t="str"/>
      <x:c r="O285" s="43" t="str"/>
      <x:c r="P285" s="43" t="str"/>
      <x:c r="Q285" s="75" t="str">
        <x:f>S284</x:f>
        <x:v>SOURCE EMPTY</x:v>
      </x:c>
      <x:c r="R285" s="75" t="str">
        <x:f>IF(L285="","SOURCE EMPTY",IF(L285=J285,"ROOT COLLISION",IF(AND(M285&lt;&gt;"",M285=L285),"DUAL-KEY COLLISION","CLEAR")))</x:f>
        <x:v>SOURCE EMPTY</x:v>
      </x:c>
      <x:c r="S285" s="75" t="str">
        <x:f>IF(OR(J285="",L285="",M285="",N285="",O285=""),"SOURCE EMPTY",IF(AND(OR(D285=4,D285=5,D285=8),K285=""),"SOURCE EMPTY",IF(R285&lt;&gt;"CLEAR","COLLISION",IF(P285&lt;&gt;"","ROLLBACK",IF(O285&lt;&gt;"ACCEPT","HOLD",IF(OR(D285=1,Q285="ACCEPTED"),"ACCEPTED","SEQUENCE HOLD"))))))</x:f>
        <x:v>SOURCE EMPTY</x:v>
      </x:c>
      <x:c r="T285" s="85" t="n">
        <x:f>IF(S285="ACCEPTED",H285*I285,0)</x:f>
        <x:v>0</x:v>
      </x:c>
      <x:c r="U285" s="75"/>
      <x:c r="V285" s="75"/>
      <x:c r="W285" s="75"/>
      <x:c r="X285" s="75"/>
      <x:c r="Y285" s="75"/>
      <x:c r="Z285" s="75"/>
    </x:row>
    <x:row r="286" ht="20" customHeight="1">
      <x:c r="A286" s="86" t="str">
        <x:v>MS-RT-D-TW-05</x:v>
      </x:c>
      <x:c r="B286" s="75" t="str">
        <x:v>MS-RT-D</x:v>
      </x:c>
      <x:c r="C286" s="75" t="str">
        <x:v>MS-RT</x:v>
      </x:c>
      <x:c r="D286" s="75" t="n">
        <x:v>5</x:v>
      </x:c>
      <x:c r="E286" s="75" t="str">
        <x:v>TW-05</x:v>
      </x:c>
      <x:c r="F286" s="86" t="str">
        <x:v>Service Technical College</x:v>
      </x:c>
      <x:c r="G286" s="86" t="str">
        <x:v>Public Protection Inspectorate</x:v>
      </x:c>
      <x:c r="H286" s="88" t="n">
        <x:v>0.08</x:v>
      </x:c>
      <x:c r="I286" s="85" t="n">
        <x:f>INDEX('Root Registry'!$G$6:$G$29,MATCH(B286,'Root Registry'!$A$6:$A$29,0))</x:f>
        <x:v>22.35</x:v>
      </x:c>
      <x:c r="J286" s="75" t="str">
        <x:f>INDEX('Root Registry'!$D$6:$D$29,MATCH(B286,'Root Registry'!$A$6:$A$29,0))</x:f>
      </x:c>
      <x:c r="K286" s="75" t="str">
        <x:f>INDEX('Root Registry'!$F$6:$F$29,MATCH(B286,'Root Registry'!$A$6:$A$29,0))</x:f>
      </x:c>
      <x:c r="L286" s="43" t="str"/>
      <x:c r="M286" s="43" t="str"/>
      <x:c r="N286" s="43" t="str"/>
      <x:c r="O286" s="43" t="str"/>
      <x:c r="P286" s="43" t="str"/>
      <x:c r="Q286" s="75" t="str">
        <x:f>S285</x:f>
        <x:v>SOURCE EMPTY</x:v>
      </x:c>
      <x:c r="R286" s="75" t="str">
        <x:f>IF(L286="","SOURCE EMPTY",IF(L286=J286,"ROOT COLLISION",IF(AND(M286&lt;&gt;"",M286=L286),"DUAL-KEY COLLISION","CLEAR")))</x:f>
        <x:v>SOURCE EMPTY</x:v>
      </x:c>
      <x:c r="S286" s="75" t="str">
        <x:f>IF(OR(J286="",L286="",M286="",N286="",O286=""),"SOURCE EMPTY",IF(AND(OR(D286=4,D286=5,D286=8),K286=""),"SOURCE EMPTY",IF(R286&lt;&gt;"CLEAR","COLLISION",IF(P286&lt;&gt;"","ROLLBACK",IF(O286&lt;&gt;"ACCEPT","HOLD",IF(OR(D286=1,Q286="ACCEPTED"),"ACCEPTED","SEQUENCE HOLD"))))))</x:f>
        <x:v>SOURCE EMPTY</x:v>
      </x:c>
      <x:c r="T286" s="85" t="n">
        <x:f>IF(S286="ACCEPTED",H286*I286,0)</x:f>
        <x:v>0</x:v>
      </x:c>
      <x:c r="U286" s="75"/>
      <x:c r="V286" s="75"/>
      <x:c r="W286" s="75"/>
      <x:c r="X286" s="75"/>
      <x:c r="Y286" s="75"/>
      <x:c r="Z286" s="75"/>
    </x:row>
    <x:row r="287" ht="20" customHeight="1">
      <x:c r="A287" s="86" t="str">
        <x:v>MS-RT-D-EW-06</x:v>
      </x:c>
      <x:c r="B287" s="75" t="str">
        <x:v>MS-RT-D</x:v>
      </x:c>
      <x:c r="C287" s="75" t="str">
        <x:v>MS-RT</x:v>
      </x:c>
      <x:c r="D287" s="75" t="n">
        <x:v>6</x:v>
      </x:c>
      <x:c r="E287" s="75" t="str">
        <x:v>EW-06</x:v>
      </x:c>
      <x:c r="F287" s="86" t="str">
        <x:v>Resilience Proving Service</x:v>
      </x:c>
      <x:c r="G287" s="86" t="str">
        <x:v>Public Effect College</x:v>
      </x:c>
      <x:c r="H287" s="88" t="n">
        <x:v>0.2</x:v>
      </x:c>
      <x:c r="I287" s="85" t="n">
        <x:f>INDEX('Root Registry'!$G$6:$G$29,MATCH(B287,'Root Registry'!$A$6:$A$29,0))</x:f>
        <x:v>22.35</x:v>
      </x:c>
      <x:c r="J287" s="75" t="str">
        <x:f>INDEX('Root Registry'!$D$6:$D$29,MATCH(B287,'Root Registry'!$A$6:$A$29,0))</x:f>
      </x:c>
      <x:c r="K287" s="75" t="str">
        <x:f>INDEX('Root Registry'!$F$6:$F$29,MATCH(B287,'Root Registry'!$A$6:$A$29,0))</x:f>
      </x:c>
      <x:c r="L287" s="43" t="str"/>
      <x:c r="M287" s="43" t="str"/>
      <x:c r="N287" s="43" t="str"/>
      <x:c r="O287" s="43" t="str"/>
      <x:c r="P287" s="43" t="str"/>
      <x:c r="Q287" s="75" t="str">
        <x:f>S286</x:f>
        <x:v>SOURCE EMPTY</x:v>
      </x:c>
      <x:c r="R287" s="75" t="str">
        <x:f>IF(L287="","SOURCE EMPTY",IF(L287=J287,"ROOT COLLISION",IF(AND(M287&lt;&gt;"",M287=L287),"DUAL-KEY COLLISION","CLEAR")))</x:f>
        <x:v>SOURCE EMPTY</x:v>
      </x:c>
      <x:c r="S287" s="75" t="str">
        <x:f>IF(OR(J287="",L287="",M287="",N287="",O287=""),"SOURCE EMPTY",IF(AND(OR(D287=4,D287=5,D287=8),K287=""),"SOURCE EMPTY",IF(R287&lt;&gt;"CLEAR","COLLISION",IF(P287&lt;&gt;"","ROLLBACK",IF(O287&lt;&gt;"ACCEPT","HOLD",IF(OR(D287=1,Q287="ACCEPTED"),"ACCEPTED","SEQUENCE HOLD"))))))</x:f>
        <x:v>SOURCE EMPTY</x:v>
      </x:c>
      <x:c r="T287" s="85" t="n">
        <x:f>IF(S287="ACCEPTED",H287*I287,0)</x:f>
        <x:v>0</x:v>
      </x:c>
      <x:c r="U287" s="75"/>
      <x:c r="V287" s="75"/>
      <x:c r="W287" s="75"/>
      <x:c r="X287" s="75"/>
      <x:c r="Y287" s="75"/>
      <x:c r="Z287" s="75"/>
    </x:row>
    <x:row r="288" ht="20" customHeight="1">
      <x:c r="A288" s="86" t="str">
        <x:v>MS-RT-D-IW-07</x:v>
      </x:c>
      <x:c r="B288" s="75" t="str">
        <x:v>MS-RT-D</x:v>
      </x:c>
      <x:c r="C288" s="75" t="str">
        <x:v>MS-RT</x:v>
      </x:c>
      <x:c r="D288" s="75" t="n">
        <x:v>7</x:v>
      </x:c>
      <x:c r="E288" s="75" t="str">
        <x:v>IW-07</x:v>
      </x:c>
      <x:c r="F288" s="86" t="str">
        <x:v>Industrial Mobilization Administration</x:v>
      </x:c>
      <x:c r="G288" s="86" t="str">
        <x:v>Reconstruction Command</x:v>
      </x:c>
      <x:c r="H288" s="88" t="n">
        <x:v>0.15</x:v>
      </x:c>
      <x:c r="I288" s="85" t="n">
        <x:f>INDEX('Root Registry'!$G$6:$G$29,MATCH(B288,'Root Registry'!$A$6:$A$29,0))</x:f>
        <x:v>22.35</x:v>
      </x:c>
      <x:c r="J288" s="75" t="str">
        <x:f>INDEX('Root Registry'!$D$6:$D$29,MATCH(B288,'Root Registry'!$A$6:$A$29,0))</x:f>
      </x:c>
      <x:c r="K288" s="75" t="str">
        <x:f>INDEX('Root Registry'!$F$6:$F$29,MATCH(B288,'Root Registry'!$A$6:$A$29,0))</x:f>
      </x:c>
      <x:c r="L288" s="43" t="str"/>
      <x:c r="M288" s="43" t="str"/>
      <x:c r="N288" s="43" t="str"/>
      <x:c r="O288" s="43" t="str"/>
      <x:c r="P288" s="43" t="str"/>
      <x:c r="Q288" s="75" t="str">
        <x:f>S287</x:f>
        <x:v>SOURCE EMPTY</x:v>
      </x:c>
      <x:c r="R288" s="75" t="str">
        <x:f>IF(L288="","SOURCE EMPTY",IF(L288=J288,"ROOT COLLISION",IF(AND(M288&lt;&gt;"",M288=L288),"DUAL-KEY COLLISION","CLEAR")))</x:f>
        <x:v>SOURCE EMPTY</x:v>
      </x:c>
      <x:c r="S288" s="75" t="str">
        <x:f>IF(OR(J288="",L288="",M288="",N288="",O288=""),"SOURCE EMPTY",IF(AND(OR(D288=4,D288=5,D288=8),K288=""),"SOURCE EMPTY",IF(R288&lt;&gt;"CLEAR","COLLISION",IF(P288&lt;&gt;"","ROLLBACK",IF(O288&lt;&gt;"ACCEPT","HOLD",IF(OR(D288=1,Q288="ACCEPTED"),"ACCEPTED","SEQUENCE HOLD"))))))</x:f>
        <x:v>SOURCE EMPTY</x:v>
      </x:c>
      <x:c r="T288" s="85" t="n">
        <x:f>IF(S288="ACCEPTED",H288*I288,0)</x:f>
        <x:v>0</x:v>
      </x:c>
      <x:c r="U288" s="75"/>
      <x:c r="V288" s="75"/>
      <x:c r="W288" s="75"/>
      <x:c r="X288" s="75"/>
      <x:c r="Y288" s="75"/>
      <x:c r="Z288" s="75"/>
    </x:row>
    <x:row r="289" ht="20" customHeight="1">
      <x:c r="A289" s="86" t="str">
        <x:v>MS-RT-D-CW-08</x:v>
      </x:c>
      <x:c r="B289" s="75" t="str">
        <x:v>MS-RT-D</x:v>
      </x:c>
      <x:c r="C289" s="75" t="str">
        <x:v>MS-RT</x:v>
      </x:c>
      <x:c r="D289" s="75" t="n">
        <x:v>8</x:v>
      </x:c>
      <x:c r="E289" s="75" t="str">
        <x:v>CW-08</x:v>
      </x:c>
      <x:c r="F289" s="86" t="str">
        <x:v>Operating Services</x:v>
      </x:c>
      <x:c r="G289" s="86" t="str">
        <x:v>Joint Capacity Authority</x:v>
      </x:c>
      <x:c r="H289" s="88" t="n">
        <x:v>0.12</x:v>
      </x:c>
      <x:c r="I289" s="85" t="n">
        <x:f>INDEX('Root Registry'!$G$6:$G$29,MATCH(B289,'Root Registry'!$A$6:$A$29,0))</x:f>
        <x:v>22.35</x:v>
      </x:c>
      <x:c r="J289" s="75" t="str">
        <x:f>INDEX('Root Registry'!$D$6:$D$29,MATCH(B289,'Root Registry'!$A$6:$A$29,0))</x:f>
      </x:c>
      <x:c r="K289" s="75" t="str">
        <x:f>INDEX('Root Registry'!$F$6:$F$29,MATCH(B289,'Root Registry'!$A$6:$A$29,0))</x:f>
      </x:c>
      <x:c r="L289" s="43" t="str"/>
      <x:c r="M289" s="43" t="str"/>
      <x:c r="N289" s="43" t="str"/>
      <x:c r="O289" s="43" t="str"/>
      <x:c r="P289" s="43" t="str"/>
      <x:c r="Q289" s="75" t="str">
        <x:f>S288</x:f>
        <x:v>SOURCE EMPTY</x:v>
      </x:c>
      <x:c r="R289" s="75" t="str">
        <x:f>IF(L289="","SOURCE EMPTY",IF(L289=J289,"ROOT COLLISION",IF(AND(M289&lt;&gt;"",M289=L289),"DUAL-KEY COLLISION","CLEAR")))</x:f>
        <x:v>SOURCE EMPTY</x:v>
      </x:c>
      <x:c r="S289" s="75" t="str">
        <x:f>IF(OR(J289="",L289="",M289="",N289="",O289=""),"SOURCE EMPTY",IF(AND(OR(D289=4,D289=5,D289=8),K289=""),"SOURCE EMPTY",IF(R289&lt;&gt;"CLEAR","COLLISION",IF(P289&lt;&gt;"","ROLLBACK",IF(O289&lt;&gt;"ACCEPT","HOLD",IF(OR(D289=1,Q289="ACCEPTED"),"ACCEPTED","SEQUENCE HOLD"))))))</x:f>
        <x:v>SOURCE EMPTY</x:v>
      </x:c>
      <x:c r="T289" s="85" t="n">
        <x:f>IF(S289="ACCEPTED",H289*I289,0)</x:f>
        <x:v>0</x:v>
      </x:c>
      <x:c r="U289" s="75"/>
      <x:c r="V289" s="75"/>
      <x:c r="W289" s="75"/>
      <x:c r="X289" s="75"/>
      <x:c r="Y289" s="75"/>
      <x:c r="Z289" s="75"/>
    </x:row>
    <x:row r="290" ht="20" customHeight="1">
      <x:c r="A290" s="86" t="str">
        <x:v>MS-RT-D-RW-09</x:v>
      </x:c>
      <x:c r="B290" s="75" t="str">
        <x:v>MS-RT-D</x:v>
      </x:c>
      <x:c r="C290" s="75" t="str">
        <x:v>MS-RT</x:v>
      </x:c>
      <x:c r="D290" s="75" t="n">
        <x:v>9</x:v>
      </x:c>
      <x:c r="E290" s="75" t="str">
        <x:v>RW-09</x:v>
      </x:c>
      <x:c r="F290" s="86" t="str">
        <x:v>Joint Capacity Authority</x:v>
      </x:c>
      <x:c r="G290" s="86" t="str">
        <x:v>Department Comptroller</x:v>
      </x:c>
      <x:c r="H290" s="88" t="n">
        <x:v>0.08</x:v>
      </x:c>
      <x:c r="I290" s="85" t="n">
        <x:f>INDEX('Root Registry'!$G$6:$G$29,MATCH(B290,'Root Registry'!$A$6:$A$29,0))</x:f>
        <x:v>22.35</x:v>
      </x:c>
      <x:c r="J290" s="75" t="str">
        <x:f>INDEX('Root Registry'!$D$6:$D$29,MATCH(B290,'Root Registry'!$A$6:$A$29,0))</x:f>
      </x:c>
      <x:c r="K290" s="75" t="str">
        <x:f>INDEX('Root Registry'!$F$6:$F$29,MATCH(B290,'Root Registry'!$A$6:$A$29,0))</x:f>
      </x:c>
      <x:c r="L290" s="43" t="str"/>
      <x:c r="M290" s="43" t="str"/>
      <x:c r="N290" s="43" t="str"/>
      <x:c r="O290" s="43" t="str"/>
      <x:c r="P290" s="43" t="str"/>
      <x:c r="Q290" s="75" t="str">
        <x:f>S289</x:f>
        <x:v>SOURCE EMPTY</x:v>
      </x:c>
      <x:c r="R290" s="75" t="str">
        <x:f>IF(L290="","SOURCE EMPTY",IF(L290=J290,"ROOT COLLISION",IF(AND(M290&lt;&gt;"",M290=L290),"DUAL-KEY COLLISION","CLEAR")))</x:f>
        <x:v>SOURCE EMPTY</x:v>
      </x:c>
      <x:c r="S290" s="75" t="str">
        <x:f>IF(OR(J290="",L290="",M290="",N290="",O290=""),"SOURCE EMPTY",IF(AND(OR(D290=4,D290=5,D290=8),K290=""),"SOURCE EMPTY",IF(R290&lt;&gt;"CLEAR","COLLISION",IF(P290&lt;&gt;"","ROLLBACK",IF(O290&lt;&gt;"ACCEPT","HOLD",IF(OR(D290=1,Q290="ACCEPTED"),"ACCEPTED","SEQUENCE HOLD"))))))</x:f>
        <x:v>SOURCE EMPTY</x:v>
      </x:c>
      <x:c r="T290" s="85" t="n">
        <x:f>IF(S290="ACCEPTED",H290*I290,0)</x:f>
        <x:v>0</x:v>
      </x:c>
      <x:c r="U290" s="75"/>
      <x:c r="V290" s="75"/>
      <x:c r="W290" s="75"/>
      <x:c r="X290" s="75"/>
      <x:c r="Y290" s="75"/>
      <x:c r="Z290" s="75"/>
    </x:row>
    <x:row r="291" ht="20" customHeight="1">
      <x:c r="A291" s="86" t="str">
        <x:v>MS-RT-D-OW-10</x:v>
      </x:c>
      <x:c r="B291" s="75" t="str">
        <x:v>MS-RT-D</x:v>
      </x:c>
      <x:c r="C291" s="75" t="str">
        <x:v>MS-RT</x:v>
      </x:c>
      <x:c r="D291" s="75" t="n">
        <x:v>10</x:v>
      </x:c>
      <x:c r="E291" s="75" t="str">
        <x:v>OW-10</x:v>
      </x:c>
      <x:c r="F291" s="86" t="str">
        <x:v>Operational Command</x:v>
      </x:c>
      <x:c r="G291" s="86" t="str">
        <x:v>Civil Resilience Authority</x:v>
      </x:c>
      <x:c r="H291" s="88" t="n">
        <x:v>0.05</x:v>
      </x:c>
      <x:c r="I291" s="85" t="n">
        <x:f>INDEX('Root Registry'!$G$6:$G$29,MATCH(B291,'Root Registry'!$A$6:$A$29,0))</x:f>
        <x:v>22.35</x:v>
      </x:c>
      <x:c r="J291" s="75" t="str">
        <x:f>INDEX('Root Registry'!$D$6:$D$29,MATCH(B291,'Root Registry'!$A$6:$A$29,0))</x:f>
      </x:c>
      <x:c r="K291" s="75" t="str">
        <x:f>INDEX('Root Registry'!$F$6:$F$29,MATCH(B291,'Root Registry'!$A$6:$A$29,0))</x:f>
      </x:c>
      <x:c r="L291" s="43" t="str"/>
      <x:c r="M291" s="43" t="str"/>
      <x:c r="N291" s="43" t="str"/>
      <x:c r="O291" s="43" t="str"/>
      <x:c r="P291" s="43" t="str"/>
      <x:c r="Q291" s="75" t="str">
        <x:f>S290</x:f>
        <x:v>SOURCE EMPTY</x:v>
      </x:c>
      <x:c r="R291" s="75" t="str">
        <x:f>IF(L291="","SOURCE EMPTY",IF(L291=J291,"ROOT COLLISION",IF(AND(M291&lt;&gt;"",M291=L291),"DUAL-KEY COLLISION","CLEAR")))</x:f>
        <x:v>SOURCE EMPTY</x:v>
      </x:c>
      <x:c r="S291" s="75" t="str">
        <x:f>IF(OR(J291="",L291="",M291="",N291="",O291=""),"SOURCE EMPTY",IF(AND(OR(D291=4,D291=5,D291=8),K291=""),"SOURCE EMPTY",IF(R291&lt;&gt;"CLEAR","COLLISION",IF(P291&lt;&gt;"","ROLLBACK",IF(O291&lt;&gt;"ACCEPT","HOLD",IF(OR(D291=1,Q291="ACCEPTED"),"ACCEPTED","SEQUENCE HOLD"))))))</x:f>
        <x:v>SOURCE EMPTY</x:v>
      </x:c>
      <x:c r="T291" s="85" t="n">
        <x:f>IF(S291="ACCEPTED",H291*I291,0)</x:f>
        <x:v>0</x:v>
      </x:c>
      <x:c r="U291" s="75"/>
      <x:c r="V291" s="75"/>
      <x:c r="W291" s="75"/>
      <x:c r="X291" s="75"/>
      <x:c r="Y291" s="75"/>
      <x:c r="Z291" s="75"/>
    </x:row>
    <x:row r="292" ht="20" customHeight="1">
      <x:c r="A292" s="86" t="str">
        <x:v>MS-RT-D-SW-11</x:v>
      </x:c>
      <x:c r="B292" s="75" t="str">
        <x:v>MS-RT-D</x:v>
      </x:c>
      <x:c r="C292" s="75" t="str">
        <x:v>MS-RT</x:v>
      </x:c>
      <x:c r="D292" s="75" t="n">
        <x:v>11</x:v>
      </x:c>
      <x:c r="E292" s="75" t="str">
        <x:v>SW-11</x:v>
      </x:c>
      <x:c r="F292" s="86" t="str">
        <x:v>Civil Resilience Authority</x:v>
      </x:c>
      <x:c r="G292" s="86" t="str">
        <x:v>Affected Civil Authority</x:v>
      </x:c>
      <x:c r="H292" s="88" t="n">
        <x:v>0.07</x:v>
      </x:c>
      <x:c r="I292" s="85" t="n">
        <x:f>INDEX('Root Registry'!$G$6:$G$29,MATCH(B292,'Root Registry'!$A$6:$A$29,0))</x:f>
        <x:v>22.35</x:v>
      </x:c>
      <x:c r="J292" s="75" t="str">
        <x:f>INDEX('Root Registry'!$D$6:$D$29,MATCH(B292,'Root Registry'!$A$6:$A$29,0))</x:f>
      </x:c>
      <x:c r="K292" s="75" t="str">
        <x:f>INDEX('Root Registry'!$F$6:$F$29,MATCH(B292,'Root Registry'!$A$6:$A$29,0))</x:f>
      </x:c>
      <x:c r="L292" s="43" t="str"/>
      <x:c r="M292" s="43" t="str"/>
      <x:c r="N292" s="43" t="str"/>
      <x:c r="O292" s="43" t="str"/>
      <x:c r="P292" s="43" t="str"/>
      <x:c r="Q292" s="75" t="str">
        <x:f>S291</x:f>
        <x:v>SOURCE EMPTY</x:v>
      </x:c>
      <x:c r="R292" s="75" t="str">
        <x:f>IF(L292="","SOURCE EMPTY",IF(L292=J292,"ROOT COLLISION",IF(AND(M292&lt;&gt;"",M292=L292),"DUAL-KEY COLLISION","CLEAR")))</x:f>
        <x:v>SOURCE EMPTY</x:v>
      </x:c>
      <x:c r="S292" s="75" t="str">
        <x:f>IF(OR(J292="",L292="",M292="",N292="",O292=""),"SOURCE EMPTY",IF(AND(OR(D292=4,D292=5,D292=8),K292=""),"SOURCE EMPTY",IF(R292&lt;&gt;"CLEAR","COLLISION",IF(P292&lt;&gt;"","ROLLBACK",IF(O292&lt;&gt;"ACCEPT","HOLD",IF(OR(D292=1,Q292="ACCEPTED"),"ACCEPTED","SEQUENCE HOLD"))))))</x:f>
        <x:v>SOURCE EMPTY</x:v>
      </x:c>
      <x:c r="T292" s="85" t="n">
        <x:f>IF(S292="ACCEPTED",H292*I292,0)</x:f>
        <x:v>0</x:v>
      </x:c>
      <x:c r="U292" s="75"/>
      <x:c r="V292" s="75"/>
      <x:c r="W292" s="75"/>
      <x:c r="X292" s="75"/>
      <x:c r="Y292" s="75"/>
      <x:c r="Z292" s="75"/>
    </x:row>
    <x:row r="293" ht="20" customHeight="1">
      <x:c r="A293" s="86" t="str">
        <x:v>MS-RT-D-GW-12</x:v>
      </x:c>
      <x:c r="B293" s="75" t="str">
        <x:v>MS-RT-D</x:v>
      </x:c>
      <x:c r="C293" s="75" t="str">
        <x:v>MS-RT</x:v>
      </x:c>
      <x:c r="D293" s="75" t="n">
        <x:v>12</x:v>
      </x:c>
      <x:c r="E293" s="75" t="str">
        <x:v>GW-12</x:v>
      </x:c>
      <x:c r="F293" s="86" t="str">
        <x:v>Strategic Sustainment Command</x:v>
      </x:c>
      <x:c r="G293" s="86" t="str">
        <x:v>Joint Capacity Authority</x:v>
      </x:c>
      <x:c r="H293" s="88" t="n">
        <x:v>0.05</x:v>
      </x:c>
      <x:c r="I293" s="85" t="n">
        <x:f>INDEX('Root Registry'!$G$6:$G$29,MATCH(B293,'Root Registry'!$A$6:$A$29,0))</x:f>
        <x:v>22.35</x:v>
      </x:c>
      <x:c r="J293" s="75" t="str">
        <x:f>INDEX('Root Registry'!$D$6:$D$29,MATCH(B293,'Root Registry'!$A$6:$A$29,0))</x:f>
      </x:c>
      <x:c r="K293" s="75" t="str">
        <x:f>INDEX('Root Registry'!$F$6:$F$29,MATCH(B293,'Root Registry'!$A$6:$A$29,0))</x:f>
      </x:c>
      <x:c r="L293" s="43" t="str"/>
      <x:c r="M293" s="43" t="str"/>
      <x:c r="N293" s="43" t="str"/>
      <x:c r="O293" s="43" t="str"/>
      <x:c r="P293" s="43" t="str"/>
      <x:c r="Q293" s="75" t="str">
        <x:f>S292</x:f>
        <x:v>SOURCE EMPTY</x:v>
      </x:c>
      <x:c r="R293" s="75" t="str">
        <x:f>IF(L293="","SOURCE EMPTY",IF(L293=J293,"ROOT COLLISION",IF(AND(M293&lt;&gt;"",M293=L293),"DUAL-KEY COLLISION","CLEAR")))</x:f>
        <x:v>SOURCE EMPTY</x:v>
      </x:c>
      <x:c r="S293" s="75" t="str">
        <x:f>IF(OR(J293="",L293="",M293="",N293="",O293=""),"SOURCE EMPTY",IF(AND(OR(D293=4,D293=5,D293=8),K293=""),"SOURCE EMPTY",IF(R293&lt;&gt;"CLEAR","COLLISION",IF(P293&lt;&gt;"","ROLLBACK",IF(O293&lt;&gt;"ACCEPT","HOLD",IF(OR(D293=1,Q293="ACCEPTED"),"ACCEPTED","SEQUENCE HOLD"))))))</x:f>
        <x:v>SOURCE EMPTY</x:v>
      </x:c>
      <x:c r="T293" s="85" t="n">
        <x:f>IF(S293="ACCEPTED",H293*I293,0)</x:f>
        <x:v>0</x:v>
      </x:c>
      <x:c r="U293" s="75"/>
      <x:c r="V293" s="75"/>
      <x:c r="W293" s="75"/>
      <x:c r="X293" s="75"/>
      <x:c r="Y293" s="75"/>
      <x:c r="Z293" s="75"/>
    </x:row>
  </x:sheetData>
  <x:conditionalFormatting sqref="S6:S293">
    <x:cfRule type="containsText" dxfId="5" priority="1" operator="containsText" text="COLLISION"/>
  </x:conditionalFormatting>
  <x:dataValidations count="2">
    <x:dataValidation type="list" sqref="O6:O293">
      <x:formula1>"ACCEPT,HOLD,DENY"</x:formula1>
    </x:dataValidation>
    <x:dataValidation type="list" sqref="P6:P293">
      <x:formula1>"BALANCE RESIZE,KEYSTONE KILL,SAFETY STOP,READINESS LAPSE,CIVIL REVOCATION,REGENERATION FAILURE"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  <x:col min="10" max="10" width="24" hidden="0" customWidth="1"/>
    <x:col min="11" max="11" width="24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Six-system release barriers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Every system requires four complete roots; positive evidence cannot average across roots or systems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System</x:v>
      </x:c>
      <x:c r="B5" s="38" t="str">
        <x:v>Mission system</x:v>
      </x:c>
      <x:c r="C5" s="38" t="str">
        <x:v>Proof roots at EW-06</x:v>
      </x:c>
      <x:c r="D5" s="38" t="str">
        <x:v>Production roots at IW-07</x:v>
      </x:c>
      <x:c r="E5" s="38" t="str">
        <x:v>Certified roots at CW-08</x:v>
      </x:c>
      <x:c r="F5" s="38" t="str">
        <x:v>Reserved roots at RW-09</x:v>
      </x:c>
      <x:c r="G5" s="38" t="str">
        <x:v>Employed roots at OW-10</x:v>
      </x:c>
      <x:c r="H5" s="38" t="str">
        <x:v>Regenerated roots at GW-12</x:v>
      </x:c>
      <x:c r="I5" s="38" t="str">
        <x:v>Four-root barrier</x:v>
      </x:c>
      <x:c r="J5" s="38" t="str">
        <x:v>Cascadia contribution</x:v>
      </x:c>
      <x:c r="K5" s="39" t="str">
        <x:v>25-year mission authority (USD B)</x:v>
      </x:c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str">
        <x:v>MS-ET</x:v>
      </x:c>
      <x:c r="B6" s="86" t="str">
        <x:v>Enter a broken theater</x:v>
      </x:c>
      <x:c r="C6" s="75" t="n">
        <x:f>COUNTIFS('Warrant Ledger'!$C$6:$C$293,A6,'Warrant Ledger'!$D$6:$D$293,6,'Warrant Ledger'!$S$6:$S$293,"ACCEPTED")</x:f>
        <x:v>0</x:v>
      </x:c>
      <x:c r="D6" s="75" t="n">
        <x:f>COUNTIFS('Warrant Ledger'!$C$6:$C$293,A6,'Warrant Ledger'!$D$6:$D$293,7,'Warrant Ledger'!$S$6:$S$293,"ACCEPTED")</x:f>
        <x:v>0</x:v>
      </x:c>
      <x:c r="E6" s="75" t="n">
        <x:f>COUNTIFS('Warrant Ledger'!$C$6:$C$293,A6,'Warrant Ledger'!$D$6:$D$293,8,'Warrant Ledger'!$S$6:$S$293,"ACCEPTED")</x:f>
        <x:v>0</x:v>
      </x:c>
      <x:c r="F6" s="75" t="n">
        <x:f>COUNTIFS('Warrant Ledger'!$C$6:$C$293,A6,'Warrant Ledger'!$D$6:$D$293,9,'Warrant Ledger'!$S$6:$S$293,"ACCEPTED")</x:f>
        <x:v>0</x:v>
      </x:c>
      <x:c r="G6" s="75" t="n">
        <x:f>COUNTIFS('Warrant Ledger'!$C$6:$C$293,A6,'Warrant Ledger'!$D$6:$D$293,10,'Warrant Ledger'!$S$6:$S$293,"ACCEPTED")</x:f>
        <x:v>0</x:v>
      </x:c>
      <x:c r="H6" s="75" t="n">
        <x:f>COUNTIFS('Warrant Ledger'!$C$6:$C$293,A6,'Warrant Ledger'!$D$6:$D$293,12,'Warrant Ledger'!$S$6:$S$293,"ACCEPTED")</x:f>
        <x:v>0</x:v>
      </x:c>
      <x:c r="I6" s="89" t="str">
        <x:f>IF(MIN(C6:H6)=4,"RELEASED","BLOCKED")</x:f>
        <x:v>BLOCKED</x:v>
      </x:c>
      <x:c r="J6" s="90" t="str">
        <x:f>IF(I6="RELEASED","ELIGIBLE","BLOCKED")</x:f>
        <x:v>BLOCKED</x:v>
      </x:c>
      <x:c r="K6" s="85" t="n">
        <x:v>89</x:v>
      </x:c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MS-CT</x:v>
      </x:c>
      <x:c r="B7" s="86" t="str">
        <x:v>Reach occupied civil terrain</x:v>
      </x:c>
      <x:c r="C7" s="75" t="n">
        <x:f>COUNTIFS('Warrant Ledger'!$C$6:$C$293,A7,'Warrant Ledger'!$D$6:$D$293,6,'Warrant Ledger'!$S$6:$S$293,"ACCEPTED")</x:f>
        <x:v>0</x:v>
      </x:c>
      <x:c r="D7" s="75" t="n">
        <x:f>COUNTIFS('Warrant Ledger'!$C$6:$C$293,A7,'Warrant Ledger'!$D$6:$D$293,7,'Warrant Ledger'!$S$6:$S$293,"ACCEPTED")</x:f>
        <x:v>0</x:v>
      </x:c>
      <x:c r="E7" s="75" t="n">
        <x:f>COUNTIFS('Warrant Ledger'!$C$6:$C$293,A7,'Warrant Ledger'!$D$6:$D$293,8,'Warrant Ledger'!$S$6:$S$293,"ACCEPTED")</x:f>
        <x:v>0</x:v>
      </x:c>
      <x:c r="F7" s="75" t="n">
        <x:f>COUNTIFS('Warrant Ledger'!$C$6:$C$293,A7,'Warrant Ledger'!$D$6:$D$293,9,'Warrant Ledger'!$S$6:$S$293,"ACCEPTED")</x:f>
        <x:v>0</x:v>
      </x:c>
      <x:c r="G7" s="75" t="n">
        <x:f>COUNTIFS('Warrant Ledger'!$C$6:$C$293,A7,'Warrant Ledger'!$D$6:$D$293,10,'Warrant Ledger'!$S$6:$S$293,"ACCEPTED")</x:f>
        <x:v>0</x:v>
      </x:c>
      <x:c r="H7" s="75" t="n">
        <x:f>COUNTIFS('Warrant Ledger'!$C$6:$C$293,A7,'Warrant Ledger'!$D$6:$D$293,12,'Warrant Ledger'!$S$6:$S$293,"ACCEPTED")</x:f>
        <x:v>0</x:v>
      </x:c>
      <x:c r="I7" s="89" t="str">
        <x:f>IF(MIN(C7:H7)=4,"RELEASED","BLOCKED")</x:f>
        <x:v>BLOCKED</x:v>
      </x:c>
      <x:c r="J7" s="90" t="str">
        <x:f>IF(I7="RELEASED","ELIGIBLE","BLOCKED")</x:f>
        <x:v>BLOCKED</x:v>
      </x:c>
      <x:c r="K7" s="85" t="n">
        <x:v>91.9</x:v>
      </x:c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MS-HC</x:v>
      </x:c>
      <x:c r="B8" s="86" t="str">
        <x:v>Control an active hazard</x:v>
      </x:c>
      <x:c r="C8" s="75" t="n">
        <x:f>COUNTIFS('Warrant Ledger'!$C$6:$C$293,A8,'Warrant Ledger'!$D$6:$D$293,6,'Warrant Ledger'!$S$6:$S$293,"ACCEPTED")</x:f>
        <x:v>0</x:v>
      </x:c>
      <x:c r="D8" s="75" t="n">
        <x:f>COUNTIFS('Warrant Ledger'!$C$6:$C$293,A8,'Warrant Ledger'!$D$6:$D$293,7,'Warrant Ledger'!$S$6:$S$293,"ACCEPTED")</x:f>
        <x:v>0</x:v>
      </x:c>
      <x:c r="E8" s="75" t="n">
        <x:f>COUNTIFS('Warrant Ledger'!$C$6:$C$293,A8,'Warrant Ledger'!$D$6:$D$293,8,'Warrant Ledger'!$S$6:$S$293,"ACCEPTED")</x:f>
        <x:v>0</x:v>
      </x:c>
      <x:c r="F8" s="75" t="n">
        <x:f>COUNTIFS('Warrant Ledger'!$C$6:$C$293,A8,'Warrant Ledger'!$D$6:$D$293,9,'Warrant Ledger'!$S$6:$S$293,"ACCEPTED")</x:f>
        <x:v>0</x:v>
      </x:c>
      <x:c r="G8" s="75" t="n">
        <x:f>COUNTIFS('Warrant Ledger'!$C$6:$C$293,A8,'Warrant Ledger'!$D$6:$D$293,10,'Warrant Ledger'!$S$6:$S$293,"ACCEPTED")</x:f>
        <x:v>0</x:v>
      </x:c>
      <x:c r="H8" s="75" t="n">
        <x:f>COUNTIFS('Warrant Ledger'!$C$6:$C$293,A8,'Warrant Ledger'!$D$6:$D$293,12,'Warrant Ledger'!$S$6:$S$293,"ACCEPTED")</x:f>
        <x:v>0</x:v>
      </x:c>
      <x:c r="I8" s="89" t="str">
        <x:f>IF(MIN(C8:H8)=4,"RELEASED","BLOCKED")</x:f>
        <x:v>BLOCKED</x:v>
      </x:c>
      <x:c r="J8" s="90" t="str">
        <x:f>IF(I8="RELEASED","ELIGIBLE","BLOCKED")</x:f>
        <x:v>BLOCKED</x:v>
      </x:c>
      <x:c r="K8" s="85" t="n">
        <x:v>54.6</x:v>
      </x:c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MS-LF</x:v>
      </x:c>
      <x:c r="B9" s="86" t="str">
        <x:v>Produce and distribute lifelines</x:v>
      </x:c>
      <x:c r="C9" s="75" t="n">
        <x:f>COUNTIFS('Warrant Ledger'!$C$6:$C$293,A9,'Warrant Ledger'!$D$6:$D$293,6,'Warrant Ledger'!$S$6:$S$293,"ACCEPTED")</x:f>
        <x:v>0</x:v>
      </x:c>
      <x:c r="D9" s="75" t="n">
        <x:f>COUNTIFS('Warrant Ledger'!$C$6:$C$293,A9,'Warrant Ledger'!$D$6:$D$293,7,'Warrant Ledger'!$S$6:$S$293,"ACCEPTED")</x:f>
        <x:v>0</x:v>
      </x:c>
      <x:c r="E9" s="75" t="n">
        <x:f>COUNTIFS('Warrant Ledger'!$C$6:$C$293,A9,'Warrant Ledger'!$D$6:$D$293,8,'Warrant Ledger'!$S$6:$S$293,"ACCEPTED")</x:f>
        <x:v>0</x:v>
      </x:c>
      <x:c r="F9" s="75" t="n">
        <x:f>COUNTIFS('Warrant Ledger'!$C$6:$C$293,A9,'Warrant Ledger'!$D$6:$D$293,9,'Warrant Ledger'!$S$6:$S$293,"ACCEPTED")</x:f>
        <x:v>0</x:v>
      </x:c>
      <x:c r="G9" s="75" t="n">
        <x:f>COUNTIFS('Warrant Ledger'!$C$6:$C$293,A9,'Warrant Ledger'!$D$6:$D$293,10,'Warrant Ledger'!$S$6:$S$293,"ACCEPTED")</x:f>
        <x:v>0</x:v>
      </x:c>
      <x:c r="H9" s="75" t="n">
        <x:f>COUNTIFS('Warrant Ledger'!$C$6:$C$293,A9,'Warrant Ledger'!$D$6:$D$293,12,'Warrant Ledger'!$S$6:$S$293,"ACCEPTED")</x:f>
        <x:v>0</x:v>
      </x:c>
      <x:c r="I9" s="89" t="str">
        <x:f>IF(MIN(C9:H9)=4,"RELEASED","BLOCKED")</x:f>
        <x:v>BLOCKED</x:v>
      </x:c>
      <x:c r="J9" s="90" t="str">
        <x:f>IF(I9="RELEASED","ELIGIBLE","BLOCKED")</x:f>
        <x:v>BLOCKED</x:v>
      </x:c>
      <x:c r="K9" s="85" t="n">
        <x:v>72</x:v>
      </x:c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str">
        <x:v>MS-HU</x:v>
      </x:c>
      <x:c r="B10" s="86" t="str">
        <x:v>Preserve care and human continuity</x:v>
      </x:c>
      <x:c r="C10" s="75" t="n">
        <x:f>COUNTIFS('Warrant Ledger'!$C$6:$C$293,A10,'Warrant Ledger'!$D$6:$D$293,6,'Warrant Ledger'!$S$6:$S$293,"ACCEPTED")</x:f>
        <x:v>0</x:v>
      </x:c>
      <x:c r="D10" s="75" t="n">
        <x:f>COUNTIFS('Warrant Ledger'!$C$6:$C$293,A10,'Warrant Ledger'!$D$6:$D$293,7,'Warrant Ledger'!$S$6:$S$293,"ACCEPTED")</x:f>
        <x:v>0</x:v>
      </x:c>
      <x:c r="E10" s="75" t="n">
        <x:f>COUNTIFS('Warrant Ledger'!$C$6:$C$293,A10,'Warrant Ledger'!$D$6:$D$293,8,'Warrant Ledger'!$S$6:$S$293,"ACCEPTED")</x:f>
        <x:v>0</x:v>
      </x:c>
      <x:c r="F10" s="75" t="n">
        <x:f>COUNTIFS('Warrant Ledger'!$C$6:$C$293,A10,'Warrant Ledger'!$D$6:$D$293,9,'Warrant Ledger'!$S$6:$S$293,"ACCEPTED")</x:f>
        <x:v>0</x:v>
      </x:c>
      <x:c r="G10" s="75" t="n">
        <x:f>COUNTIFS('Warrant Ledger'!$C$6:$C$293,A10,'Warrant Ledger'!$D$6:$D$293,10,'Warrant Ledger'!$S$6:$S$293,"ACCEPTED")</x:f>
        <x:v>0</x:v>
      </x:c>
      <x:c r="H10" s="75" t="n">
        <x:f>COUNTIFS('Warrant Ledger'!$C$6:$C$293,A10,'Warrant Ledger'!$D$6:$D$293,12,'Warrant Ledger'!$S$6:$S$293,"ACCEPTED")</x:f>
        <x:v>0</x:v>
      </x:c>
      <x:c r="I10" s="89" t="str">
        <x:f>IF(MIN(C10:H10)=4,"RELEASED","BLOCKED")</x:f>
        <x:v>BLOCKED</x:v>
      </x:c>
      <x:c r="J10" s="90" t="str">
        <x:f>IF(I10="RELEASED","ELIGIBLE","BLOCKED")</x:f>
        <x:v>BLOCKED</x:v>
      </x:c>
      <x:c r="K10" s="85" t="n">
        <x:v>153</x:v>
      </x:c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75" t="str">
        <x:v>MS-RT</x:v>
      </x:c>
      <x:c r="B11" s="86" t="str">
        <x:v>Sustain, transfer and regenerate</x:v>
      </x:c>
      <x:c r="C11" s="75" t="n">
        <x:f>COUNTIFS('Warrant Ledger'!$C$6:$C$293,A11,'Warrant Ledger'!$D$6:$D$293,6,'Warrant Ledger'!$S$6:$S$293,"ACCEPTED")</x:f>
        <x:v>0</x:v>
      </x:c>
      <x:c r="D11" s="75" t="n">
        <x:f>COUNTIFS('Warrant Ledger'!$C$6:$C$293,A11,'Warrant Ledger'!$D$6:$D$293,7,'Warrant Ledger'!$S$6:$S$293,"ACCEPTED")</x:f>
        <x:v>0</x:v>
      </x:c>
      <x:c r="E11" s="75" t="n">
        <x:f>COUNTIFS('Warrant Ledger'!$C$6:$C$293,A11,'Warrant Ledger'!$D$6:$D$293,8,'Warrant Ledger'!$S$6:$S$293,"ACCEPTED")</x:f>
        <x:v>0</x:v>
      </x:c>
      <x:c r="F11" s="75" t="n">
        <x:f>COUNTIFS('Warrant Ledger'!$C$6:$C$293,A11,'Warrant Ledger'!$D$6:$D$293,9,'Warrant Ledger'!$S$6:$S$293,"ACCEPTED")</x:f>
        <x:v>0</x:v>
      </x:c>
      <x:c r="G11" s="75" t="n">
        <x:f>COUNTIFS('Warrant Ledger'!$C$6:$C$293,A11,'Warrant Ledger'!$D$6:$D$293,10,'Warrant Ledger'!$S$6:$S$293,"ACCEPTED")</x:f>
        <x:v>0</x:v>
      </x:c>
      <x:c r="H11" s="75" t="n">
        <x:f>COUNTIFS('Warrant Ledger'!$C$6:$C$293,A11,'Warrant Ledger'!$D$6:$D$293,12,'Warrant Ledger'!$S$6:$S$293,"ACCEPTED")</x:f>
        <x:v>0</x:v>
      </x:c>
      <x:c r="I11" s="89" t="str">
        <x:f>IF(MIN(C11:H11)=4,"RELEASED","BLOCKED")</x:f>
        <x:v>BLOCKED</x:v>
      </x:c>
      <x:c r="J11" s="90" t="str">
        <x:f>IF(I11="RELEASED","ELIGIBLE","BLOCKED")</x:f>
        <x:v>BLOCKED</x:v>
      </x:c>
      <x:c r="K11" s="85" t="n">
        <x:v>89.4</x:v>
      </x:c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52" hidden="0" customWidth="1"/>
    <x:col min="5" max="5" width="24" hidden="0" customWidth="1"/>
    <x:col min="6" max="6" width="24" hidden="0" customWidth="1"/>
    <x:col min="7" max="7" width="18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Non-collapsible institutional separations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A distinct title is insufficient; beneficial control, executive command, decisive toolchain and evidence custody must remain separate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Role A</x:v>
      </x:c>
      <x:c r="B5" s="38" t="str">
        <x:v>Role B</x:v>
      </x:c>
      <x:c r="C5" s="38" t="str">
        <x:v>Control dimension</x:v>
      </x:c>
      <x:c r="D5" s="38" t="str">
        <x:v>Reason</x:v>
      </x:c>
      <x:c r="E5" s="38" t="str">
        <x:v>Role A identity</x:v>
      </x:c>
      <x:c r="F5" s="38" t="str">
        <x:v>Role B identity</x:v>
      </x:c>
      <x:c r="G5" s="39" t="str">
        <x:v>Status</x:v>
      </x:c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86" t="str">
        <x:v>Independent Root Houses</x:v>
      </x:c>
      <x:c r="B6" s="86" t="str">
        <x:v>Resilience Proving Service</x:v>
      </x:c>
      <x:c r="C6" s="75" t="str">
        <x:v>Beneficial Control</x:v>
      </x:c>
      <x:c r="D6" s="86" t="str">
        <x:v>Candidate owner cannot own truth authority</x:v>
      </x:c>
      <x:c r="E6" s="75" t="str">
        <x:f>INDEX('Institutions'!$G$6:$J$15,MATCH(A6,'Institutions'!$A$6:$A$15,0),MATCH(C6,'Institutions'!$G$5:$J$5,0))</x:f>
      </x:c>
      <x:c r="F6" s="75" t="str">
        <x:f>INDEX('Institutions'!$G$6:$J$15,MATCH(B6,'Institutions'!$A$6:$A$15,0),MATCH(C6,'Institutions'!$G$5:$J$5,0))</x:f>
      </x:c>
      <x:c r="G6" s="75" t="str">
        <x:f>IF(OR(E6="",F6=""),"SOURCE EMPTY",IF(E6=F6,"FAIL","PASS"))</x:f>
        <x:v>SOURCE EMPTY</x:v>
      </x:c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86" t="str">
        <x:v>Independent Root Houses</x:v>
      </x:c>
      <x:c r="B7" s="86" t="str">
        <x:v>Resilience Proving Service</x:v>
      </x:c>
      <x:c r="C7" s="75" t="str">
        <x:v>Executive Command</x:v>
      </x:c>
      <x:c r="D7" s="86" t="str">
        <x:v>Candidate executive cannot command truth authority</x:v>
      </x:c>
      <x:c r="E7" s="75" t="str">
        <x:f>INDEX('Institutions'!$G$6:$J$15,MATCH(A7,'Institutions'!$A$6:$A$15,0),MATCH(C7,'Institutions'!$G$5:$J$5,0))</x:f>
      </x:c>
      <x:c r="F7" s="75" t="str">
        <x:f>INDEX('Institutions'!$G$6:$J$15,MATCH(B7,'Institutions'!$A$6:$A$15,0),MATCH(C7,'Institutions'!$G$5:$J$5,0))</x:f>
      </x:c>
      <x:c r="G7" s="75" t="str">
        <x:f>IF(OR(E7="",F7=""),"SOURCE EMPTY",IF(E7=F7,"FAIL","PASS"))</x:f>
        <x:v>SOURCE EMPTY</x:v>
      </x:c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86" t="str">
        <x:v>Independent Root Houses</x:v>
      </x:c>
      <x:c r="B8" s="86" t="str">
        <x:v>Resilience Proving Service</x:v>
      </x:c>
      <x:c r="C8" s="75" t="str">
        <x:v>Decisive Toolchain</x:v>
      </x:c>
      <x:c r="D8" s="86" t="str">
        <x:v>Candidate toolchain cannot create decisive evidence</x:v>
      </x:c>
      <x:c r="E8" s="75" t="str">
        <x:f>INDEX('Institutions'!$G$6:$J$15,MATCH(A8,'Institutions'!$A$6:$A$15,0),MATCH(C8,'Institutions'!$G$5:$J$5,0))</x:f>
      </x:c>
      <x:c r="F8" s="75" t="str">
        <x:f>INDEX('Institutions'!$G$6:$J$15,MATCH(B8,'Institutions'!$A$6:$A$15,0),MATCH(C8,'Institutions'!$G$5:$J$5,0))</x:f>
      </x:c>
      <x:c r="G8" s="75" t="str">
        <x:f>IF(OR(E8="",F8=""),"SOURCE EMPTY",IF(E8=F8,"FAIL","PASS"))</x:f>
        <x:v>SOURCE EMPTY</x:v>
      </x:c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86" t="str">
        <x:v>Independent Root Houses</x:v>
      </x:c>
      <x:c r="B9" s="86" t="str">
        <x:v>Resilience Proving Service</x:v>
      </x:c>
      <x:c r="C9" s="75" t="str">
        <x:v>Evidence Custody</x:v>
      </x:c>
      <x:c r="D9" s="86" t="str">
        <x:v>Candidate custodian cannot hold raw evidence</x:v>
      </x:c>
      <x:c r="E9" s="75" t="str">
        <x:f>INDEX('Institutions'!$G$6:$J$15,MATCH(A9,'Institutions'!$A$6:$A$15,0),MATCH(C9,'Institutions'!$G$5:$J$5,0))</x:f>
      </x:c>
      <x:c r="F9" s="75" t="str">
        <x:f>INDEX('Institutions'!$G$6:$J$15,MATCH(B9,'Institutions'!$A$6:$A$15,0),MATCH(C9,'Institutions'!$G$5:$J$5,0))</x:f>
      </x:c>
      <x:c r="G9" s="75" t="str">
        <x:f>IF(OR(E9="",F9=""),"SOURCE EMPTY",IF(E9=F9,"FAIL","PASS"))</x:f>
        <x:v>SOURCE EMPTY</x:v>
      </x:c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86" t="str">
        <x:v>Independent Root Houses</x:v>
      </x:c>
      <x:c r="B10" s="86" t="str">
        <x:v>Department Capital Board</x:v>
      </x:c>
      <x:c r="C10" s="75" t="str">
        <x:v>Beneficial Control</x:v>
      </x:c>
      <x:c r="D10" s="86" t="str">
        <x:v>Candidate owner cannot control option authority</x:v>
      </x:c>
      <x:c r="E10" s="75" t="str">
        <x:f>INDEX('Institutions'!$G$6:$J$15,MATCH(A10,'Institutions'!$A$6:$A$15,0),MATCH(C10,'Institutions'!$G$5:$J$5,0))</x:f>
      </x:c>
      <x:c r="F10" s="75" t="str">
        <x:f>INDEX('Institutions'!$G$6:$J$15,MATCH(B10,'Institutions'!$A$6:$A$15,0),MATCH(C10,'Institutions'!$G$5:$J$5,0))</x:f>
      </x:c>
      <x:c r="G10" s="75" t="str">
        <x:f>IF(OR(E10="",F10=""),"SOURCE EMPTY",IF(E10=F10,"FAIL","PASS"))</x:f>
        <x:v>SOURCE EMPTY</x:v>
      </x:c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86" t="str">
        <x:v>Independent Root Houses</x:v>
      </x:c>
      <x:c r="B11" s="86" t="str">
        <x:v>Mission System Commands</x:v>
      </x:c>
      <x:c r="C11" s="75" t="str">
        <x:v>Executive Command</x:v>
      </x:c>
      <x:c r="D11" s="86" t="str">
        <x:v>Candidate cannot define its public requirement</x:v>
      </x:c>
      <x:c r="E11" s="75" t="str">
        <x:f>INDEX('Institutions'!$G$6:$J$15,MATCH(A11,'Institutions'!$A$6:$A$15,0),MATCH(C11,'Institutions'!$G$5:$J$5,0))</x:f>
      </x:c>
      <x:c r="F11" s="75" t="str">
        <x:f>INDEX('Institutions'!$G$6:$J$15,MATCH(B11,'Institutions'!$A$6:$A$15,0),MATCH(C11,'Institutions'!$G$5:$J$5,0))</x:f>
      </x:c>
      <x:c r="G11" s="75" t="str">
        <x:f>IF(OR(E11="",F11=""),"SOURCE EMPTY",IF(E11=F11,"FAIL","PASS"))</x:f>
        <x:v>SOURCE EMPTY</x:v>
      </x:c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86" t="str">
        <x:v>Independent Root Houses</x:v>
      </x:c>
      <x:c r="B12" s="86" t="str">
        <x:v>Operating Services</x:v>
      </x:c>
      <x:c r="C12" s="75" t="str">
        <x:v>Evidence Custody</x:v>
      </x:c>
      <x:c r="D12" s="86" t="str">
        <x:v>Candidate cannot inherit technical-release evidence</x:v>
      </x:c>
      <x:c r="E12" s="75" t="str">
        <x:f>INDEX('Institutions'!$G$6:$J$15,MATCH(A12,'Institutions'!$A$6:$A$15,0),MATCH(C12,'Institutions'!$G$5:$J$5,0))</x:f>
      </x:c>
      <x:c r="F12" s="75" t="str">
        <x:f>INDEX('Institutions'!$G$6:$J$15,MATCH(B12,'Institutions'!$A$6:$A$15,0),MATCH(C12,'Institutions'!$G$5:$J$5,0))</x:f>
      </x:c>
      <x:c r="G12" s="75" t="str">
        <x:f>IF(OR(E12="",F12=""),"SOURCE EMPTY",IF(E12=F12,"FAIL","PASS"))</x:f>
        <x:v>SOURCE EMPTY</x:v>
      </x:c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86" t="str">
        <x:v>Mission System Commands</x:v>
      </x:c>
      <x:c r="B13" s="86" t="str">
        <x:v>Resilience Proving Service</x:v>
      </x:c>
      <x:c r="C13" s="75" t="str">
        <x:v>Executive Command</x:v>
      </x:c>
      <x:c r="D13" s="86" t="str">
        <x:v>Requirement owner cannot command adjudication</x:v>
      </x:c>
      <x:c r="E13" s="75" t="str">
        <x:f>INDEX('Institutions'!$G$6:$J$15,MATCH(A13,'Institutions'!$A$6:$A$15,0),MATCH(C13,'Institutions'!$G$5:$J$5,0))</x:f>
      </x:c>
      <x:c r="F13" s="75" t="str">
        <x:f>INDEX('Institutions'!$G$6:$J$15,MATCH(B13,'Institutions'!$A$6:$A$15,0),MATCH(C13,'Institutions'!$G$5:$J$5,0))</x:f>
      </x:c>
      <x:c r="G13" s="75" t="str">
        <x:f>IF(OR(E13="",F13=""),"SOURCE EMPTY",IF(E13=F13,"FAIL","PASS"))</x:f>
        <x:v>SOURCE EMPTY</x:v>
      </x:c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86" t="str">
        <x:v>Mission System Commands</x:v>
      </x:c>
      <x:c r="B14" s="86" t="str">
        <x:v>Resilience Proving Service</x:v>
      </x:c>
      <x:c r="C14" s="75" t="str">
        <x:v>Evidence Custody</x:v>
      </x:c>
      <x:c r="D14" s="86" t="str">
        <x:v>Requirement owner cannot curate decisive evidence</x:v>
      </x:c>
      <x:c r="E14" s="75" t="str">
        <x:f>INDEX('Institutions'!$G$6:$J$15,MATCH(A14,'Institutions'!$A$6:$A$15,0),MATCH(C14,'Institutions'!$G$5:$J$5,0))</x:f>
      </x:c>
      <x:c r="F14" s="75" t="str">
        <x:f>INDEX('Institutions'!$G$6:$J$15,MATCH(B14,'Institutions'!$A$6:$A$15,0),MATCH(C14,'Institutions'!$G$5:$J$5,0))</x:f>
      </x:c>
      <x:c r="G14" s="75" t="str">
        <x:f>IF(OR(E14="",F14=""),"SOURCE EMPTY",IF(E14=F14,"FAIL","PASS"))</x:f>
        <x:v>SOURCE EMPTY</x:v>
      </x:c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86" t="str">
        <x:v>Operating Services</x:v>
      </x:c>
      <x:c r="B15" s="86" t="str">
        <x:v>Resilience Proving Service</x:v>
      </x:c>
      <x:c r="C15" s="75" t="str">
        <x:v>Executive Command</x:v>
      </x:c>
      <x:c r="D15" s="86" t="str">
        <x:v>Lifecycle sponsor cannot command root disposition</x:v>
      </x:c>
      <x:c r="E15" s="75" t="str">
        <x:f>INDEX('Institutions'!$G$6:$J$15,MATCH(A15,'Institutions'!$A$6:$A$15,0),MATCH(C15,'Institutions'!$G$5:$J$5,0))</x:f>
      </x:c>
      <x:c r="F15" s="75" t="str">
        <x:f>INDEX('Institutions'!$G$6:$J$15,MATCH(B15,'Institutions'!$A$6:$A$15,0),MATCH(C15,'Institutions'!$G$5:$J$5,0))</x:f>
      </x:c>
      <x:c r="G15" s="75" t="str">
        <x:f>IF(OR(E15="",F15=""),"SOURCE EMPTY",IF(E15=F15,"FAIL","PASS"))</x:f>
        <x:v>SOURCE EMPTY</x:v>
      </x:c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86" t="str">
        <x:v>Operating Services</x:v>
      </x:c>
      <x:c r="B16" s="86" t="str">
        <x:v>Resilience Proving Service</x:v>
      </x:c>
      <x:c r="C16" s="75" t="str">
        <x:v>Evidence Custody</x:v>
      </x:c>
      <x:c r="D16" s="86" t="str">
        <x:v>Technical release cannot own raw proof custody</x:v>
      </x:c>
      <x:c r="E16" s="75" t="str">
        <x:f>INDEX('Institutions'!$G$6:$J$15,MATCH(A16,'Institutions'!$A$6:$A$15,0),MATCH(C16,'Institutions'!$G$5:$J$5,0))</x:f>
      </x:c>
      <x:c r="F16" s="75" t="str">
        <x:f>INDEX('Institutions'!$G$6:$J$15,MATCH(B16,'Institutions'!$A$6:$A$15,0),MATCH(C16,'Institutions'!$G$5:$J$5,0))</x:f>
      </x:c>
      <x:c r="G16" s="75" t="str">
        <x:f>IF(OR(E16="",F16=""),"SOURCE EMPTY",IF(E16=F16,"FAIL","PASS"))</x:f>
        <x:v>SOURCE EMPTY</x:v>
      </x:c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20" customHeight="1">
      <x:c r="A17" s="86" t="str">
        <x:v>Department Capital Board</x:v>
      </x:c>
      <x:c r="B17" s="86" t="str">
        <x:v>Resilience Proving Service</x:v>
      </x:c>
      <x:c r="C17" s="75" t="str">
        <x:v>Executive Command</x:v>
      </x:c>
      <x:c r="D17" s="86" t="str">
        <x:v>Funding cannot direct evidentiary result</x:v>
      </x:c>
      <x:c r="E17" s="75" t="str">
        <x:f>INDEX('Institutions'!$G$6:$J$15,MATCH(A17,'Institutions'!$A$6:$A$15,0),MATCH(C17,'Institutions'!$G$5:$J$5,0))</x:f>
      </x:c>
      <x:c r="F17" s="75" t="str">
        <x:f>INDEX('Institutions'!$G$6:$J$15,MATCH(B17,'Institutions'!$A$6:$A$15,0),MATCH(C17,'Institutions'!$G$5:$J$5,0))</x:f>
      </x:c>
      <x:c r="G17" s="75" t="str">
        <x:f>IF(OR(E17="",F17=""),"SOURCE EMPTY",IF(E17=F17,"FAIL","PASS"))</x:f>
        <x:v>SOURCE EMPTY</x:v>
      </x:c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20" customHeight="1">
      <x:c r="A18" s="86" t="str">
        <x:v>Department Capital Board</x:v>
      </x:c>
      <x:c r="B18" s="86" t="str">
        <x:v>Mission System Commands</x:v>
      </x:c>
      <x:c r="C18" s="75" t="str">
        <x:v>Beneficial Control</x:v>
      </x:c>
      <x:c r="D18" s="86" t="str">
        <x:v>Outcome office cannot own its capital gate</x:v>
      </x:c>
      <x:c r="E18" s="75" t="str">
        <x:f>INDEX('Institutions'!$G$6:$J$15,MATCH(A18,'Institutions'!$A$6:$A$15,0),MATCH(C18,'Institutions'!$G$5:$J$5,0))</x:f>
      </x:c>
      <x:c r="F18" s="75" t="str">
        <x:f>INDEX('Institutions'!$G$6:$J$15,MATCH(B18,'Institutions'!$A$6:$A$15,0),MATCH(C18,'Institutions'!$G$5:$J$5,0))</x:f>
      </x:c>
      <x:c r="G18" s="75" t="str">
        <x:f>IF(OR(E18="",F18=""),"SOURCE EMPTY",IF(E18=F18,"FAIL","PASS"))</x:f>
        <x:v>SOURCE EMPTY</x:v>
      </x:c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20" customHeight="1">
      <x:c r="A19" s="86" t="str">
        <x:v>Industrial Mobilization Administration</x:v>
      </x:c>
      <x:c r="B19" s="86" t="str">
        <x:v>Independent Root Houses</x:v>
      </x:c>
      <x:c r="C19" s="75" t="str">
        <x:v>Beneficial Control</x:v>
      </x:c>
      <x:c r="D19" s="86" t="str">
        <x:v>Fallback production cannot be captive to one root</x:v>
      </x:c>
      <x:c r="E19" s="75" t="str">
        <x:f>INDEX('Institutions'!$G$6:$J$15,MATCH(A19,'Institutions'!$A$6:$A$15,0),MATCH(C19,'Institutions'!$G$5:$J$5,0))</x:f>
      </x:c>
      <x:c r="F19" s="75" t="str">
        <x:f>INDEX('Institutions'!$G$6:$J$15,MATCH(B19,'Institutions'!$A$6:$A$15,0),MATCH(C19,'Institutions'!$G$5:$J$5,0))</x:f>
      </x:c>
      <x:c r="G19" s="75" t="str">
        <x:f>IF(OR(E19="",F19=""),"SOURCE EMPTY",IF(E19=F19,"FAIL","PASS"))</x:f>
        <x:v>SOURCE EMPTY</x:v>
      </x:c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20" customHeight="1">
      <x:c r="A20" s="86" t="str">
        <x:v>Industrial Mobilization Administration</x:v>
      </x:c>
      <x:c r="B20" s="86" t="str">
        <x:v>Resilience Proving Service</x:v>
      </x:c>
      <x:c r="C20" s="75" t="str">
        <x:v>Decisive Toolchain</x:v>
      </x:c>
      <x:c r="D20" s="86" t="str">
        <x:v>Production tools cannot become test truth</x:v>
      </x:c>
      <x:c r="E20" s="75" t="str">
        <x:f>INDEX('Institutions'!$G$6:$J$15,MATCH(A20,'Institutions'!$A$6:$A$15,0),MATCH(C20,'Institutions'!$G$5:$J$5,0))</x:f>
      </x:c>
      <x:c r="F20" s="75" t="str">
        <x:f>INDEX('Institutions'!$G$6:$J$15,MATCH(B20,'Institutions'!$A$6:$A$15,0),MATCH(C20,'Institutions'!$G$5:$J$5,0))</x:f>
      </x:c>
      <x:c r="G20" s="75" t="str">
        <x:f>IF(OR(E20="",F20=""),"SOURCE EMPTY",IF(E20=F20,"FAIL","PASS"))</x:f>
        <x:v>SOURCE EMPTY</x:v>
      </x:c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20" customHeight="1">
      <x:c r="A21" s="86" t="str">
        <x:v>Joint Capacity Authority</x:v>
      </x:c>
      <x:c r="B21" s="86" t="str">
        <x:v>Operating Services</x:v>
      </x:c>
      <x:c r="C21" s="75" t="str">
        <x:v>Executive Command</x:v>
      </x:c>
      <x:c r="D21" s="86" t="str">
        <x:v>Generator cannot reserve its own nominal capacity</x:v>
      </x:c>
      <x:c r="E21" s="75" t="str">
        <x:f>INDEX('Institutions'!$G$6:$J$15,MATCH(A21,'Institutions'!$A$6:$A$15,0),MATCH(C21,'Institutions'!$G$5:$J$5,0))</x:f>
      </x:c>
      <x:c r="F21" s="75" t="str">
        <x:f>INDEX('Institutions'!$G$6:$J$15,MATCH(B21,'Institutions'!$A$6:$A$15,0),MATCH(C21,'Institutions'!$G$5:$J$5,0))</x:f>
      </x:c>
      <x:c r="G21" s="75" t="str">
        <x:f>IF(OR(E21="",F21=""),"SOURCE EMPTY",IF(E21=F21,"FAIL","PASS"))</x:f>
        <x:v>SOURCE EMPTY</x:v>
      </x:c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20" customHeight="1">
      <x:c r="A22" s="86" t="str">
        <x:v>Joint Capacity Authority</x:v>
      </x:c>
      <x:c r="B22" s="86" t="str">
        <x:v>Operational Commands</x:v>
      </x:c>
      <x:c r="C22" s="75" t="str">
        <x:v>Executive Command</x:v>
      </x:c>
      <x:c r="D22" s="86" t="str">
        <x:v>Employer cannot consume the protected reserve</x:v>
      </x:c>
      <x:c r="E22" s="75" t="str">
        <x:f>INDEX('Institutions'!$G$6:$J$15,MATCH(A22,'Institutions'!$A$6:$A$15,0),MATCH(C22,'Institutions'!$G$5:$J$5,0))</x:f>
      </x:c>
      <x:c r="F22" s="75" t="str">
        <x:f>INDEX('Institutions'!$G$6:$J$15,MATCH(B22,'Institutions'!$A$6:$A$15,0),MATCH(C22,'Institutions'!$G$5:$J$5,0))</x:f>
      </x:c>
      <x:c r="G22" s="75" t="str">
        <x:f>IF(OR(E22="",F22=""),"SOURCE EMPTY",IF(E22=F22,"FAIL","PASS"))</x:f>
        <x:v>SOURCE EMPTY</x:v>
      </x:c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20" customHeight="1">
      <x:c r="A23" s="86" t="str">
        <x:v>Operational Commands</x:v>
      </x:c>
      <x:c r="B23" s="86" t="str">
        <x:v>Civil Resilience Authority</x:v>
      </x:c>
      <x:c r="C23" s="75" t="str">
        <x:v>Executive Command</x:v>
      </x:c>
      <x:c r="D23" s="86" t="str">
        <x:v>Operational command cannot manufacture civil authority</x:v>
      </x:c>
      <x:c r="E23" s="75" t="str">
        <x:f>INDEX('Institutions'!$G$6:$J$15,MATCH(A23,'Institutions'!$A$6:$A$15,0),MATCH(C23,'Institutions'!$G$5:$J$5,0))</x:f>
      </x:c>
      <x:c r="F23" s="75" t="str">
        <x:f>INDEX('Institutions'!$G$6:$J$15,MATCH(B23,'Institutions'!$A$6:$A$15,0),MATCH(C23,'Institutions'!$G$5:$J$5,0))</x:f>
      </x:c>
      <x:c r="G23" s="75" t="str">
        <x:f>IF(OR(E23="",F23=""),"SOURCE EMPTY",IF(E23=F23,"FAIL","PASS"))</x:f>
        <x:v>SOURCE EMPTY</x:v>
      </x:c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20" customHeight="1">
      <x:c r="A24" s="86" t="str">
        <x:v>Strategic Sustainment Command</x:v>
      </x:c>
      <x:c r="B24" s="86" t="str">
        <x:v>Joint Capacity Authority</x:v>
      </x:c>
      <x:c r="C24" s="75" t="str">
        <x:v>Evidence Custody</x:v>
      </x:c>
      <x:c r="D24" s="86" t="str">
        <x:v>Regenerator cannot self-certify restored readiness</x:v>
      </x:c>
      <x:c r="E24" s="75" t="str">
        <x:f>INDEX('Institutions'!$G$6:$J$15,MATCH(A24,'Institutions'!$A$6:$A$15,0),MATCH(C24,'Institutions'!$G$5:$J$5,0))</x:f>
      </x:c>
      <x:c r="F24" s="75" t="str">
        <x:f>INDEX('Institutions'!$G$6:$J$15,MATCH(B24,'Institutions'!$A$6:$A$15,0),MATCH(C24,'Institutions'!$G$5:$J$5,0))</x:f>
      </x:c>
      <x:c r="G24" s="75" t="str">
        <x:f>IF(OR(E24="",F24=""),"SOURCE EMPTY",IF(E24=F24,"FAIL","PASS"))</x:f>
        <x:v>SOURCE EMPTY</x:v>
      </x:c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20" customHeight="1">
      <x:c r="A25" s="86" t="str">
        <x:v>Strategic Sustainment Command</x:v>
      </x:c>
      <x:c r="B25" s="86" t="str">
        <x:v>Resilience Proving Service</x:v>
      </x:c>
      <x:c r="C25" s="75" t="str">
        <x:v>Executive Command</x:v>
      </x:c>
      <x:c r="D25" s="86" t="str">
        <x:v>Regeneration cannot command independent replay</x:v>
      </x:c>
      <x:c r="E25" s="75" t="str">
        <x:f>INDEX('Institutions'!$G$6:$J$15,MATCH(A25,'Institutions'!$A$6:$A$15,0),MATCH(C25,'Institutions'!$G$5:$J$5,0))</x:f>
      </x:c>
      <x:c r="F25" s="75" t="str">
        <x:f>INDEX('Institutions'!$G$6:$J$15,MATCH(B25,'Institutions'!$A$6:$A$15,0),MATCH(C25,'Institutions'!$G$5:$J$5,0))</x:f>
      </x:c>
      <x:c r="G25" s="75" t="str">
        <x:f>IF(OR(E25="",F25=""),"SOURCE EMPTY",IF(E25=F25,"FAIL","PASS"))</x:f>
        <x:v>SOURCE EMPTY</x:v>
      </x:c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</x:sheetData>
  <x:conditionalFormatting sqref="G6:G25">
    <x:cfRule type="containsText" dxfId="6" priority="1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1" hidden="0" customWidth="1"/>
    <x:col min="4" max="4" width="18" hidden="0" customWidth="1"/>
    <x:col min="5" max="5" width="24" hidden="0" customWidth="1"/>
    <x:col min="6" max="6" width="30" hidden="0" customWidth="1"/>
    <x:col min="7" max="7" width="60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Exclusive twenty-five-year authority accounts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Constant-2026-dollar undiscounted planning authority; account totals are conserved and not additive with executor crosswalks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Account</x:v>
      </x:c>
      <x:c r="B5" s="38" t="str">
        <x:v>Exclusive account</x:v>
      </x:c>
      <x:c r="C5" s="38" t="str">
        <x:v>Authority (USD B)</x:v>
      </x:c>
      <x:c r="D5" s="38" t="str">
        <x:v>Program share</x:v>
      </x:c>
      <x:c r="E5" s="38" t="str">
        <x:v>Released authority (USD B)</x:v>
      </x:c>
      <x:c r="F5" s="38" t="str">
        <x:v>Unreleased authority (USD B)</x:v>
      </x:c>
      <x:c r="G5" s="39" t="str">
        <x:v>Constitutional purpose</x:v>
      </x:c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str">
        <x:v>FA-01</x:v>
      </x:c>
      <x:c r="B6" s="86" t="str">
        <x:v>Joint mission systems</x:v>
      </x:c>
      <x:c r="C6" s="44" t="n">
        <x:v>550</x:v>
      </x:c>
      <x:c r="D6" s="88" t="n">
        <x:v>0.55</x:v>
      </x:c>
      <x:c r="E6" s="85" t="n">
        <x:f>SUMIFS('Wave Authority'!$H$6:$H$30,'Wave Authority'!$B$6:$B$30,A6)</x:f>
        <x:v>0</x:v>
      </x:c>
      <x:c r="F6" s="85" t="n">
        <x:f>C6-E6</x:f>
        <x:v>550</x:v>
      </x:c>
      <x:c r="G6" s="91" t="str">
        <x:v>integrated requirements, rival roots and representative campaigns</x:v>
      </x:c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FA-02</x:v>
      </x:c>
      <x:c r="B7" s="86" t="str">
        <x:v>Service technical bases</x:v>
      </x:c>
      <x:c r="C7" s="44" t="n">
        <x:v>150</x:v>
      </x:c>
      <x:c r="D7" s="88" t="n">
        <x:v>0.15</x:v>
      </x:c>
      <x:c r="E7" s="85" t="n">
        <x:f>SUMIFS('Wave Authority'!$H$6:$H$30,'Wave Authority'!$B$6:$B$30,A7)</x:f>
        <x:v>0</x:v>
      </x:c>
      <x:c r="F7" s="85" t="n">
        <x:f>C7-E7</x:f>
        <x:v>150</x:v>
      </x:c>
      <x:c r="G7" s="91" t="str">
        <x:v>professions, schools, depots and article-family lifecycles</x:v>
      </x:c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FA-03</x:v>
      </x:c>
      <x:c r="B8" s="86" t="str">
        <x:v>National common capacity</x:v>
      </x:c>
      <x:c r="C8" s="44" t="n">
        <x:v>150</x:v>
      </x:c>
      <x:c r="D8" s="88" t="n">
        <x:v>0.15</x:v>
      </x:c>
      <x:c r="E8" s="85" t="n">
        <x:f>SUMIFS('Wave Authority'!$H$6:$H$30,'Wave Authority'!$B$6:$B$30,A8)</x:f>
        <x:v>0</x:v>
      </x:c>
      <x:c r="F8" s="85" t="n">
        <x:f>C8-E8</x:f>
        <x:v>150</x:v>
      </x:c>
      <x:c r="G8" s="91" t="str">
        <x:v>mobility, sustainment, receivers, interfaces and reservable common capacity</x:v>
      </x:c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FA-04</x:v>
      </x:c>
      <x:c r="B9" s="86" t="str">
        <x:v>Sovereign technical estate</x:v>
      </x:c>
      <x:c r="C9" s="44" t="n">
        <x:v>100</x:v>
      </x:c>
      <x:c r="D9" s="88" t="n">
        <x:v>0.1</x:v>
      </x:c>
      <x:c r="E9" s="85" t="n">
        <x:f>SUMIFS('Wave Authority'!$H$6:$H$30,'Wave Authority'!$B$6:$B$30,A9)</x:f>
        <x:v>0</x:v>
      </x:c>
      <x:c r="F9" s="85" t="n">
        <x:f>C9-E9</x:f>
        <x:v>100</x:v>
      </x:c>
      <x:c r="G9" s="91" t="str">
        <x:v>independent proof, public standards, custody, safety and causal methods</x:v>
      </x:c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str">
        <x:v>FA-05</x:v>
      </x:c>
      <x:c r="B10" s="86" t="str">
        <x:v>Competitive failure reserve</x:v>
      </x:c>
      <x:c r="C10" s="44" t="n">
        <x:v>50</x:v>
      </x:c>
      <x:c r="D10" s="88" t="n">
        <x:v>0.05</x:v>
      </x:c>
      <x:c r="E10" s="85" t="n">
        <x:f>SUMIFS('Wave Authority'!$H$6:$H$30,'Wave Authority'!$B$6:$B$30,A10)</x:f>
        <x:v>0</x:v>
      </x:c>
      <x:c r="F10" s="85" t="n">
        <x:f>C10-E10</x:f>
        <x:v>50</x:v>
      </x:c>
      <x:c r="G10" s="91" t="str">
        <x:v>replacement roots, alternate sources and failed-program recovery</x:v>
      </x:c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A11" s="75"/>
      <x:c r="B11" s="75"/>
      <x:c r="C11" s="75"/>
      <x:c r="D11" s="75"/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A12" s="75" t="str">
        <x:v>Control</x:v>
      </x:c>
      <x:c r="B12" s="75" t="str">
        <x:v>Authority total</x:v>
      </x:c>
      <x:c r="C12" s="85" t="n">
        <x:f>SUM(C6:C10)</x:f>
        <x:v>1000</x:v>
      </x:c>
      <x:c r="D12" s="75"/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10" hidden="0" customWidth="1"/>
    <x:col min="5" max="5" width="15" hidden="0" customWidth="1"/>
    <x:col min="6" max="6" width="15" hidden="0" customWidth="1"/>
    <x:col min="7" max="7" width="24" hidden="0" customWidth="1"/>
    <x:col min="8" max="8" width="22" hidden="0" customWidth="1"/>
    <x:col min="9" max="9" width="14" hidden="0" customWidth="1"/>
    <x:col min="10" max="10" width="28" hidden="0" customWidth="1"/>
    <x:col min="11" max="11" width="54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Account-by-wave authority ledger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Release requires a source identity and accepted decision; empty records release zero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Record ID</x:v>
      </x:c>
      <x:c r="B5" s="38" t="str">
        <x:v>Account</x:v>
      </x:c>
      <x:c r="C5" s="38" t="str">
        <x:v>Account name</x:v>
      </x:c>
      <x:c r="D5" s="38" t="str">
        <x:v>Wave</x:v>
      </x:c>
      <x:c r="E5" s="38" t="str">
        <x:v>Years</x:v>
      </x:c>
      <x:c r="F5" s="38" t="str">
        <x:v>Wave share</x:v>
      </x:c>
      <x:c r="G5" s="38" t="str">
        <x:v>Planned authority (USD B)</x:v>
      </x:c>
      <x:c r="H5" s="38" t="str">
        <x:v>Release record ID</x:v>
      </x:c>
      <x:c r="I5" s="38" t="str">
        <x:v>Decision</x:v>
      </x:c>
      <x:c r="J5" s="38" t="str">
        <x:v>Released authority (USD B)</x:v>
      </x:c>
      <x:c r="K5" s="39" t="str">
        <x:v>Required exit</x:v>
      </x:c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str">
        <x:v>FA-01-W1</x:v>
      </x:c>
      <x:c r="B6" s="75" t="str">
        <x:v>FA-01</x:v>
      </x:c>
      <x:c r="C6" s="86" t="str">
        <x:v>Joint mission systems</x:v>
      </x:c>
      <x:c r="D6" s="75" t="str">
        <x:v>W1</x:v>
      </x:c>
      <x:c r="E6" s="75" t="str">
        <x:v>Years 1–5</x:v>
      </x:c>
      <x:c r="F6" s="88" t="n">
        <x:v>0.2</x:v>
      </x:c>
      <x:c r="G6" s="85" t="n">
        <x:f>INDEX('Fiscal Accounts'!$C$6:$C$10,MATCH(B6,'Fiscal Accounts'!$A$6:$A$10,0))*F6</x:f>
        <x:v>110</x:v>
      </x:c>
      <x:c r="H6" s="43" t="str"/>
      <x:c r="I6" s="43" t="str"/>
      <x:c r="J6" s="85" t="n">
        <x:f>IF(AND(H6&lt;&gt;"",I6="ACCEPT"),G6,0)</x:f>
        <x:v>0</x:v>
      </x:c>
      <x:c r="K6" s="91" t="str">
        <x:v>Constitute institutions, evidence and rival mechanisms</x:v>
      </x:c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FA-01-W2</x:v>
      </x:c>
      <x:c r="B7" s="75" t="str">
        <x:v>FA-01</x:v>
      </x:c>
      <x:c r="C7" s="86" t="str">
        <x:v>Joint mission systems</x:v>
      </x:c>
      <x:c r="D7" s="75" t="str">
        <x:v>W2</x:v>
      </x:c>
      <x:c r="E7" s="75" t="str">
        <x:v>Years 6–10</x:v>
      </x:c>
      <x:c r="F7" s="88" t="n">
        <x:v>0.3</x:v>
      </x:c>
      <x:c r="G7" s="85" t="n">
        <x:f>INDEX('Fiscal Accounts'!$C$6:$C$10,MATCH(B7,'Fiscal Accounts'!$A$6:$A$10,0))*F7</x:f>
        <x:v>165</x:v>
      </x:c>
      <x:c r="H7" s="43" t="str"/>
      <x:c r="I7" s="43" t="str"/>
      <x:c r="J7" s="85" t="n">
        <x:f>IF(AND(H7&lt;&gt;"",I7="ACCEPT"),G7,0)</x:f>
        <x:v>0</x:v>
      </x:c>
      <x:c r="K7" s="91" t="str">
        <x:v>Integrate complete roots under representative extremes</x:v>
      </x:c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FA-01-W3</x:v>
      </x:c>
      <x:c r="B8" s="75" t="str">
        <x:v>FA-01</x:v>
      </x:c>
      <x:c r="C8" s="86" t="str">
        <x:v>Joint mission systems</x:v>
      </x:c>
      <x:c r="D8" s="75" t="str">
        <x:v>W3</x:v>
      </x:c>
      <x:c r="E8" s="75" t="str">
        <x:v>Years 11–15</x:v>
      </x:c>
      <x:c r="F8" s="88" t="n">
        <x:v>0.25</x:v>
      </x:c>
      <x:c r="G8" s="85" t="n">
        <x:f>INDEX('Fiscal Accounts'!$C$6:$C$10,MATCH(B8,'Fiscal Accounts'!$A$6:$A$10,0))*F8</x:f>
        <x:v>137.5</x:v>
      </x:c>
      <x:c r="H8" s="43" t="str"/>
      <x:c r="I8" s="43" t="str"/>
      <x:c r="J8" s="85" t="n">
        <x:f>IF(AND(H8&lt;&gt;"",I8="ACCEPT"),G8,0)</x:f>
        <x:v>0</x:v>
      </x:c>
      <x:c r="K8" s="91" t="str">
        <x:v>Prove all-six mission threads</x:v>
      </x:c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FA-01-W4</x:v>
      </x:c>
      <x:c r="B9" s="75" t="str">
        <x:v>FA-01</x:v>
      </x:c>
      <x:c r="C9" s="86" t="str">
        <x:v>Joint mission systems</x:v>
      </x:c>
      <x:c r="D9" s="75" t="str">
        <x:v>W4</x:v>
      </x:c>
      <x:c r="E9" s="75" t="str">
        <x:v>Years 16–20</x:v>
      </x:c>
      <x:c r="F9" s="88" t="n">
        <x:v>0.15</x:v>
      </x:c>
      <x:c r="G9" s="85" t="n">
        <x:f>INDEX('Fiscal Accounts'!$C$6:$C$10,MATCH(B9,'Fiscal Accounts'!$A$6:$A$10,0))*F9</x:f>
        <x:v>82.5</x:v>
      </x:c>
      <x:c r="H9" s="43" t="str"/>
      <x:c r="I9" s="43" t="str"/>
      <x:c r="J9" s="85" t="n">
        <x:f>IF(AND(H9&lt;&gt;"",I9="ACCEPT"),G9,0)</x:f>
        <x:v>0</x:v>
      </x:c>
      <x:c r="K9" s="91" t="str">
        <x:v>Qualify production and bounded field use</x:v>
      </x:c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str">
        <x:v>FA-01-W5</x:v>
      </x:c>
      <x:c r="B10" s="75" t="str">
        <x:v>FA-01</x:v>
      </x:c>
      <x:c r="C10" s="86" t="str">
        <x:v>Joint mission systems</x:v>
      </x:c>
      <x:c r="D10" s="75" t="str">
        <x:v>W5</x:v>
      </x:c>
      <x:c r="E10" s="75" t="str">
        <x:v>Years 21–25</x:v>
      </x:c>
      <x:c r="F10" s="88" t="n">
        <x:v>0.1</x:v>
      </x:c>
      <x:c r="G10" s="85" t="n">
        <x:f>INDEX('Fiscal Accounts'!$C$6:$C$10,MATCH(B10,'Fiscal Accounts'!$A$6:$A$10,0))*F10</x:f>
        <x:v>55</x:v>
      </x:c>
      <x:c r="H10" s="43" t="str"/>
      <x:c r="I10" s="43" t="str"/>
      <x:c r="J10" s="85" t="n">
        <x:f>IF(AND(H10&lt;&gt;"",I10="ACCEPT"),G10,0)</x:f>
        <x:v>0</x:v>
      </x:c>
      <x:c r="K10" s="91" t="str">
        <x:v>Challenge, renew, retire and regenerate</x:v>
      </x:c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75" t="str">
        <x:v>FA-02-W1</x:v>
      </x:c>
      <x:c r="B11" s="75" t="str">
        <x:v>FA-02</x:v>
      </x:c>
      <x:c r="C11" s="86" t="str">
        <x:v>Service technical bases</x:v>
      </x:c>
      <x:c r="D11" s="75" t="str">
        <x:v>W1</x:v>
      </x:c>
      <x:c r="E11" s="75" t="str">
        <x:v>Years 1–5</x:v>
      </x:c>
      <x:c r="F11" s="88" t="n">
        <x:v>0.2</x:v>
      </x:c>
      <x:c r="G11" s="85" t="n">
        <x:f>INDEX('Fiscal Accounts'!$C$6:$C$10,MATCH(B11,'Fiscal Accounts'!$A$6:$A$10,0))*F11</x:f>
        <x:v>30</x:v>
      </x:c>
      <x:c r="H11" s="43" t="str"/>
      <x:c r="I11" s="43" t="str"/>
      <x:c r="J11" s="85" t="n">
        <x:f>IF(AND(H11&lt;&gt;"",I11="ACCEPT"),G11,0)</x:f>
        <x:v>0</x:v>
      </x:c>
      <x:c r="K11" s="91" t="str">
        <x:v>Constitute institutions, evidence and rival mechanisms</x:v>
      </x:c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75" t="str">
        <x:v>FA-02-W2</x:v>
      </x:c>
      <x:c r="B12" s="75" t="str">
        <x:v>FA-02</x:v>
      </x:c>
      <x:c r="C12" s="86" t="str">
        <x:v>Service technical bases</x:v>
      </x:c>
      <x:c r="D12" s="75" t="str">
        <x:v>W2</x:v>
      </x:c>
      <x:c r="E12" s="75" t="str">
        <x:v>Years 6–10</x:v>
      </x:c>
      <x:c r="F12" s="88" t="n">
        <x:v>0.3</x:v>
      </x:c>
      <x:c r="G12" s="85" t="n">
        <x:f>INDEX('Fiscal Accounts'!$C$6:$C$10,MATCH(B12,'Fiscal Accounts'!$A$6:$A$10,0))*F12</x:f>
        <x:v>45</x:v>
      </x:c>
      <x:c r="H12" s="43" t="str"/>
      <x:c r="I12" s="43" t="str"/>
      <x:c r="J12" s="85" t="n">
        <x:f>IF(AND(H12&lt;&gt;"",I12="ACCEPT"),G12,0)</x:f>
        <x:v>0</x:v>
      </x:c>
      <x:c r="K12" s="91" t="str">
        <x:v>Integrate complete roots under representative extremes</x:v>
      </x:c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75" t="str">
        <x:v>FA-02-W3</x:v>
      </x:c>
      <x:c r="B13" s="75" t="str">
        <x:v>FA-02</x:v>
      </x:c>
      <x:c r="C13" s="86" t="str">
        <x:v>Service technical bases</x:v>
      </x:c>
      <x:c r="D13" s="75" t="str">
        <x:v>W3</x:v>
      </x:c>
      <x:c r="E13" s="75" t="str">
        <x:v>Years 11–15</x:v>
      </x:c>
      <x:c r="F13" s="88" t="n">
        <x:v>0.25</x:v>
      </x:c>
      <x:c r="G13" s="85" t="n">
        <x:f>INDEX('Fiscal Accounts'!$C$6:$C$10,MATCH(B13,'Fiscal Accounts'!$A$6:$A$10,0))*F13</x:f>
        <x:v>37.5</x:v>
      </x:c>
      <x:c r="H13" s="43" t="str"/>
      <x:c r="I13" s="43" t="str"/>
      <x:c r="J13" s="85" t="n">
        <x:f>IF(AND(H13&lt;&gt;"",I13="ACCEPT"),G13,0)</x:f>
        <x:v>0</x:v>
      </x:c>
      <x:c r="K13" s="91" t="str">
        <x:v>Prove all-six mission threads</x:v>
      </x:c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75" t="str">
        <x:v>FA-02-W4</x:v>
      </x:c>
      <x:c r="B14" s="75" t="str">
        <x:v>FA-02</x:v>
      </x:c>
      <x:c r="C14" s="86" t="str">
        <x:v>Service technical bases</x:v>
      </x:c>
      <x:c r="D14" s="75" t="str">
        <x:v>W4</x:v>
      </x:c>
      <x:c r="E14" s="75" t="str">
        <x:v>Years 16–20</x:v>
      </x:c>
      <x:c r="F14" s="88" t="n">
        <x:v>0.15</x:v>
      </x:c>
      <x:c r="G14" s="85" t="n">
        <x:f>INDEX('Fiscal Accounts'!$C$6:$C$10,MATCH(B14,'Fiscal Accounts'!$A$6:$A$10,0))*F14</x:f>
        <x:v>22.5</x:v>
      </x:c>
      <x:c r="H14" s="43" t="str"/>
      <x:c r="I14" s="43" t="str"/>
      <x:c r="J14" s="85" t="n">
        <x:f>IF(AND(H14&lt;&gt;"",I14="ACCEPT"),G14,0)</x:f>
        <x:v>0</x:v>
      </x:c>
      <x:c r="K14" s="91" t="str">
        <x:v>Qualify production and bounded field use</x:v>
      </x:c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75" t="str">
        <x:v>FA-02-W5</x:v>
      </x:c>
      <x:c r="B15" s="75" t="str">
        <x:v>FA-02</x:v>
      </x:c>
      <x:c r="C15" s="86" t="str">
        <x:v>Service technical bases</x:v>
      </x:c>
      <x:c r="D15" s="75" t="str">
        <x:v>W5</x:v>
      </x:c>
      <x:c r="E15" s="75" t="str">
        <x:v>Years 21–25</x:v>
      </x:c>
      <x:c r="F15" s="88" t="n">
        <x:v>0.1</x:v>
      </x:c>
      <x:c r="G15" s="85" t="n">
        <x:f>INDEX('Fiscal Accounts'!$C$6:$C$10,MATCH(B15,'Fiscal Accounts'!$A$6:$A$10,0))*F15</x:f>
        <x:v>15</x:v>
      </x:c>
      <x:c r="H15" s="43" t="str"/>
      <x:c r="I15" s="43" t="str"/>
      <x:c r="J15" s="85" t="n">
        <x:f>IF(AND(H15&lt;&gt;"",I15="ACCEPT"),G15,0)</x:f>
        <x:v>0</x:v>
      </x:c>
      <x:c r="K15" s="91" t="str">
        <x:v>Challenge, renew, retire and regenerate</x:v>
      </x:c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75" t="str">
        <x:v>FA-03-W1</x:v>
      </x:c>
      <x:c r="B16" s="75" t="str">
        <x:v>FA-03</x:v>
      </x:c>
      <x:c r="C16" s="86" t="str">
        <x:v>National common capacity</x:v>
      </x:c>
      <x:c r="D16" s="75" t="str">
        <x:v>W1</x:v>
      </x:c>
      <x:c r="E16" s="75" t="str">
        <x:v>Years 1–5</x:v>
      </x:c>
      <x:c r="F16" s="88" t="n">
        <x:v>0.2</x:v>
      </x:c>
      <x:c r="G16" s="85" t="n">
        <x:f>INDEX('Fiscal Accounts'!$C$6:$C$10,MATCH(B16,'Fiscal Accounts'!$A$6:$A$10,0))*F16</x:f>
        <x:v>30</x:v>
      </x:c>
      <x:c r="H16" s="43" t="str"/>
      <x:c r="I16" s="43" t="str"/>
      <x:c r="J16" s="85" t="n">
        <x:f>IF(AND(H16&lt;&gt;"",I16="ACCEPT"),G16,0)</x:f>
        <x:v>0</x:v>
      </x:c>
      <x:c r="K16" s="91" t="str">
        <x:v>Constitute institutions, evidence and rival mechanisms</x:v>
      </x:c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20" customHeight="1">
      <x:c r="A17" s="75" t="str">
        <x:v>FA-03-W2</x:v>
      </x:c>
      <x:c r="B17" s="75" t="str">
        <x:v>FA-03</x:v>
      </x:c>
      <x:c r="C17" s="86" t="str">
        <x:v>National common capacity</x:v>
      </x:c>
      <x:c r="D17" s="75" t="str">
        <x:v>W2</x:v>
      </x:c>
      <x:c r="E17" s="75" t="str">
        <x:v>Years 6–10</x:v>
      </x:c>
      <x:c r="F17" s="88" t="n">
        <x:v>0.3</x:v>
      </x:c>
      <x:c r="G17" s="85" t="n">
        <x:f>INDEX('Fiscal Accounts'!$C$6:$C$10,MATCH(B17,'Fiscal Accounts'!$A$6:$A$10,0))*F17</x:f>
        <x:v>45</x:v>
      </x:c>
      <x:c r="H17" s="43" t="str"/>
      <x:c r="I17" s="43" t="str"/>
      <x:c r="J17" s="85" t="n">
        <x:f>IF(AND(H17&lt;&gt;"",I17="ACCEPT"),G17,0)</x:f>
        <x:v>0</x:v>
      </x:c>
      <x:c r="K17" s="91" t="str">
        <x:v>Integrate complete roots under representative extremes</x:v>
      </x:c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20" customHeight="1">
      <x:c r="A18" s="75" t="str">
        <x:v>FA-03-W3</x:v>
      </x:c>
      <x:c r="B18" s="75" t="str">
        <x:v>FA-03</x:v>
      </x:c>
      <x:c r="C18" s="86" t="str">
        <x:v>National common capacity</x:v>
      </x:c>
      <x:c r="D18" s="75" t="str">
        <x:v>W3</x:v>
      </x:c>
      <x:c r="E18" s="75" t="str">
        <x:v>Years 11–15</x:v>
      </x:c>
      <x:c r="F18" s="88" t="n">
        <x:v>0.25</x:v>
      </x:c>
      <x:c r="G18" s="85" t="n">
        <x:f>INDEX('Fiscal Accounts'!$C$6:$C$10,MATCH(B18,'Fiscal Accounts'!$A$6:$A$10,0))*F18</x:f>
        <x:v>37.5</x:v>
      </x:c>
      <x:c r="H18" s="43" t="str"/>
      <x:c r="I18" s="43" t="str"/>
      <x:c r="J18" s="85" t="n">
        <x:f>IF(AND(H18&lt;&gt;"",I18="ACCEPT"),G18,0)</x:f>
        <x:v>0</x:v>
      </x:c>
      <x:c r="K18" s="91" t="str">
        <x:v>Prove all-six mission threads</x:v>
      </x:c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20" customHeight="1">
      <x:c r="A19" s="75" t="str">
        <x:v>FA-03-W4</x:v>
      </x:c>
      <x:c r="B19" s="75" t="str">
        <x:v>FA-03</x:v>
      </x:c>
      <x:c r="C19" s="86" t="str">
        <x:v>National common capacity</x:v>
      </x:c>
      <x:c r="D19" s="75" t="str">
        <x:v>W4</x:v>
      </x:c>
      <x:c r="E19" s="75" t="str">
        <x:v>Years 16–20</x:v>
      </x:c>
      <x:c r="F19" s="88" t="n">
        <x:v>0.15</x:v>
      </x:c>
      <x:c r="G19" s="85" t="n">
        <x:f>INDEX('Fiscal Accounts'!$C$6:$C$10,MATCH(B19,'Fiscal Accounts'!$A$6:$A$10,0))*F19</x:f>
        <x:v>22.5</x:v>
      </x:c>
      <x:c r="H19" s="43" t="str"/>
      <x:c r="I19" s="43" t="str"/>
      <x:c r="J19" s="85" t="n">
        <x:f>IF(AND(H19&lt;&gt;"",I19="ACCEPT"),G19,0)</x:f>
        <x:v>0</x:v>
      </x:c>
      <x:c r="K19" s="91" t="str">
        <x:v>Qualify production and bounded field use</x:v>
      </x:c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20" customHeight="1">
      <x:c r="A20" s="75" t="str">
        <x:v>FA-03-W5</x:v>
      </x:c>
      <x:c r="B20" s="75" t="str">
        <x:v>FA-03</x:v>
      </x:c>
      <x:c r="C20" s="86" t="str">
        <x:v>National common capacity</x:v>
      </x:c>
      <x:c r="D20" s="75" t="str">
        <x:v>W5</x:v>
      </x:c>
      <x:c r="E20" s="75" t="str">
        <x:v>Years 21–25</x:v>
      </x:c>
      <x:c r="F20" s="88" t="n">
        <x:v>0.1</x:v>
      </x:c>
      <x:c r="G20" s="85" t="n">
        <x:f>INDEX('Fiscal Accounts'!$C$6:$C$10,MATCH(B20,'Fiscal Accounts'!$A$6:$A$10,0))*F20</x:f>
        <x:v>15</x:v>
      </x:c>
      <x:c r="H20" s="43" t="str"/>
      <x:c r="I20" s="43" t="str"/>
      <x:c r="J20" s="85" t="n">
        <x:f>IF(AND(H20&lt;&gt;"",I20="ACCEPT"),G20,0)</x:f>
        <x:v>0</x:v>
      </x:c>
      <x:c r="K20" s="91" t="str">
        <x:v>Challenge, renew, retire and regenerate</x:v>
      </x:c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20" customHeight="1">
      <x:c r="A21" s="75" t="str">
        <x:v>FA-04-W1</x:v>
      </x:c>
      <x:c r="B21" s="75" t="str">
        <x:v>FA-04</x:v>
      </x:c>
      <x:c r="C21" s="86" t="str">
        <x:v>Sovereign technical estate</x:v>
      </x:c>
      <x:c r="D21" s="75" t="str">
        <x:v>W1</x:v>
      </x:c>
      <x:c r="E21" s="75" t="str">
        <x:v>Years 1–5</x:v>
      </x:c>
      <x:c r="F21" s="88" t="n">
        <x:v>0.2</x:v>
      </x:c>
      <x:c r="G21" s="85" t="n">
        <x:f>INDEX('Fiscal Accounts'!$C$6:$C$10,MATCH(B21,'Fiscal Accounts'!$A$6:$A$10,0))*F21</x:f>
        <x:v>20</x:v>
      </x:c>
      <x:c r="H21" s="43" t="str"/>
      <x:c r="I21" s="43" t="str"/>
      <x:c r="J21" s="85" t="n">
        <x:f>IF(AND(H21&lt;&gt;"",I21="ACCEPT"),G21,0)</x:f>
        <x:v>0</x:v>
      </x:c>
      <x:c r="K21" s="91" t="str">
        <x:v>Constitute institutions, evidence and rival mechanisms</x:v>
      </x:c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20" customHeight="1">
      <x:c r="A22" s="75" t="str">
        <x:v>FA-04-W2</x:v>
      </x:c>
      <x:c r="B22" s="75" t="str">
        <x:v>FA-04</x:v>
      </x:c>
      <x:c r="C22" s="86" t="str">
        <x:v>Sovereign technical estate</x:v>
      </x:c>
      <x:c r="D22" s="75" t="str">
        <x:v>W2</x:v>
      </x:c>
      <x:c r="E22" s="75" t="str">
        <x:v>Years 6–10</x:v>
      </x:c>
      <x:c r="F22" s="88" t="n">
        <x:v>0.3</x:v>
      </x:c>
      <x:c r="G22" s="85" t="n">
        <x:f>INDEX('Fiscal Accounts'!$C$6:$C$10,MATCH(B22,'Fiscal Accounts'!$A$6:$A$10,0))*F22</x:f>
        <x:v>30</x:v>
      </x:c>
      <x:c r="H22" s="43" t="str"/>
      <x:c r="I22" s="43" t="str"/>
      <x:c r="J22" s="85" t="n">
        <x:f>IF(AND(H22&lt;&gt;"",I22="ACCEPT"),G22,0)</x:f>
        <x:v>0</x:v>
      </x:c>
      <x:c r="K22" s="91" t="str">
        <x:v>Integrate complete roots under representative extremes</x:v>
      </x:c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20" customHeight="1">
      <x:c r="A23" s="75" t="str">
        <x:v>FA-04-W3</x:v>
      </x:c>
      <x:c r="B23" s="75" t="str">
        <x:v>FA-04</x:v>
      </x:c>
      <x:c r="C23" s="86" t="str">
        <x:v>Sovereign technical estate</x:v>
      </x:c>
      <x:c r="D23" s="75" t="str">
        <x:v>W3</x:v>
      </x:c>
      <x:c r="E23" s="75" t="str">
        <x:v>Years 11–15</x:v>
      </x:c>
      <x:c r="F23" s="88" t="n">
        <x:v>0.25</x:v>
      </x:c>
      <x:c r="G23" s="85" t="n">
        <x:f>INDEX('Fiscal Accounts'!$C$6:$C$10,MATCH(B23,'Fiscal Accounts'!$A$6:$A$10,0))*F23</x:f>
        <x:v>25</x:v>
      </x:c>
      <x:c r="H23" s="43" t="str"/>
      <x:c r="I23" s="43" t="str"/>
      <x:c r="J23" s="85" t="n">
        <x:f>IF(AND(H23&lt;&gt;"",I23="ACCEPT"),G23,0)</x:f>
        <x:v>0</x:v>
      </x:c>
      <x:c r="K23" s="91" t="str">
        <x:v>Prove all-six mission threads</x:v>
      </x:c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20" customHeight="1">
      <x:c r="A24" s="75" t="str">
        <x:v>FA-04-W4</x:v>
      </x:c>
      <x:c r="B24" s="75" t="str">
        <x:v>FA-04</x:v>
      </x:c>
      <x:c r="C24" s="86" t="str">
        <x:v>Sovereign technical estate</x:v>
      </x:c>
      <x:c r="D24" s="75" t="str">
        <x:v>W4</x:v>
      </x:c>
      <x:c r="E24" s="75" t="str">
        <x:v>Years 16–20</x:v>
      </x:c>
      <x:c r="F24" s="88" t="n">
        <x:v>0.15</x:v>
      </x:c>
      <x:c r="G24" s="85" t="n">
        <x:f>INDEX('Fiscal Accounts'!$C$6:$C$10,MATCH(B24,'Fiscal Accounts'!$A$6:$A$10,0))*F24</x:f>
        <x:v>15</x:v>
      </x:c>
      <x:c r="H24" s="43" t="str"/>
      <x:c r="I24" s="43" t="str"/>
      <x:c r="J24" s="85" t="n">
        <x:f>IF(AND(H24&lt;&gt;"",I24="ACCEPT"),G24,0)</x:f>
        <x:v>0</x:v>
      </x:c>
      <x:c r="K24" s="91" t="str">
        <x:v>Qualify production and bounded field use</x:v>
      </x:c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20" customHeight="1">
      <x:c r="A25" s="75" t="str">
        <x:v>FA-04-W5</x:v>
      </x:c>
      <x:c r="B25" s="75" t="str">
        <x:v>FA-04</x:v>
      </x:c>
      <x:c r="C25" s="86" t="str">
        <x:v>Sovereign technical estate</x:v>
      </x:c>
      <x:c r="D25" s="75" t="str">
        <x:v>W5</x:v>
      </x:c>
      <x:c r="E25" s="75" t="str">
        <x:v>Years 21–25</x:v>
      </x:c>
      <x:c r="F25" s="88" t="n">
        <x:v>0.1</x:v>
      </x:c>
      <x:c r="G25" s="85" t="n">
        <x:f>INDEX('Fiscal Accounts'!$C$6:$C$10,MATCH(B25,'Fiscal Accounts'!$A$6:$A$10,0))*F25</x:f>
        <x:v>10</x:v>
      </x:c>
      <x:c r="H25" s="43" t="str"/>
      <x:c r="I25" s="43" t="str"/>
      <x:c r="J25" s="85" t="n">
        <x:f>IF(AND(H25&lt;&gt;"",I25="ACCEPT"),G25,0)</x:f>
        <x:v>0</x:v>
      </x:c>
      <x:c r="K25" s="91" t="str">
        <x:v>Challenge, renew, retire and regenerate</x:v>
      </x:c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 ht="20" customHeight="1">
      <x:c r="A26" s="75" t="str">
        <x:v>FA-05-W1</x:v>
      </x:c>
      <x:c r="B26" s="75" t="str">
        <x:v>FA-05</x:v>
      </x:c>
      <x:c r="C26" s="86" t="str">
        <x:v>Competitive failure reserve</x:v>
      </x:c>
      <x:c r="D26" s="75" t="str">
        <x:v>W1</x:v>
      </x:c>
      <x:c r="E26" s="75" t="str">
        <x:v>Years 1–5</x:v>
      </x:c>
      <x:c r="F26" s="88" t="n">
        <x:v>0.2</x:v>
      </x:c>
      <x:c r="G26" s="85" t="n">
        <x:f>INDEX('Fiscal Accounts'!$C$6:$C$10,MATCH(B26,'Fiscal Accounts'!$A$6:$A$10,0))*F26</x:f>
        <x:v>10</x:v>
      </x:c>
      <x:c r="H26" s="43" t="str"/>
      <x:c r="I26" s="43" t="str"/>
      <x:c r="J26" s="85" t="n">
        <x:f>IF(AND(H26&lt;&gt;"",I26="ACCEPT"),G26,0)</x:f>
        <x:v>0</x:v>
      </x:c>
      <x:c r="K26" s="91" t="str">
        <x:v>Constitute institutions, evidence and rival mechanisms</x:v>
      </x:c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 ht="20" customHeight="1">
      <x:c r="A27" s="75" t="str">
        <x:v>FA-05-W2</x:v>
      </x:c>
      <x:c r="B27" s="75" t="str">
        <x:v>FA-05</x:v>
      </x:c>
      <x:c r="C27" s="86" t="str">
        <x:v>Competitive failure reserve</x:v>
      </x:c>
      <x:c r="D27" s="75" t="str">
        <x:v>W2</x:v>
      </x:c>
      <x:c r="E27" s="75" t="str">
        <x:v>Years 6–10</x:v>
      </x:c>
      <x:c r="F27" s="88" t="n">
        <x:v>0.3</x:v>
      </x:c>
      <x:c r="G27" s="85" t="n">
        <x:f>INDEX('Fiscal Accounts'!$C$6:$C$10,MATCH(B27,'Fiscal Accounts'!$A$6:$A$10,0))*F27</x:f>
        <x:v>15</x:v>
      </x:c>
      <x:c r="H27" s="43" t="str"/>
      <x:c r="I27" s="43" t="str"/>
      <x:c r="J27" s="85" t="n">
        <x:f>IF(AND(H27&lt;&gt;"",I27="ACCEPT"),G27,0)</x:f>
        <x:v>0</x:v>
      </x:c>
      <x:c r="K27" s="91" t="str">
        <x:v>Integrate complete roots under representative extremes</x:v>
      </x:c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 ht="20" customHeight="1">
      <x:c r="A28" s="75" t="str">
        <x:v>FA-05-W3</x:v>
      </x:c>
      <x:c r="B28" s="75" t="str">
        <x:v>FA-05</x:v>
      </x:c>
      <x:c r="C28" s="86" t="str">
        <x:v>Competitive failure reserve</x:v>
      </x:c>
      <x:c r="D28" s="75" t="str">
        <x:v>W3</x:v>
      </x:c>
      <x:c r="E28" s="75" t="str">
        <x:v>Years 11–15</x:v>
      </x:c>
      <x:c r="F28" s="88" t="n">
        <x:v>0.25</x:v>
      </x:c>
      <x:c r="G28" s="85" t="n">
        <x:f>INDEX('Fiscal Accounts'!$C$6:$C$10,MATCH(B28,'Fiscal Accounts'!$A$6:$A$10,0))*F28</x:f>
        <x:v>12.5</x:v>
      </x:c>
      <x:c r="H28" s="43" t="str"/>
      <x:c r="I28" s="43" t="str"/>
      <x:c r="J28" s="85" t="n">
        <x:f>IF(AND(H28&lt;&gt;"",I28="ACCEPT"),G28,0)</x:f>
        <x:v>0</x:v>
      </x:c>
      <x:c r="K28" s="91" t="str">
        <x:v>Prove all-six mission threads</x:v>
      </x:c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 ht="20" customHeight="1">
      <x:c r="A29" s="75" t="str">
        <x:v>FA-05-W4</x:v>
      </x:c>
      <x:c r="B29" s="75" t="str">
        <x:v>FA-05</x:v>
      </x:c>
      <x:c r="C29" s="86" t="str">
        <x:v>Competitive failure reserve</x:v>
      </x:c>
      <x:c r="D29" s="75" t="str">
        <x:v>W4</x:v>
      </x:c>
      <x:c r="E29" s="75" t="str">
        <x:v>Years 16–20</x:v>
      </x:c>
      <x:c r="F29" s="88" t="n">
        <x:v>0.15</x:v>
      </x:c>
      <x:c r="G29" s="85" t="n">
        <x:f>INDEX('Fiscal Accounts'!$C$6:$C$10,MATCH(B29,'Fiscal Accounts'!$A$6:$A$10,0))*F29</x:f>
        <x:v>7.5</x:v>
      </x:c>
      <x:c r="H29" s="43" t="str"/>
      <x:c r="I29" s="43" t="str"/>
      <x:c r="J29" s="85" t="n">
        <x:f>IF(AND(H29&lt;&gt;"",I29="ACCEPT"),G29,0)</x:f>
        <x:v>0</x:v>
      </x:c>
      <x:c r="K29" s="91" t="str">
        <x:v>Qualify production and bounded field use</x:v>
      </x:c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 ht="20" customHeight="1">
      <x:c r="A30" s="75" t="str">
        <x:v>FA-05-W5</x:v>
      </x:c>
      <x:c r="B30" s="75" t="str">
        <x:v>FA-05</x:v>
      </x:c>
      <x:c r="C30" s="86" t="str">
        <x:v>Competitive failure reserve</x:v>
      </x:c>
      <x:c r="D30" s="75" t="str">
        <x:v>W5</x:v>
      </x:c>
      <x:c r="E30" s="75" t="str">
        <x:v>Years 21–25</x:v>
      </x:c>
      <x:c r="F30" s="88" t="n">
        <x:v>0.1</x:v>
      </x:c>
      <x:c r="G30" s="85" t="n">
        <x:f>INDEX('Fiscal Accounts'!$C$6:$C$10,MATCH(B30,'Fiscal Accounts'!$A$6:$A$10,0))*F30</x:f>
        <x:v>5</x:v>
      </x:c>
      <x:c r="H30" s="43" t="str"/>
      <x:c r="I30" s="43" t="str"/>
      <x:c r="J30" s="85" t="n">
        <x:f>IF(AND(H30&lt;&gt;"",I30="ACCEPT"),G30,0)</x:f>
        <x:v>0</x:v>
      </x:c>
      <x:c r="K30" s="91" t="str">
        <x:v>Challenge, renew, retire and regenerate</x:v>
      </x:c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</x:sheetData>
  <x:dataValidations count="1">
    <x:dataValidation type="list" sqref="I6:I30">
      <x:formula1>"ACCEPT,HOLD,DENY"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32" hidden="0" customWidth="1"/>
    <x:col min="4" max="4" width="24" hidden="0" customWidth="1"/>
    <x:col min="5" max="5" width="24" hidden="0" customWidth="1"/>
    <x:col min="6" max="6" width="30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Pass 184 authority crosswalk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The USD 43.0B early ceiling crosses three exclusive accounts; it is not a new or additive appropriation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Record</x:v>
      </x:c>
      <x:c r="B5" s="38" t="str">
        <x:v>Pass 184 jurisdiction</x:v>
      </x:c>
      <x:c r="C5" s="38" t="str">
        <x:v>Exclusive account</x:v>
      </x:c>
      <x:c r="D5" s="38" t="str">
        <x:v>Nested authority (USD B)</x:v>
      </x:c>
      <x:c r="E5" s="38" t="str">
        <x:v>Account ceiling (USD B)</x:v>
      </x:c>
      <x:c r="F5" s="39" t="str">
        <x:v>Headroom after nested authority (USD B)</x:v>
      </x:c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str">
        <x:v>P184-01</x:v>
      </x:c>
      <x:c r="B6" s="86" t="str">
        <x:v>Candidate systems and technical data</x:v>
      </x:c>
      <x:c r="C6" s="75" t="str">
        <x:v>Joint mission systems</x:v>
      </x:c>
      <x:c r="D6" s="85" t="n">
        <x:v>17.2</x:v>
      </x:c>
      <x:c r="E6" s="85" t="n">
        <x:f>INDEX('Fiscal Accounts'!$C$6:$C$10,MATCH(C6,'Fiscal Accounts'!$B$6:$B$10,0))</x:f>
        <x:v>550</x:v>
      </x:c>
      <x:c r="F6" s="85" t="n">
        <x:f>E6-SUMIFS($D$6:$D$9,$C$6:$C$9,C6)</x:f>
        <x:v>532.8</x:v>
      </x:c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P184-02</x:v>
      </x:c>
      <x:c r="B7" s="86" t="str">
        <x:v>Proving stations</x:v>
      </x:c>
      <x:c r="C7" s="75" t="str">
        <x:v>Sovereign technical estate</x:v>
      </x:c>
      <x:c r="D7" s="85" t="n">
        <x:v>12.9</x:v>
      </x:c>
      <x:c r="E7" s="85" t="n">
        <x:f>INDEX('Fiscal Accounts'!$C$6:$C$10,MATCH(C7,'Fiscal Accounts'!$B$6:$B$10,0))</x:f>
        <x:v>100</x:v>
      </x:c>
      <x:c r="F7" s="85" t="n">
        <x:f>E7-SUMIFS($D$6:$D$9,$C$6:$C$9,C7)</x:f>
        <x:v>78.5</x:v>
      </x:c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P184-03</x:v>
      </x:c>
      <x:c r="B8" s="86" t="str">
        <x:v>Metrology and public custody</x:v>
      </x:c>
      <x:c r="C8" s="75" t="str">
        <x:v>Sovereign technical estate</x:v>
      </x:c>
      <x:c r="D8" s="85" t="n">
        <x:v>8.6</x:v>
      </x:c>
      <x:c r="E8" s="85" t="n">
        <x:f>INDEX('Fiscal Accounts'!$C$6:$C$10,MATCH(C8,'Fiscal Accounts'!$B$6:$B$10,0))</x:f>
        <x:v>100</x:v>
      </x:c>
      <x:c r="F8" s="85" t="n">
        <x:f>E8-SUMIFS($D$6:$D$9,$C$6:$C$9,C8)</x:f>
        <x:v>78.5</x:v>
      </x:c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P184-04</x:v>
      </x:c>
      <x:c r="B9" s="86" t="str">
        <x:v>Replacement and regeneration reserve</x:v>
      </x:c>
      <x:c r="C9" s="75" t="str">
        <x:v>Competitive failure reserve</x:v>
      </x:c>
      <x:c r="D9" s="85" t="n">
        <x:v>4.3</x:v>
      </x:c>
      <x:c r="E9" s="85" t="n">
        <x:f>INDEX('Fiscal Accounts'!$C$6:$C$10,MATCH(C9,'Fiscal Accounts'!$B$6:$B$10,0))</x:f>
        <x:v>50</x:v>
      </x:c>
      <x:c r="F9" s="85" t="n">
        <x:f>E9-SUMIFS($D$6:$D$9,$C$6:$C$9,C9)</x:f>
        <x:v>45.7</x:v>
      </x:c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A10" s="75"/>
      <x:c r="B10" s="75"/>
      <x:c r="C10" s="75"/>
      <x:c r="D10" s="75"/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A11" s="75" t="str">
        <x:v>Control</x:v>
      </x:c>
      <x:c r="B11" s="75" t="str"/>
      <x:c r="C11" s="75" t="str">
        <x:v>Pass 184 nested total</x:v>
      </x:c>
      <x:c r="D11" s="85" t="n">
        <x:f>SUM(D6:D9)</x:f>
        <x:v>43</x:v>
      </x:c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8" hidden="0" customWidth="1"/>
    <x:col min="5" max="5" width="58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Adverse evidence and authority rollback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A later-state failure removes dependent claims; history remains public and cannot be retried away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Trigger</x:v>
      </x:c>
      <x:c r="B5" s="38" t="str">
        <x:v>Failed warrant</x:v>
      </x:c>
      <x:c r="C5" s="38" t="str">
        <x:v>Return state</x:v>
      </x:c>
      <x:c r="D5" s="38" t="str">
        <x:v>Mandatory action</x:v>
      </x:c>
      <x:c r="E5" s="39" t="str">
        <x:v>Fiscal and readiness consequence</x:v>
      </x:c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86" t="str">
        <x:v>Requirement invalidated</x:v>
      </x:c>
      <x:c r="B6" s="75" t="str">
        <x:v>MW-02</x:v>
      </x:c>
      <x:c r="C6" s="75" t="str">
        <x:v>PW-01</x:v>
      </x:c>
      <x:c r="D6" s="86" t="str">
        <x:v>Rewrite the public-service baseline</x:v>
      </x:c>
      <x:c r="E6" s="86" t="str">
        <x:v>Unused authority returns to its source account</x:v>
      </x:c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86" t="str">
        <x:v>Option authority expires</x:v>
      </x:c>
      <x:c r="B7" s="75" t="str">
        <x:v>FW-03</x:v>
      </x:c>
      <x:c r="C7" s="75" t="str">
        <x:v>MW-02</x:v>
      </x:c>
      <x:c r="D7" s="86" t="str">
        <x:v>Recompete or cancel the rival option</x:v>
      </x:c>
      <x:c r="E7" s="86" t="str">
        <x:v>No later-state spending is recognized</x:v>
      </x:c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86" t="str">
        <x:v>Configuration drift</x:v>
      </x:c>
      <x:c r="B8" s="75" t="str">
        <x:v>CW-04</x:v>
      </x:c>
      <x:c r="C8" s="75" t="str">
        <x:v>FW-03</x:v>
      </x:c>
      <x:c r="D8" s="86" t="str">
        <x:v>Rebaseline the controlled root</x:v>
      </x:c>
      <x:c r="E8" s="86" t="str">
        <x:v>Later evidence loses reliance</x:v>
      </x:c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86" t="str">
        <x:v>Safety or rights stop</x:v>
      </x:c>
      <x:c r="B9" s="75" t="str">
        <x:v>TW-05</x:v>
      </x:c>
      <x:c r="C9" s="75" t="str">
        <x:v>CW-04</x:v>
      </x:c>
      <x:c r="D9" s="86" t="str">
        <x:v>Correct and re-earn technical release</x:v>
      </x:c>
      <x:c r="E9" s="86" t="str">
        <x:v>Employment remains unavailable</x:v>
      </x:c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86" t="str">
        <x:v>Balance endpoint adverse</x:v>
      </x:c>
      <x:c r="B10" s="75" t="str">
        <x:v>EW-06</x:v>
      </x:c>
      <x:c r="C10" s="75" t="str">
        <x:v>CW-04</x:v>
      </x:c>
      <x:c r="D10" s="86" t="str">
        <x:v>RESIZE the complete configuration</x:v>
      </x:c>
      <x:c r="E10" s="86" t="str">
        <x:v>Unspent root authority remains ring-fenced</x:v>
      </x:c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86" t="str">
        <x:v>Keystone endpoint adverse</x:v>
      </x:c>
      <x:c r="B11" s="75" t="str">
        <x:v>EW-06</x:v>
      </x:c>
      <x:c r="C11" s="75" t="str">
        <x:v>MW-02</x:v>
      </x:c>
      <x:c r="D11" s="86" t="str">
        <x:v>KILL the lineage and constitute an unlike root</x:v>
      </x:c>
      <x:c r="E11" s="86" t="str">
        <x:v>Unspent authority returns to failure reserve</x:v>
      </x:c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86" t="str">
        <x:v>Cold production failure</x:v>
      </x:c>
      <x:c r="B12" s="75" t="str">
        <x:v>IW-07</x:v>
      </x:c>
      <x:c r="C12" s="75" t="str">
        <x:v>EW-06</x:v>
      </x:c>
      <x:c r="D12" s="86" t="str">
        <x:v>Rebuild tooling, labor and alternate-line evidence</x:v>
      </x:c>
      <x:c r="E12" s="86" t="str">
        <x:v>Production and formation credit are removed</x:v>
      </x:c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86" t="str">
        <x:v>Formation readiness lapse</x:v>
      </x:c>
      <x:c r="B13" s="75" t="str">
        <x:v>CW-08</x:v>
      </x:c>
      <x:c r="C13" s="75" t="str">
        <x:v>IW-07</x:v>
      </x:c>
      <x:c r="D13" s="86" t="str">
        <x:v>Re-certify the complete formation</x:v>
      </x:c>
      <x:c r="E13" s="86" t="str">
        <x:v>Reservation and force credit are removed</x:v>
      </x:c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86" t="str">
        <x:v>Reservation conflict</x:v>
      </x:c>
      <x:c r="B14" s="75" t="str">
        <x:v>RW-09</x:v>
      </x:c>
      <x:c r="C14" s="75" t="str">
        <x:v>CW-08</x:v>
      </x:c>
      <x:c r="D14" s="86" t="str">
        <x:v>Resolve the serial claim and protected reserve</x:v>
      </x:c>
      <x:c r="E14" s="86" t="str">
        <x:v>Double-counted capacity becomes zero</x:v>
      </x:c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86" t="str">
        <x:v>Civil authority revoked</x:v>
      </x:c>
      <x:c r="B15" s="75" t="str">
        <x:v>OW-10</x:v>
      </x:c>
      <x:c r="C15" s="75" t="str">
        <x:v>RW-09</x:v>
      </x:c>
      <x:c r="D15" s="86" t="str">
        <x:v>Stop bounded employment and preserve readiness</x:v>
      </x:c>
      <x:c r="E15" s="86" t="str">
        <x:v>No service claim survives without a civil key</x:v>
      </x:c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86" t="str">
        <x:v>Service or transfer rejected</x:v>
      </x:c>
      <x:c r="B16" s="75" t="str">
        <x:v>SW-11</x:v>
      </x:c>
      <x:c r="C16" s="75" t="str">
        <x:v>RW-09</x:v>
      </x:c>
      <x:c r="D16" s="86" t="str">
        <x:v>Restore service or return to a lawful mission state</x:v>
      </x:c>
      <x:c r="E16" s="86" t="str">
        <x:v>Output at source earns no public credit</x:v>
      </x:c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20" customHeight="1">
      <x:c r="A17" s="86" t="str">
        <x:v>Regeneration failure</x:v>
      </x:c>
      <x:c r="B17" s="75" t="str">
        <x:v>GW-12</x:v>
      </x:c>
      <x:c r="C17" s="75" t="str">
        <x:v>IW-07</x:v>
      </x:c>
      <x:c r="D17" s="86" t="str">
        <x:v>Rebuild the people, article, stock and data chain</x:v>
      </x:c>
      <x:c r="E17" s="86" t="str">
        <x:v>Capacity remains outside the ready pool</x:v>
      </x:c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2" hidden="0" customWidth="1"/>
    <x:col min="4" max="4" width="18" hidden="0" customWidth="1"/>
    <x:col min="5" max="5" width="28" hidden="0" customWidth="1"/>
    <x:col min="6" max="6" width="62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Institutional technology portfolio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Planning cross-classification of the USD 100B sovereign technical account; programs must improve a governing warrant or die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Program</x:v>
      </x:c>
      <x:c r="B5" s="38" t="str">
        <x:v>Capability</x:v>
      </x:c>
      <x:c r="C5" s="38" t="str">
        <x:v>Institutional owner</x:v>
      </x:c>
      <x:c r="D5" s="38" t="str">
        <x:v>Governing warrant</x:v>
      </x:c>
      <x:c r="E5" s="38" t="str">
        <x:v>25-year authority (USD B)</x:v>
      </x:c>
      <x:c r="F5" s="39" t="str">
        <x:v>Kill condition</x:v>
      </x:c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str">
        <x:v>IT-01</x:v>
      </x:c>
      <x:c r="B6" s="86" t="str">
        <x:v>Programmable denial worlds</x:v>
      </x:c>
      <x:c r="C6" s="86" t="str">
        <x:v>Resilience Proving Service</x:v>
      </x:c>
      <x:c r="D6" s="75" t="str">
        <x:v>EW-06</x:v>
      </x:c>
      <x:c r="E6" s="85" t="n">
        <x:v>12</x:v>
      </x:c>
      <x:c r="F6" s="91" t="str">
        <x:v>Cannot reproduce the named damage state at service scale</x:v>
      </x:c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IT-02</x:v>
      </x:c>
      <x:c r="B7" s="86" t="str">
        <x:v>Matched counterfactual environments</x:v>
      </x:c>
      <x:c r="C7" s="86" t="str">
        <x:v>Resilience Proving Service</x:v>
      </x:c>
      <x:c r="D7" s="75" t="str">
        <x:v>EW-06</x:v>
      </x:c>
      <x:c r="E7" s="85" t="n">
        <x:v>8</x:v>
      </x:c>
      <x:c r="F7" s="91" t="str">
        <x:v>Background burden cannot be separated from candidate effect</x:v>
      </x:c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IT-03</x:v>
      </x:c>
      <x:c r="B8" s="86" t="str">
        <x:v>Cold reconstruction factories</x:v>
      </x:c>
      <x:c r="C8" s="86" t="str">
        <x:v>Reconstruction Command</x:v>
      </x:c>
      <x:c r="D8" s="75" t="str">
        <x:v>IW-07</x:v>
      </x:c>
      <x:c r="E8" s="85" t="n">
        <x:v>10</x:v>
      </x:c>
      <x:c r="F8" s="91" t="str">
        <x:v>Outside teams cannot build from public technical data</x:v>
      </x:c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IT-04</x:v>
      </x:c>
      <x:c r="B9" s="86" t="str">
        <x:v>Public metrology and custody fabric</x:v>
      </x:c>
      <x:c r="C9" s="86" t="str">
        <x:v>Standards and Custody Command</x:v>
      </x:c>
      <x:c r="D9" s="75" t="str">
        <x:v>EW-06</x:v>
      </x:c>
      <x:c r="E9" s="85" t="n">
        <x:v>9</x:v>
      </x:c>
      <x:c r="F9" s="91" t="str">
        <x:v>Raw evidence cannot be independently reconstructed</x:v>
      </x:c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str">
        <x:v>IT-05</x:v>
      </x:c>
      <x:c r="B10" s="86" t="str">
        <x:v>Industrial ancestry observatory</x:v>
      </x:c>
      <x:c r="C10" s="86" t="str">
        <x:v>Industrial Mobilization Administration</x:v>
      </x:c>
      <x:c r="D10" s="75" t="str">
        <x:v>CW-04</x:v>
      </x:c>
      <x:c r="E10" s="85" t="n">
        <x:v>5</x:v>
      </x:c>
      <x:c r="F10" s="91" t="str">
        <x:v>Common ownership or tooling remains invisible</x:v>
      </x:c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75" t="str">
        <x:v>IT-06</x:v>
      </x:c>
      <x:c r="B11" s="86" t="str">
        <x:v>Authority provenance ledger</x:v>
      </x:c>
      <x:c r="C11" s="86" t="str">
        <x:v>Department Capital Board</x:v>
      </x:c>
      <x:c r="D11" s="75" t="str">
        <x:v>FW-03</x:v>
      </x:c>
      <x:c r="E11" s="85" t="n">
        <x:v>3</x:v>
      </x:c>
      <x:c r="F11" s="91" t="str">
        <x:v>A dollar or warrant can be counted twice</x:v>
      </x:c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75" t="str">
        <x:v>IT-07</x:v>
      </x:c>
      <x:c r="B12" s="86" t="str">
        <x:v>Machine-readable service contracts</x:v>
      </x:c>
      <x:c r="C12" s="86" t="str">
        <x:v>Mission System Commands</x:v>
      </x:c>
      <x:c r="D12" s="75" t="str">
        <x:v>MW-02</x:v>
      </x:c>
      <x:c r="E12" s="85" t="n">
        <x:v>4</x:v>
      </x:c>
      <x:c r="F12" s="91" t="str">
        <x:v>A complete public denominator cannot compile into tests</x:v>
      </x:c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75" t="str">
        <x:v>IT-08</x:v>
      </x:c>
      <x:c r="B13" s="86" t="str">
        <x:v>Dynamic serial reservation compiler</x:v>
      </x:c>
      <x:c r="C13" s="86" t="str">
        <x:v>Joint Capacity Authority</x:v>
      </x:c>
      <x:c r="D13" s="75" t="str">
        <x:v>RW-09</x:v>
      </x:c>
      <x:c r="E13" s="85" t="n">
        <x:v>5</x:v>
      </x:c>
      <x:c r="F13" s="91" t="str">
        <x:v>Concurrent claims cannot expose the same serial twice</x:v>
      </x:c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75" t="str">
        <x:v>IT-09</x:v>
      </x:c>
      <x:c r="B14" s="86" t="str">
        <x:v>Open-interface verification cells</x:v>
      </x:c>
      <x:c r="C14" s="86" t="str">
        <x:v>Operating Services</x:v>
      </x:c>
      <x:c r="D14" s="75" t="str">
        <x:v>TW-05</x:v>
      </x:c>
      <x:c r="E14" s="85" t="n">
        <x:v>5</x:v>
      </x:c>
      <x:c r="F14" s="91" t="str">
        <x:v>A public seam cannot support unlike implementations</x:v>
      </x:c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75" t="str">
        <x:v>IT-10</x:v>
      </x:c>
      <x:c r="B15" s="86" t="str">
        <x:v>Synthetic civil-state populations</x:v>
      </x:c>
      <x:c r="C15" s="86" t="str">
        <x:v>Public Effect College</x:v>
      </x:c>
      <x:c r="D15" s="75" t="str">
        <x:v>SW-11</x:v>
      </x:c>
      <x:c r="E15" s="85" t="n">
        <x:v>8</x:v>
      </x:c>
      <x:c r="F15" s="91" t="str">
        <x:v>Protected population failures remain hidden in averages</x:v>
      </x:c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75" t="str">
        <x:v>IT-11</x:v>
      </x:c>
      <x:c r="B16" s="86" t="str">
        <x:v>Relationship-state instrumentation</x:v>
      </x:c>
      <x:c r="C16" s="86" t="str">
        <x:v>Civil Resilience Authority</x:v>
      </x:c>
      <x:c r="D16" s="75" t="str">
        <x:v>SW-11</x:v>
      </x:c>
      <x:c r="E16" s="85" t="n">
        <x:v>7</x:v>
      </x:c>
      <x:c r="F16" s="91" t="str">
        <x:v>Care, custody or household continuity cannot be observed</x:v>
      </x:c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20" customHeight="1">
      <x:c r="A17" s="75" t="str">
        <x:v>IT-12</x:v>
      </x:c>
      <x:c r="B17" s="86" t="str">
        <x:v>Causal service telemetry</x:v>
      </x:c>
      <x:c r="C17" s="86" t="str">
        <x:v>Resilience Proving Service</x:v>
      </x:c>
      <x:c r="D17" s="75" t="str">
        <x:v>EW-06</x:v>
      </x:c>
      <x:c r="E17" s="85" t="n">
        <x:v>6</x:v>
      </x:c>
      <x:c r="F17" s="91" t="str">
        <x:v>Source output cannot be linked to safe service at use</x:v>
      </x:c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20" customHeight="1">
      <x:c r="A18" s="75" t="str">
        <x:v>IT-13</x:v>
      </x:c>
      <x:c r="B18" s="86" t="str">
        <x:v>Self-forming standards registry</x:v>
      </x:c>
      <x:c r="C18" s="86" t="str">
        <x:v>Service Technical College</x:v>
      </x:c>
      <x:c r="D18" s="75" t="str">
        <x:v>TW-05</x:v>
      </x:c>
      <x:c r="E18" s="85" t="n">
        <x:v>3</x:v>
      </x:c>
      <x:c r="F18" s="91" t="str">
        <x:v>Damage-driven interface changes cannot remain version-controlled</x:v>
      </x:c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20" customHeight="1">
      <x:c r="A19" s="75" t="str">
        <x:v>IT-14</x:v>
      </x:c>
      <x:c r="B19" s="86" t="str">
        <x:v>Adverse-evidence incentive market</x:v>
      </x:c>
      <x:c r="C19" s="86" t="str">
        <x:v>Department Capital Board</x:v>
      </x:c>
      <x:c r="D19" s="75" t="str">
        <x:v>FW-03</x:v>
      </x:c>
      <x:c r="E19" s="85" t="n">
        <x:v>2</x:v>
      </x:c>
      <x:c r="F19" s="91" t="str">
        <x:v>A completed negative result has no economic value</x:v>
      </x:c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20" customHeight="1">
      <x:c r="A20" s="75" t="str">
        <x:v>IT-15</x:v>
      </x:c>
      <x:c r="B20" s="86" t="str">
        <x:v>Rapid recertification engines</x:v>
      </x:c>
      <x:c r="C20" s="86" t="str">
        <x:v>Joint Capacity Authority</x:v>
      </x:c>
      <x:c r="D20" s="75" t="str">
        <x:v>CW-08</x:v>
      </x:c>
      <x:c r="E20" s="85" t="n">
        <x:v>6</x:v>
      </x:c>
      <x:c r="F20" s="91" t="str">
        <x:v>Readiness cannot be re-earned after controlled repair</x:v>
      </x:c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20" customHeight="1">
      <x:c r="A21" s="75" t="str">
        <x:v>IT-16</x:v>
      </x:c>
      <x:c r="B21" s="86" t="str">
        <x:v>Regenerative calibration roots</x:v>
      </x:c>
      <x:c r="C21" s="86" t="str">
        <x:v>Strategic Sustainment Command</x:v>
      </x:c>
      <x:c r="D21" s="75" t="str">
        <x:v>GW-12</x:v>
      </x:c>
      <x:c r="E21" s="85" t="n">
        <x:v>7</x:v>
      </x:c>
      <x:c r="F21" s="91" t="str">
        <x:v>Test truth cannot be restored after station or supply loss</x:v>
      </x:c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A23" s="75" t="str">
        <x:v>Control</x:v>
      </x:c>
      <x:c r="B23" s="75" t="str"/>
      <x:c r="C23" s="75" t="str"/>
      <x:c r="D23" s="75" t="str">
        <x:v>Portfolio total</x:v>
      </x:c>
      <x:c r="E23" s="85" t="n">
        <x:f>SUM(E6:E21)</x:f>
        <x:v>100</x:v>
      </x:c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44" hidden="0" customWidth="1"/>
    <x:col min="3" max="3" width="30" hidden="0" customWidth="1"/>
    <x:col min="4" max="4" width="22" hidden="0" customWidth="1"/>
    <x:col min="5" max="5" width="14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Terminal audit register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Independent checks observe the builds; no workbook logic reads this sheet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Audit ID</x:v>
      </x:c>
      <x:c r="B5" s="38" t="str">
        <x:v>Test</x:v>
      </x:c>
      <x:c r="C5" s="38" t="str">
        <x:v>Observed cell or range</x:v>
      </x:c>
      <x:c r="D5" s="38" t="str">
        <x:v>Expected</x:v>
      </x:c>
      <x:c r="E5" s="39" t="str">
        <x:v>Result</x:v>
      </x:c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75" t="str">
        <x:v>WA-001</x:v>
      </x:c>
      <x:c r="B6" s="86" t="str">
        <x:v>Warrant source-empty baseline</x:v>
      </x:c>
      <x:c r="C6" s="75" t="str">
        <x:v>Warrant Ledger!S6</x:v>
      </x:c>
      <x:c r="D6" s="75" t="str">
        <x:v>SOURCE EMPTY</x:v>
      </x:c>
      <x:c r="E6" s="75" t="str">
        <x:f>IF('Warrant Ledger'!S6="SOURCE EMPTY","PASS","FAIL")</x:f>
        <x:v>PASS</x:v>
      </x:c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WA-002</x:v>
      </x:c>
      <x:c r="B7" s="86" t="str">
        <x:v>Warrant source-empty baseline</x:v>
      </x:c>
      <x:c r="C7" s="75" t="str">
        <x:v>Warrant Ledger!S7</x:v>
      </x:c>
      <x:c r="D7" s="75" t="str">
        <x:v>SOURCE EMPTY</x:v>
      </x:c>
      <x:c r="E7" s="75" t="str">
        <x:f>IF('Warrant Ledger'!S7="SOURCE EMPTY","PASS","FAIL")</x:f>
        <x:v>PASS</x:v>
      </x:c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WA-003</x:v>
      </x:c>
      <x:c r="B8" s="86" t="str">
        <x:v>Warrant source-empty baseline</x:v>
      </x:c>
      <x:c r="C8" s="75" t="str">
        <x:v>Warrant Ledger!S8</x:v>
      </x:c>
      <x:c r="D8" s="75" t="str">
        <x:v>SOURCE EMPTY</x:v>
      </x:c>
      <x:c r="E8" s="75" t="str">
        <x:f>IF('Warrant Ledger'!S8="SOURCE EMPTY","PASS","FAIL")</x:f>
        <x:v>PASS</x:v>
      </x:c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WA-004</x:v>
      </x:c>
      <x:c r="B9" s="86" t="str">
        <x:v>Warrant source-empty baseline</x:v>
      </x:c>
      <x:c r="C9" s="75" t="str">
        <x:v>Warrant Ledger!S9</x:v>
      </x:c>
      <x:c r="D9" s="75" t="str">
        <x:v>SOURCE EMPTY</x:v>
      </x:c>
      <x:c r="E9" s="75" t="str">
        <x:f>IF('Warrant Ledger'!S9="SOURCE EMPTY","PASS","FAIL")</x:f>
        <x:v>PASS</x:v>
      </x:c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str">
        <x:v>WA-005</x:v>
      </x:c>
      <x:c r="B10" s="86" t="str">
        <x:v>Warrant source-empty baseline</x:v>
      </x:c>
      <x:c r="C10" s="75" t="str">
        <x:v>Warrant Ledger!S10</x:v>
      </x:c>
      <x:c r="D10" s="75" t="str">
        <x:v>SOURCE EMPTY</x:v>
      </x:c>
      <x:c r="E10" s="75" t="str">
        <x:f>IF('Warrant Ledger'!S10="SOURCE EMPTY","PASS","FAIL")</x:f>
        <x:v>PASS</x:v>
      </x:c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75" t="str">
        <x:v>WA-006</x:v>
      </x:c>
      <x:c r="B11" s="86" t="str">
        <x:v>Warrant source-empty baseline</x:v>
      </x:c>
      <x:c r="C11" s="75" t="str">
        <x:v>Warrant Ledger!S11</x:v>
      </x:c>
      <x:c r="D11" s="75" t="str">
        <x:v>SOURCE EMPTY</x:v>
      </x:c>
      <x:c r="E11" s="75" t="str">
        <x:f>IF('Warrant Ledger'!S11="SOURCE EMPTY","PASS","FAIL")</x:f>
        <x:v>PASS</x:v>
      </x:c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75" t="str">
        <x:v>WA-007</x:v>
      </x:c>
      <x:c r="B12" s="86" t="str">
        <x:v>Warrant source-empty baseline</x:v>
      </x:c>
      <x:c r="C12" s="75" t="str">
        <x:v>Warrant Ledger!S12</x:v>
      </x:c>
      <x:c r="D12" s="75" t="str">
        <x:v>SOURCE EMPTY</x:v>
      </x:c>
      <x:c r="E12" s="75" t="str">
        <x:f>IF('Warrant Ledger'!S12="SOURCE EMPTY","PASS","FAIL")</x:f>
        <x:v>PASS</x:v>
      </x:c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75" t="str">
        <x:v>WA-008</x:v>
      </x:c>
      <x:c r="B13" s="86" t="str">
        <x:v>Warrant source-empty baseline</x:v>
      </x:c>
      <x:c r="C13" s="75" t="str">
        <x:v>Warrant Ledger!S13</x:v>
      </x:c>
      <x:c r="D13" s="75" t="str">
        <x:v>SOURCE EMPTY</x:v>
      </x:c>
      <x:c r="E13" s="75" t="str">
        <x:f>IF('Warrant Ledger'!S13="SOURCE EMPTY","PASS","FAIL")</x:f>
        <x:v>PASS</x:v>
      </x:c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75" t="str">
        <x:v>WA-009</x:v>
      </x:c>
      <x:c r="B14" s="86" t="str">
        <x:v>Warrant source-empty baseline</x:v>
      </x:c>
      <x:c r="C14" s="75" t="str">
        <x:v>Warrant Ledger!S14</x:v>
      </x:c>
      <x:c r="D14" s="75" t="str">
        <x:v>SOURCE EMPTY</x:v>
      </x:c>
      <x:c r="E14" s="75" t="str">
        <x:f>IF('Warrant Ledger'!S14="SOURCE EMPTY","PASS","FAIL")</x:f>
        <x:v>PASS</x:v>
      </x:c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75" t="str">
        <x:v>WA-010</x:v>
      </x:c>
      <x:c r="B15" s="86" t="str">
        <x:v>Warrant source-empty baseline</x:v>
      </x:c>
      <x:c r="C15" s="75" t="str">
        <x:v>Warrant Ledger!S15</x:v>
      </x:c>
      <x:c r="D15" s="75" t="str">
        <x:v>SOURCE EMPTY</x:v>
      </x:c>
      <x:c r="E15" s="75" t="str">
        <x:f>IF('Warrant Ledger'!S15="SOURCE EMPTY","PASS","FAIL")</x:f>
        <x:v>PASS</x:v>
      </x:c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75" t="str">
        <x:v>WA-011</x:v>
      </x:c>
      <x:c r="B16" s="86" t="str">
        <x:v>Warrant source-empty baseline</x:v>
      </x:c>
      <x:c r="C16" s="75" t="str">
        <x:v>Warrant Ledger!S16</x:v>
      </x:c>
      <x:c r="D16" s="75" t="str">
        <x:v>SOURCE EMPTY</x:v>
      </x:c>
      <x:c r="E16" s="75" t="str">
        <x:f>IF('Warrant Ledger'!S16="SOURCE EMPTY","PASS","FAIL")</x:f>
        <x:v>PASS</x:v>
      </x:c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20" customHeight="1">
      <x:c r="A17" s="75" t="str">
        <x:v>WA-012</x:v>
      </x:c>
      <x:c r="B17" s="86" t="str">
        <x:v>Warrant source-empty baseline</x:v>
      </x:c>
      <x:c r="C17" s="75" t="str">
        <x:v>Warrant Ledger!S17</x:v>
      </x:c>
      <x:c r="D17" s="75" t="str">
        <x:v>SOURCE EMPTY</x:v>
      </x:c>
      <x:c r="E17" s="75" t="str">
        <x:f>IF('Warrant Ledger'!S17="SOURCE EMPTY","PASS","FAIL")</x:f>
        <x:v>PASS</x:v>
      </x:c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20" customHeight="1">
      <x:c r="A18" s="75" t="str">
        <x:v>WA-013</x:v>
      </x:c>
      <x:c r="B18" s="86" t="str">
        <x:v>Warrant source-empty baseline</x:v>
      </x:c>
      <x:c r="C18" s="75" t="str">
        <x:v>Warrant Ledger!S18</x:v>
      </x:c>
      <x:c r="D18" s="75" t="str">
        <x:v>SOURCE EMPTY</x:v>
      </x:c>
      <x:c r="E18" s="75" t="str">
        <x:f>IF('Warrant Ledger'!S18="SOURCE EMPTY","PASS","FAIL")</x:f>
        <x:v>PASS</x:v>
      </x:c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20" customHeight="1">
      <x:c r="A19" s="75" t="str">
        <x:v>WA-014</x:v>
      </x:c>
      <x:c r="B19" s="86" t="str">
        <x:v>Warrant source-empty baseline</x:v>
      </x:c>
      <x:c r="C19" s="75" t="str">
        <x:v>Warrant Ledger!S19</x:v>
      </x:c>
      <x:c r="D19" s="75" t="str">
        <x:v>SOURCE EMPTY</x:v>
      </x:c>
      <x:c r="E19" s="75" t="str">
        <x:f>IF('Warrant Ledger'!S19="SOURCE EMPTY","PASS","FAIL")</x:f>
        <x:v>PASS</x:v>
      </x:c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20" customHeight="1">
      <x:c r="A20" s="75" t="str">
        <x:v>WA-015</x:v>
      </x:c>
      <x:c r="B20" s="86" t="str">
        <x:v>Warrant source-empty baseline</x:v>
      </x:c>
      <x:c r="C20" s="75" t="str">
        <x:v>Warrant Ledger!S20</x:v>
      </x:c>
      <x:c r="D20" s="75" t="str">
        <x:v>SOURCE EMPTY</x:v>
      </x:c>
      <x:c r="E20" s="75" t="str">
        <x:f>IF('Warrant Ledger'!S20="SOURCE EMPTY","PASS","FAIL")</x:f>
        <x:v>PASS</x:v>
      </x:c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20" customHeight="1">
      <x:c r="A21" s="75" t="str">
        <x:v>WA-016</x:v>
      </x:c>
      <x:c r="B21" s="86" t="str">
        <x:v>Warrant source-empty baseline</x:v>
      </x:c>
      <x:c r="C21" s="75" t="str">
        <x:v>Warrant Ledger!S21</x:v>
      </x:c>
      <x:c r="D21" s="75" t="str">
        <x:v>SOURCE EMPTY</x:v>
      </x:c>
      <x:c r="E21" s="75" t="str">
        <x:f>IF('Warrant Ledger'!S21="SOURCE EMPTY","PASS","FAIL")</x:f>
        <x:v>PASS</x:v>
      </x:c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20" customHeight="1">
      <x:c r="A22" s="75" t="str">
        <x:v>WA-017</x:v>
      </x:c>
      <x:c r="B22" s="86" t="str">
        <x:v>Warrant source-empty baseline</x:v>
      </x:c>
      <x:c r="C22" s="75" t="str">
        <x:v>Warrant Ledger!S22</x:v>
      </x:c>
      <x:c r="D22" s="75" t="str">
        <x:v>SOURCE EMPTY</x:v>
      </x:c>
      <x:c r="E22" s="75" t="str">
        <x:f>IF('Warrant Ledger'!S22="SOURCE EMPTY","PASS","FAIL")</x:f>
        <x:v>PASS</x:v>
      </x:c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20" customHeight="1">
      <x:c r="A23" s="75" t="str">
        <x:v>WA-018</x:v>
      </x:c>
      <x:c r="B23" s="86" t="str">
        <x:v>Warrant source-empty baseline</x:v>
      </x:c>
      <x:c r="C23" s="75" t="str">
        <x:v>Warrant Ledger!S23</x:v>
      </x:c>
      <x:c r="D23" s="75" t="str">
        <x:v>SOURCE EMPTY</x:v>
      </x:c>
      <x:c r="E23" s="75" t="str">
        <x:f>IF('Warrant Ledger'!S23="SOURCE EMPTY","PASS","FAIL")</x:f>
        <x:v>PASS</x:v>
      </x:c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20" customHeight="1">
      <x:c r="A24" s="75" t="str">
        <x:v>WA-019</x:v>
      </x:c>
      <x:c r="B24" s="86" t="str">
        <x:v>Warrant source-empty baseline</x:v>
      </x:c>
      <x:c r="C24" s="75" t="str">
        <x:v>Warrant Ledger!S24</x:v>
      </x:c>
      <x:c r="D24" s="75" t="str">
        <x:v>SOURCE EMPTY</x:v>
      </x:c>
      <x:c r="E24" s="75" t="str">
        <x:f>IF('Warrant Ledger'!S24="SOURCE EMPTY","PASS","FAIL")</x:f>
        <x:v>PASS</x:v>
      </x:c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20" customHeight="1">
      <x:c r="A25" s="75" t="str">
        <x:v>WA-020</x:v>
      </x:c>
      <x:c r="B25" s="86" t="str">
        <x:v>Warrant source-empty baseline</x:v>
      </x:c>
      <x:c r="C25" s="75" t="str">
        <x:v>Warrant Ledger!S25</x:v>
      </x:c>
      <x:c r="D25" s="75" t="str">
        <x:v>SOURCE EMPTY</x:v>
      </x:c>
      <x:c r="E25" s="75" t="str">
        <x:f>IF('Warrant Ledger'!S25="SOURCE EMPTY","PASS","FAIL")</x:f>
        <x:v>PASS</x:v>
      </x:c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 ht="20" customHeight="1">
      <x:c r="A26" s="75" t="str">
        <x:v>WA-021</x:v>
      </x:c>
      <x:c r="B26" s="86" t="str">
        <x:v>Warrant source-empty baseline</x:v>
      </x:c>
      <x:c r="C26" s="75" t="str">
        <x:v>Warrant Ledger!S26</x:v>
      </x:c>
      <x:c r="D26" s="75" t="str">
        <x:v>SOURCE EMPTY</x:v>
      </x:c>
      <x:c r="E26" s="75" t="str">
        <x:f>IF('Warrant Ledger'!S26="SOURCE EMPTY","PASS","FAIL")</x:f>
        <x:v>PASS</x:v>
      </x:c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 ht="20" customHeight="1">
      <x:c r="A27" s="75" t="str">
        <x:v>WA-022</x:v>
      </x:c>
      <x:c r="B27" s="86" t="str">
        <x:v>Warrant source-empty baseline</x:v>
      </x:c>
      <x:c r="C27" s="75" t="str">
        <x:v>Warrant Ledger!S27</x:v>
      </x:c>
      <x:c r="D27" s="75" t="str">
        <x:v>SOURCE EMPTY</x:v>
      </x:c>
      <x:c r="E27" s="75" t="str">
        <x:f>IF('Warrant Ledger'!S27="SOURCE EMPTY","PASS","FAIL")</x:f>
        <x:v>PASS</x:v>
      </x:c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 ht="20" customHeight="1">
      <x:c r="A28" s="75" t="str">
        <x:v>WA-023</x:v>
      </x:c>
      <x:c r="B28" s="86" t="str">
        <x:v>Warrant source-empty baseline</x:v>
      </x:c>
      <x:c r="C28" s="75" t="str">
        <x:v>Warrant Ledger!S28</x:v>
      </x:c>
      <x:c r="D28" s="75" t="str">
        <x:v>SOURCE EMPTY</x:v>
      </x:c>
      <x:c r="E28" s="75" t="str">
        <x:f>IF('Warrant Ledger'!S28="SOURCE EMPTY","PASS","FAIL")</x:f>
        <x:v>PASS</x:v>
      </x:c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 ht="20" customHeight="1">
      <x:c r="A29" s="75" t="str">
        <x:v>WA-024</x:v>
      </x:c>
      <x:c r="B29" s="86" t="str">
        <x:v>Warrant source-empty baseline</x:v>
      </x:c>
      <x:c r="C29" s="75" t="str">
        <x:v>Warrant Ledger!S29</x:v>
      </x:c>
      <x:c r="D29" s="75" t="str">
        <x:v>SOURCE EMPTY</x:v>
      </x:c>
      <x:c r="E29" s="75" t="str">
        <x:f>IF('Warrant Ledger'!S29="SOURCE EMPTY","PASS","FAIL")</x:f>
        <x:v>PASS</x:v>
      </x:c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 ht="20" customHeight="1">
      <x:c r="A30" s="75" t="str">
        <x:v>WA-025</x:v>
      </x:c>
      <x:c r="B30" s="86" t="str">
        <x:v>Warrant source-empty baseline</x:v>
      </x:c>
      <x:c r="C30" s="75" t="str">
        <x:v>Warrant Ledger!S30</x:v>
      </x:c>
      <x:c r="D30" s="75" t="str">
        <x:v>SOURCE EMPTY</x:v>
      </x:c>
      <x:c r="E30" s="75" t="str">
        <x:f>IF('Warrant Ledger'!S30="SOURCE EMPTY","PASS","FAIL")</x:f>
        <x:v>PASS</x:v>
      </x:c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 ht="20" customHeight="1">
      <x:c r="A31" s="75" t="str">
        <x:v>WA-026</x:v>
      </x:c>
      <x:c r="B31" s="86" t="str">
        <x:v>Warrant source-empty baseline</x:v>
      </x:c>
      <x:c r="C31" s="75" t="str">
        <x:v>Warrant Ledger!S31</x:v>
      </x:c>
      <x:c r="D31" s="75" t="str">
        <x:v>SOURCE EMPTY</x:v>
      </x:c>
      <x:c r="E31" s="75" t="str">
        <x:f>IF('Warrant Ledger'!S31="SOURCE EMPTY","PASS","FAIL")</x:f>
        <x:v>PASS</x:v>
      </x:c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 ht="20" customHeight="1">
      <x:c r="A32" s="75" t="str">
        <x:v>WA-027</x:v>
      </x:c>
      <x:c r="B32" s="86" t="str">
        <x:v>Warrant source-empty baseline</x:v>
      </x:c>
      <x:c r="C32" s="75" t="str">
        <x:v>Warrant Ledger!S32</x:v>
      </x:c>
      <x:c r="D32" s="75" t="str">
        <x:v>SOURCE EMPTY</x:v>
      </x:c>
      <x:c r="E32" s="75" t="str">
        <x:f>IF('Warrant Ledger'!S32="SOURCE EMPTY","PASS","FAIL")</x:f>
        <x:v>PASS</x:v>
      </x:c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 ht="20" customHeight="1">
      <x:c r="A33" s="75" t="str">
        <x:v>WA-028</x:v>
      </x:c>
      <x:c r="B33" s="86" t="str">
        <x:v>Warrant source-empty baseline</x:v>
      </x:c>
      <x:c r="C33" s="75" t="str">
        <x:v>Warrant Ledger!S33</x:v>
      </x:c>
      <x:c r="D33" s="75" t="str">
        <x:v>SOURCE EMPTY</x:v>
      </x:c>
      <x:c r="E33" s="75" t="str">
        <x:f>IF('Warrant Ledger'!S33="SOURCE EMPTY","PASS","FAIL")</x:f>
        <x:v>PASS</x:v>
      </x:c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 ht="20" customHeight="1">
      <x:c r="A34" s="75" t="str">
        <x:v>WA-029</x:v>
      </x:c>
      <x:c r="B34" s="86" t="str">
        <x:v>Warrant source-empty baseline</x:v>
      </x:c>
      <x:c r="C34" s="75" t="str">
        <x:v>Warrant Ledger!S34</x:v>
      </x:c>
      <x:c r="D34" s="75" t="str">
        <x:v>SOURCE EMPTY</x:v>
      </x:c>
      <x:c r="E34" s="75" t="str">
        <x:f>IF('Warrant Ledger'!S34="SOURCE EMPTY","PASS","FAIL")</x:f>
        <x:v>PASS</x:v>
      </x:c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 ht="20" customHeight="1">
      <x:c r="A35" s="75" t="str">
        <x:v>WA-030</x:v>
      </x:c>
      <x:c r="B35" s="86" t="str">
        <x:v>Warrant source-empty baseline</x:v>
      </x:c>
      <x:c r="C35" s="75" t="str">
        <x:v>Warrant Ledger!S35</x:v>
      </x:c>
      <x:c r="D35" s="75" t="str">
        <x:v>SOURCE EMPTY</x:v>
      </x:c>
      <x:c r="E35" s="75" t="str">
        <x:f>IF('Warrant Ledger'!S35="SOURCE EMPTY","PASS","FAIL")</x:f>
        <x:v>PASS</x:v>
      </x:c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 ht="20" customHeight="1">
      <x:c r="A36" s="75" t="str">
        <x:v>WA-031</x:v>
      </x:c>
      <x:c r="B36" s="86" t="str">
        <x:v>Warrant source-empty baseline</x:v>
      </x:c>
      <x:c r="C36" s="75" t="str">
        <x:v>Warrant Ledger!S36</x:v>
      </x:c>
      <x:c r="D36" s="75" t="str">
        <x:v>SOURCE EMPTY</x:v>
      </x:c>
      <x:c r="E36" s="75" t="str">
        <x:f>IF('Warrant Ledger'!S36="SOURCE EMPTY","PASS","FAIL")</x:f>
        <x:v>PASS</x:v>
      </x:c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 ht="20" customHeight="1">
      <x:c r="A37" s="75" t="str">
        <x:v>WA-032</x:v>
      </x:c>
      <x:c r="B37" s="86" t="str">
        <x:v>Warrant source-empty baseline</x:v>
      </x:c>
      <x:c r="C37" s="75" t="str">
        <x:v>Warrant Ledger!S37</x:v>
      </x:c>
      <x:c r="D37" s="75" t="str">
        <x:v>SOURCE EMPTY</x:v>
      </x:c>
      <x:c r="E37" s="75" t="str">
        <x:f>IF('Warrant Ledger'!S37="SOURCE EMPTY","PASS","FAIL")</x:f>
        <x:v>PASS</x:v>
      </x:c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 ht="20" customHeight="1">
      <x:c r="A38" s="75" t="str">
        <x:v>WA-033</x:v>
      </x:c>
      <x:c r="B38" s="86" t="str">
        <x:v>Warrant source-empty baseline</x:v>
      </x:c>
      <x:c r="C38" s="75" t="str">
        <x:v>Warrant Ledger!S38</x:v>
      </x:c>
      <x:c r="D38" s="75" t="str">
        <x:v>SOURCE EMPTY</x:v>
      </x:c>
      <x:c r="E38" s="75" t="str">
        <x:f>IF('Warrant Ledger'!S38="SOURCE EMPTY","PASS","FAIL")</x:f>
        <x:v>PASS</x:v>
      </x:c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 ht="20" customHeight="1">
      <x:c r="A39" s="75" t="str">
        <x:v>WA-034</x:v>
      </x:c>
      <x:c r="B39" s="86" t="str">
        <x:v>Warrant source-empty baseline</x:v>
      </x:c>
      <x:c r="C39" s="75" t="str">
        <x:v>Warrant Ledger!S39</x:v>
      </x:c>
      <x:c r="D39" s="75" t="str">
        <x:v>SOURCE EMPTY</x:v>
      </x:c>
      <x:c r="E39" s="75" t="str">
        <x:f>IF('Warrant Ledger'!S39="SOURCE EMPTY","PASS","FAIL")</x:f>
        <x:v>PASS</x:v>
      </x:c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 ht="20" customHeight="1">
      <x:c r="A40" s="75" t="str">
        <x:v>WA-035</x:v>
      </x:c>
      <x:c r="B40" s="86" t="str">
        <x:v>Warrant source-empty baseline</x:v>
      </x:c>
      <x:c r="C40" s="75" t="str">
        <x:v>Warrant Ledger!S40</x:v>
      </x:c>
      <x:c r="D40" s="75" t="str">
        <x:v>SOURCE EMPTY</x:v>
      </x:c>
      <x:c r="E40" s="75" t="str">
        <x:f>IF('Warrant Ledger'!S40="SOURCE EMPTY","PASS","FAIL")</x:f>
        <x:v>PASS</x:v>
      </x:c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 ht="20" customHeight="1">
      <x:c r="A41" s="75" t="str">
        <x:v>WA-036</x:v>
      </x:c>
      <x:c r="B41" s="86" t="str">
        <x:v>Warrant source-empty baseline</x:v>
      </x:c>
      <x:c r="C41" s="75" t="str">
        <x:v>Warrant Ledger!S41</x:v>
      </x:c>
      <x:c r="D41" s="75" t="str">
        <x:v>SOURCE EMPTY</x:v>
      </x:c>
      <x:c r="E41" s="75" t="str">
        <x:f>IF('Warrant Ledger'!S41="SOURCE EMPTY","PASS","FAIL")</x:f>
        <x:v>PASS</x:v>
      </x:c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 ht="20" customHeight="1">
      <x:c r="A42" s="75" t="str">
        <x:v>WA-037</x:v>
      </x:c>
      <x:c r="B42" s="86" t="str">
        <x:v>Warrant source-empty baseline</x:v>
      </x:c>
      <x:c r="C42" s="75" t="str">
        <x:v>Warrant Ledger!S42</x:v>
      </x:c>
      <x:c r="D42" s="75" t="str">
        <x:v>SOURCE EMPTY</x:v>
      </x:c>
      <x:c r="E42" s="75" t="str">
        <x:f>IF('Warrant Ledger'!S42="SOURCE EMPTY","PASS","FAIL")</x:f>
        <x:v>PASS</x:v>
      </x:c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 ht="20" customHeight="1">
      <x:c r="A43" s="75" t="str">
        <x:v>WA-038</x:v>
      </x:c>
      <x:c r="B43" s="86" t="str">
        <x:v>Warrant source-empty baseline</x:v>
      </x:c>
      <x:c r="C43" s="75" t="str">
        <x:v>Warrant Ledger!S43</x:v>
      </x:c>
      <x:c r="D43" s="75" t="str">
        <x:v>SOURCE EMPTY</x:v>
      </x:c>
      <x:c r="E43" s="75" t="str">
        <x:f>IF('Warrant Ledger'!S43="SOURCE EMPTY","PASS","FAIL")</x:f>
        <x:v>PASS</x:v>
      </x:c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 ht="20" customHeight="1">
      <x:c r="A44" s="75" t="str">
        <x:v>WA-039</x:v>
      </x:c>
      <x:c r="B44" s="86" t="str">
        <x:v>Warrant source-empty baseline</x:v>
      </x:c>
      <x:c r="C44" s="75" t="str">
        <x:v>Warrant Ledger!S44</x:v>
      </x:c>
      <x:c r="D44" s="75" t="str">
        <x:v>SOURCE EMPTY</x:v>
      </x:c>
      <x:c r="E44" s="75" t="str">
        <x:f>IF('Warrant Ledger'!S44="SOURCE EMPTY","PASS","FAIL")</x:f>
        <x:v>PASS</x:v>
      </x:c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 ht="20" customHeight="1">
      <x:c r="A45" s="75" t="str">
        <x:v>WA-040</x:v>
      </x:c>
      <x:c r="B45" s="86" t="str">
        <x:v>Warrant source-empty baseline</x:v>
      </x:c>
      <x:c r="C45" s="75" t="str">
        <x:v>Warrant Ledger!S45</x:v>
      </x:c>
      <x:c r="D45" s="75" t="str">
        <x:v>SOURCE EMPTY</x:v>
      </x:c>
      <x:c r="E45" s="75" t="str">
        <x:f>IF('Warrant Ledger'!S45="SOURCE EMPTY","PASS","FAIL")</x:f>
        <x:v>PASS</x:v>
      </x:c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 ht="20" customHeight="1">
      <x:c r="A46" s="75" t="str">
        <x:v>WA-041</x:v>
      </x:c>
      <x:c r="B46" s="86" t="str">
        <x:v>Warrant source-empty baseline</x:v>
      </x:c>
      <x:c r="C46" s="75" t="str">
        <x:v>Warrant Ledger!S46</x:v>
      </x:c>
      <x:c r="D46" s="75" t="str">
        <x:v>SOURCE EMPTY</x:v>
      </x:c>
      <x:c r="E46" s="75" t="str">
        <x:f>IF('Warrant Ledger'!S46="SOURCE EMPTY","PASS","FAIL")</x:f>
        <x:v>PASS</x:v>
      </x:c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 ht="20" customHeight="1">
      <x:c r="A47" s="75" t="str">
        <x:v>WA-042</x:v>
      </x:c>
      <x:c r="B47" s="86" t="str">
        <x:v>Warrant source-empty baseline</x:v>
      </x:c>
      <x:c r="C47" s="75" t="str">
        <x:v>Warrant Ledger!S47</x:v>
      </x:c>
      <x:c r="D47" s="75" t="str">
        <x:v>SOURCE EMPTY</x:v>
      </x:c>
      <x:c r="E47" s="75" t="str">
        <x:f>IF('Warrant Ledger'!S47="SOURCE EMPTY","PASS","FAIL")</x:f>
        <x:v>PASS</x:v>
      </x:c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 ht="20" customHeight="1">
      <x:c r="A48" s="75" t="str">
        <x:v>WA-043</x:v>
      </x:c>
      <x:c r="B48" s="86" t="str">
        <x:v>Warrant source-empty baseline</x:v>
      </x:c>
      <x:c r="C48" s="75" t="str">
        <x:v>Warrant Ledger!S48</x:v>
      </x:c>
      <x:c r="D48" s="75" t="str">
        <x:v>SOURCE EMPTY</x:v>
      </x:c>
      <x:c r="E48" s="75" t="str">
        <x:f>IF('Warrant Ledger'!S48="SOURCE EMPTY","PASS","FAIL")</x:f>
        <x:v>PASS</x:v>
      </x:c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 ht="20" customHeight="1">
      <x:c r="A49" s="75" t="str">
        <x:v>WA-044</x:v>
      </x:c>
      <x:c r="B49" s="86" t="str">
        <x:v>Warrant source-empty baseline</x:v>
      </x:c>
      <x:c r="C49" s="75" t="str">
        <x:v>Warrant Ledger!S49</x:v>
      </x:c>
      <x:c r="D49" s="75" t="str">
        <x:v>SOURCE EMPTY</x:v>
      </x:c>
      <x:c r="E49" s="75" t="str">
        <x:f>IF('Warrant Ledger'!S49="SOURCE EMPTY","PASS","FAIL")</x:f>
        <x:v>PASS</x:v>
      </x:c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 ht="20" customHeight="1">
      <x:c r="A50" s="75" t="str">
        <x:v>WA-045</x:v>
      </x:c>
      <x:c r="B50" s="86" t="str">
        <x:v>Warrant source-empty baseline</x:v>
      </x:c>
      <x:c r="C50" s="75" t="str">
        <x:v>Warrant Ledger!S50</x:v>
      </x:c>
      <x:c r="D50" s="75" t="str">
        <x:v>SOURCE EMPTY</x:v>
      </x:c>
      <x:c r="E50" s="75" t="str">
        <x:f>IF('Warrant Ledger'!S50="SOURCE EMPTY","PASS","FAIL")</x:f>
        <x:v>PASS</x:v>
      </x:c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 ht="20" customHeight="1">
      <x:c r="A51" s="75" t="str">
        <x:v>WA-046</x:v>
      </x:c>
      <x:c r="B51" s="86" t="str">
        <x:v>Warrant source-empty baseline</x:v>
      </x:c>
      <x:c r="C51" s="75" t="str">
        <x:v>Warrant Ledger!S51</x:v>
      </x:c>
      <x:c r="D51" s="75" t="str">
        <x:v>SOURCE EMPTY</x:v>
      </x:c>
      <x:c r="E51" s="75" t="str">
        <x:f>IF('Warrant Ledger'!S51="SOURCE EMPTY","PASS","FAIL")</x:f>
        <x:v>PASS</x:v>
      </x:c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 ht="20" customHeight="1">
      <x:c r="A52" s="75" t="str">
        <x:v>WA-047</x:v>
      </x:c>
      <x:c r="B52" s="86" t="str">
        <x:v>Warrant source-empty baseline</x:v>
      </x:c>
      <x:c r="C52" s="75" t="str">
        <x:v>Warrant Ledger!S52</x:v>
      </x:c>
      <x:c r="D52" s="75" t="str">
        <x:v>SOURCE EMPTY</x:v>
      </x:c>
      <x:c r="E52" s="75" t="str">
        <x:f>IF('Warrant Ledger'!S52="SOURCE EMPTY","PASS","FAIL")</x:f>
        <x:v>PASS</x:v>
      </x:c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 ht="20" customHeight="1">
      <x:c r="A53" s="75" t="str">
        <x:v>WA-048</x:v>
      </x:c>
      <x:c r="B53" s="86" t="str">
        <x:v>Warrant source-empty baseline</x:v>
      </x:c>
      <x:c r="C53" s="75" t="str">
        <x:v>Warrant Ledger!S53</x:v>
      </x:c>
      <x:c r="D53" s="75" t="str">
        <x:v>SOURCE EMPTY</x:v>
      </x:c>
      <x:c r="E53" s="75" t="str">
        <x:f>IF('Warrant Ledger'!S53="SOURCE EMPTY","PASS","FAIL")</x:f>
        <x:v>PASS</x:v>
      </x:c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 ht="20" customHeight="1">
      <x:c r="A54" s="75" t="str">
        <x:v>WA-049</x:v>
      </x:c>
      <x:c r="B54" s="86" t="str">
        <x:v>Warrant source-empty baseline</x:v>
      </x:c>
      <x:c r="C54" s="75" t="str">
        <x:v>Warrant Ledger!S54</x:v>
      </x:c>
      <x:c r="D54" s="75" t="str">
        <x:v>SOURCE EMPTY</x:v>
      </x:c>
      <x:c r="E54" s="75" t="str">
        <x:f>IF('Warrant Ledger'!S54="SOURCE EMPTY","PASS","FAIL")</x:f>
        <x:v>PASS</x:v>
      </x:c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 ht="20" customHeight="1">
      <x:c r="A55" s="75" t="str">
        <x:v>WA-050</x:v>
      </x:c>
      <x:c r="B55" s="86" t="str">
        <x:v>Warrant source-empty baseline</x:v>
      </x:c>
      <x:c r="C55" s="75" t="str">
        <x:v>Warrant Ledger!S55</x:v>
      </x:c>
      <x:c r="D55" s="75" t="str">
        <x:v>SOURCE EMPTY</x:v>
      </x:c>
      <x:c r="E55" s="75" t="str">
        <x:f>IF('Warrant Ledger'!S55="SOURCE EMPTY","PASS","FAIL")</x:f>
        <x:v>PASS</x:v>
      </x:c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 ht="20" customHeight="1">
      <x:c r="A56" s="75" t="str">
        <x:v>WA-051</x:v>
      </x:c>
      <x:c r="B56" s="86" t="str">
        <x:v>Warrant source-empty baseline</x:v>
      </x:c>
      <x:c r="C56" s="75" t="str">
        <x:v>Warrant Ledger!S56</x:v>
      </x:c>
      <x:c r="D56" s="75" t="str">
        <x:v>SOURCE EMPTY</x:v>
      </x:c>
      <x:c r="E56" s="75" t="str">
        <x:f>IF('Warrant Ledger'!S56="SOURCE EMPTY","PASS","FAIL")</x:f>
        <x:v>PASS</x:v>
      </x:c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 ht="20" customHeight="1">
      <x:c r="A57" s="75" t="str">
        <x:v>WA-052</x:v>
      </x:c>
      <x:c r="B57" s="86" t="str">
        <x:v>Warrant source-empty baseline</x:v>
      </x:c>
      <x:c r="C57" s="75" t="str">
        <x:v>Warrant Ledger!S57</x:v>
      </x:c>
      <x:c r="D57" s="75" t="str">
        <x:v>SOURCE EMPTY</x:v>
      </x:c>
      <x:c r="E57" s="75" t="str">
        <x:f>IF('Warrant Ledger'!S57="SOURCE EMPTY","PASS","FAIL")</x:f>
        <x:v>PASS</x:v>
      </x:c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 ht="20" customHeight="1">
      <x:c r="A58" s="75" t="str">
        <x:v>WA-053</x:v>
      </x:c>
      <x:c r="B58" s="86" t="str">
        <x:v>Warrant source-empty baseline</x:v>
      </x:c>
      <x:c r="C58" s="75" t="str">
        <x:v>Warrant Ledger!S58</x:v>
      </x:c>
      <x:c r="D58" s="75" t="str">
        <x:v>SOURCE EMPTY</x:v>
      </x:c>
      <x:c r="E58" s="75" t="str">
        <x:f>IF('Warrant Ledger'!S58="SOURCE EMPTY","PASS","FAIL")</x:f>
        <x:v>PASS</x:v>
      </x:c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 ht="20" customHeight="1">
      <x:c r="A59" s="75" t="str">
        <x:v>WA-054</x:v>
      </x:c>
      <x:c r="B59" s="86" t="str">
        <x:v>Warrant source-empty baseline</x:v>
      </x:c>
      <x:c r="C59" s="75" t="str">
        <x:v>Warrant Ledger!S59</x:v>
      </x:c>
      <x:c r="D59" s="75" t="str">
        <x:v>SOURCE EMPTY</x:v>
      </x:c>
      <x:c r="E59" s="75" t="str">
        <x:f>IF('Warrant Ledger'!S59="SOURCE EMPTY","PASS","FAIL")</x:f>
        <x:v>PASS</x:v>
      </x:c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 ht="20" customHeight="1">
      <x:c r="A60" s="75" t="str">
        <x:v>WA-055</x:v>
      </x:c>
      <x:c r="B60" s="86" t="str">
        <x:v>Warrant source-empty baseline</x:v>
      </x:c>
      <x:c r="C60" s="75" t="str">
        <x:v>Warrant Ledger!S60</x:v>
      </x:c>
      <x:c r="D60" s="75" t="str">
        <x:v>SOURCE EMPTY</x:v>
      </x:c>
      <x:c r="E60" s="75" t="str">
        <x:f>IF('Warrant Ledger'!S60="SOURCE EMPTY","PASS","FAIL")</x:f>
        <x:v>PASS</x:v>
      </x:c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 ht="20" customHeight="1">
      <x:c r="A61" s="75" t="str">
        <x:v>WA-056</x:v>
      </x:c>
      <x:c r="B61" s="86" t="str">
        <x:v>Warrant source-empty baseline</x:v>
      </x:c>
      <x:c r="C61" s="75" t="str">
        <x:v>Warrant Ledger!S61</x:v>
      </x:c>
      <x:c r="D61" s="75" t="str">
        <x:v>SOURCE EMPTY</x:v>
      </x:c>
      <x:c r="E61" s="75" t="str">
        <x:f>IF('Warrant Ledger'!S61="SOURCE EMPTY","PASS","FAIL")</x:f>
        <x:v>PASS</x:v>
      </x:c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 ht="20" customHeight="1">
      <x:c r="A62" s="75" t="str">
        <x:v>WA-057</x:v>
      </x:c>
      <x:c r="B62" s="86" t="str">
        <x:v>Warrant source-empty baseline</x:v>
      </x:c>
      <x:c r="C62" s="75" t="str">
        <x:v>Warrant Ledger!S62</x:v>
      </x:c>
      <x:c r="D62" s="75" t="str">
        <x:v>SOURCE EMPTY</x:v>
      </x:c>
      <x:c r="E62" s="75" t="str">
        <x:f>IF('Warrant Ledger'!S62="SOURCE EMPTY","PASS","FAIL")</x:f>
        <x:v>PASS</x:v>
      </x:c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 ht="20" customHeight="1">
      <x:c r="A63" s="75" t="str">
        <x:v>WA-058</x:v>
      </x:c>
      <x:c r="B63" s="86" t="str">
        <x:v>Warrant source-empty baseline</x:v>
      </x:c>
      <x:c r="C63" s="75" t="str">
        <x:v>Warrant Ledger!S63</x:v>
      </x:c>
      <x:c r="D63" s="75" t="str">
        <x:v>SOURCE EMPTY</x:v>
      </x:c>
      <x:c r="E63" s="75" t="str">
        <x:f>IF('Warrant Ledger'!S63="SOURCE EMPTY","PASS","FAIL")</x:f>
        <x:v>PASS</x:v>
      </x:c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 ht="20" customHeight="1">
      <x:c r="A64" s="75" t="str">
        <x:v>WA-059</x:v>
      </x:c>
      <x:c r="B64" s="86" t="str">
        <x:v>Warrant source-empty baseline</x:v>
      </x:c>
      <x:c r="C64" s="75" t="str">
        <x:v>Warrant Ledger!S64</x:v>
      </x:c>
      <x:c r="D64" s="75" t="str">
        <x:v>SOURCE EMPTY</x:v>
      </x:c>
      <x:c r="E64" s="75" t="str">
        <x:f>IF('Warrant Ledger'!S64="SOURCE EMPTY","PASS","FAIL")</x:f>
        <x:v>PASS</x:v>
      </x:c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 ht="20" customHeight="1">
      <x:c r="A65" s="75" t="str">
        <x:v>WA-060</x:v>
      </x:c>
      <x:c r="B65" s="86" t="str">
        <x:v>Warrant source-empty baseline</x:v>
      </x:c>
      <x:c r="C65" s="75" t="str">
        <x:v>Warrant Ledger!S65</x:v>
      </x:c>
      <x:c r="D65" s="75" t="str">
        <x:v>SOURCE EMPTY</x:v>
      </x:c>
      <x:c r="E65" s="75" t="str">
        <x:f>IF('Warrant Ledger'!S65="SOURCE EMPTY","PASS","FAIL")</x:f>
        <x:v>PASS</x:v>
      </x:c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 ht="20" customHeight="1">
      <x:c r="A66" s="75" t="str">
        <x:v>WA-061</x:v>
      </x:c>
      <x:c r="B66" s="86" t="str">
        <x:v>Warrant source-empty baseline</x:v>
      </x:c>
      <x:c r="C66" s="75" t="str">
        <x:v>Warrant Ledger!S66</x:v>
      </x:c>
      <x:c r="D66" s="75" t="str">
        <x:v>SOURCE EMPTY</x:v>
      </x:c>
      <x:c r="E66" s="75" t="str">
        <x:f>IF('Warrant Ledger'!S66="SOURCE EMPTY","PASS","FAIL")</x:f>
        <x:v>PASS</x:v>
      </x:c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 ht="20" customHeight="1">
      <x:c r="A67" s="75" t="str">
        <x:v>WA-062</x:v>
      </x:c>
      <x:c r="B67" s="86" t="str">
        <x:v>Warrant source-empty baseline</x:v>
      </x:c>
      <x:c r="C67" s="75" t="str">
        <x:v>Warrant Ledger!S67</x:v>
      </x:c>
      <x:c r="D67" s="75" t="str">
        <x:v>SOURCE EMPTY</x:v>
      </x:c>
      <x:c r="E67" s="75" t="str">
        <x:f>IF('Warrant Ledger'!S67="SOURCE EMPTY","PASS","FAIL")</x:f>
        <x:v>PASS</x:v>
      </x:c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 ht="20" customHeight="1">
      <x:c r="A68" s="75" t="str">
        <x:v>WA-063</x:v>
      </x:c>
      <x:c r="B68" s="86" t="str">
        <x:v>Warrant source-empty baseline</x:v>
      </x:c>
      <x:c r="C68" s="75" t="str">
        <x:v>Warrant Ledger!S68</x:v>
      </x:c>
      <x:c r="D68" s="75" t="str">
        <x:v>SOURCE EMPTY</x:v>
      </x:c>
      <x:c r="E68" s="75" t="str">
        <x:f>IF('Warrant Ledger'!S68="SOURCE EMPTY","PASS","FAIL")</x:f>
        <x:v>PASS</x:v>
      </x:c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 ht="20" customHeight="1">
      <x:c r="A69" s="75" t="str">
        <x:v>WA-064</x:v>
      </x:c>
      <x:c r="B69" s="86" t="str">
        <x:v>Warrant source-empty baseline</x:v>
      </x:c>
      <x:c r="C69" s="75" t="str">
        <x:v>Warrant Ledger!S69</x:v>
      </x:c>
      <x:c r="D69" s="75" t="str">
        <x:v>SOURCE EMPTY</x:v>
      </x:c>
      <x:c r="E69" s="75" t="str">
        <x:f>IF('Warrant Ledger'!S69="SOURCE EMPTY","PASS","FAIL")</x:f>
        <x:v>PASS</x:v>
      </x:c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 ht="20" customHeight="1">
      <x:c r="A70" s="75" t="str">
        <x:v>WA-065</x:v>
      </x:c>
      <x:c r="B70" s="86" t="str">
        <x:v>Warrant source-empty baseline</x:v>
      </x:c>
      <x:c r="C70" s="75" t="str">
        <x:v>Warrant Ledger!S70</x:v>
      </x:c>
      <x:c r="D70" s="75" t="str">
        <x:v>SOURCE EMPTY</x:v>
      </x:c>
      <x:c r="E70" s="75" t="str">
        <x:f>IF('Warrant Ledger'!S70="SOURCE EMPTY","PASS","FAIL")</x:f>
        <x:v>PASS</x:v>
      </x:c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 ht="20" customHeight="1">
      <x:c r="A71" s="75" t="str">
        <x:v>WA-066</x:v>
      </x:c>
      <x:c r="B71" s="86" t="str">
        <x:v>Warrant source-empty baseline</x:v>
      </x:c>
      <x:c r="C71" s="75" t="str">
        <x:v>Warrant Ledger!S71</x:v>
      </x:c>
      <x:c r="D71" s="75" t="str">
        <x:v>SOURCE EMPTY</x:v>
      </x:c>
      <x:c r="E71" s="75" t="str">
        <x:f>IF('Warrant Ledger'!S71="SOURCE EMPTY","PASS","FAIL")</x:f>
        <x:v>PASS</x:v>
      </x:c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 ht="20" customHeight="1">
      <x:c r="A72" s="75" t="str">
        <x:v>WA-067</x:v>
      </x:c>
      <x:c r="B72" s="86" t="str">
        <x:v>Warrant source-empty baseline</x:v>
      </x:c>
      <x:c r="C72" s="75" t="str">
        <x:v>Warrant Ledger!S72</x:v>
      </x:c>
      <x:c r="D72" s="75" t="str">
        <x:v>SOURCE EMPTY</x:v>
      </x:c>
      <x:c r="E72" s="75" t="str">
        <x:f>IF('Warrant Ledger'!S72="SOURCE EMPTY","PASS","FAIL")</x:f>
        <x:v>PASS</x:v>
      </x:c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 ht="20" customHeight="1">
      <x:c r="A73" s="75" t="str">
        <x:v>WA-068</x:v>
      </x:c>
      <x:c r="B73" s="86" t="str">
        <x:v>Warrant source-empty baseline</x:v>
      </x:c>
      <x:c r="C73" s="75" t="str">
        <x:v>Warrant Ledger!S73</x:v>
      </x:c>
      <x:c r="D73" s="75" t="str">
        <x:v>SOURCE EMPTY</x:v>
      </x:c>
      <x:c r="E73" s="75" t="str">
        <x:f>IF('Warrant Ledger'!S73="SOURCE EMPTY","PASS","FAIL")</x:f>
        <x:v>PASS</x:v>
      </x:c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 ht="20" customHeight="1">
      <x:c r="A74" s="75" t="str">
        <x:v>WA-069</x:v>
      </x:c>
      <x:c r="B74" s="86" t="str">
        <x:v>Warrant source-empty baseline</x:v>
      </x:c>
      <x:c r="C74" s="75" t="str">
        <x:v>Warrant Ledger!S74</x:v>
      </x:c>
      <x:c r="D74" s="75" t="str">
        <x:v>SOURCE EMPTY</x:v>
      </x:c>
      <x:c r="E74" s="75" t="str">
        <x:f>IF('Warrant Ledger'!S74="SOURCE EMPTY","PASS","FAIL")</x:f>
        <x:v>PASS</x:v>
      </x:c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 ht="20" customHeight="1">
      <x:c r="A75" s="75" t="str">
        <x:v>WA-070</x:v>
      </x:c>
      <x:c r="B75" s="86" t="str">
        <x:v>Warrant source-empty baseline</x:v>
      </x:c>
      <x:c r="C75" s="75" t="str">
        <x:v>Warrant Ledger!S75</x:v>
      </x:c>
      <x:c r="D75" s="75" t="str">
        <x:v>SOURCE EMPTY</x:v>
      </x:c>
      <x:c r="E75" s="75" t="str">
        <x:f>IF('Warrant Ledger'!S75="SOURCE EMPTY","PASS","FAIL")</x:f>
        <x:v>PASS</x:v>
      </x:c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 ht="20" customHeight="1">
      <x:c r="A76" s="75" t="str">
        <x:v>WA-071</x:v>
      </x:c>
      <x:c r="B76" s="86" t="str">
        <x:v>Warrant source-empty baseline</x:v>
      </x:c>
      <x:c r="C76" s="75" t="str">
        <x:v>Warrant Ledger!S76</x:v>
      </x:c>
      <x:c r="D76" s="75" t="str">
        <x:v>SOURCE EMPTY</x:v>
      </x:c>
      <x:c r="E76" s="75" t="str">
        <x:f>IF('Warrant Ledger'!S76="SOURCE EMPTY","PASS","FAIL")</x:f>
        <x:v>PASS</x:v>
      </x:c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 ht="20" customHeight="1">
      <x:c r="A77" s="75" t="str">
        <x:v>WA-072</x:v>
      </x:c>
      <x:c r="B77" s="86" t="str">
        <x:v>Warrant source-empty baseline</x:v>
      </x:c>
      <x:c r="C77" s="75" t="str">
        <x:v>Warrant Ledger!S77</x:v>
      </x:c>
      <x:c r="D77" s="75" t="str">
        <x:v>SOURCE EMPTY</x:v>
      </x:c>
      <x:c r="E77" s="75" t="str">
        <x:f>IF('Warrant Ledger'!S77="SOURCE EMPTY","PASS","FAIL")</x:f>
        <x:v>PASS</x:v>
      </x:c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 ht="20" customHeight="1">
      <x:c r="A78" s="75" t="str">
        <x:v>WA-073</x:v>
      </x:c>
      <x:c r="B78" s="86" t="str">
        <x:v>Warrant source-empty baseline</x:v>
      </x:c>
      <x:c r="C78" s="75" t="str">
        <x:v>Warrant Ledger!S78</x:v>
      </x:c>
      <x:c r="D78" s="75" t="str">
        <x:v>SOURCE EMPTY</x:v>
      </x:c>
      <x:c r="E78" s="75" t="str">
        <x:f>IF('Warrant Ledger'!S78="SOURCE EMPTY","PASS","FAIL")</x:f>
        <x:v>PASS</x:v>
      </x:c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 ht="20" customHeight="1">
      <x:c r="A79" s="75" t="str">
        <x:v>WA-074</x:v>
      </x:c>
      <x:c r="B79" s="86" t="str">
        <x:v>Warrant source-empty baseline</x:v>
      </x:c>
      <x:c r="C79" s="75" t="str">
        <x:v>Warrant Ledger!S79</x:v>
      </x:c>
      <x:c r="D79" s="75" t="str">
        <x:v>SOURCE EMPTY</x:v>
      </x:c>
      <x:c r="E79" s="75" t="str">
        <x:f>IF('Warrant Ledger'!S79="SOURCE EMPTY","PASS","FAIL")</x:f>
        <x:v>PASS</x:v>
      </x:c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 ht="20" customHeight="1">
      <x:c r="A80" s="75" t="str">
        <x:v>WA-075</x:v>
      </x:c>
      <x:c r="B80" s="86" t="str">
        <x:v>Warrant source-empty baseline</x:v>
      </x:c>
      <x:c r="C80" s="75" t="str">
        <x:v>Warrant Ledger!S80</x:v>
      </x:c>
      <x:c r="D80" s="75" t="str">
        <x:v>SOURCE EMPTY</x:v>
      </x:c>
      <x:c r="E80" s="75" t="str">
        <x:f>IF('Warrant Ledger'!S80="SOURCE EMPTY","PASS","FAIL")</x:f>
        <x:v>PASS</x:v>
      </x:c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 ht="20" customHeight="1">
      <x:c r="A81" s="75" t="str">
        <x:v>WA-076</x:v>
      </x:c>
      <x:c r="B81" s="86" t="str">
        <x:v>Warrant source-empty baseline</x:v>
      </x:c>
      <x:c r="C81" s="75" t="str">
        <x:v>Warrant Ledger!S81</x:v>
      </x:c>
      <x:c r="D81" s="75" t="str">
        <x:v>SOURCE EMPTY</x:v>
      </x:c>
      <x:c r="E81" s="75" t="str">
        <x:f>IF('Warrant Ledger'!S81="SOURCE EMPTY","PASS","FAIL")</x:f>
        <x:v>PASS</x:v>
      </x:c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 ht="20" customHeight="1">
      <x:c r="A82" s="75" t="str">
        <x:v>WA-077</x:v>
      </x:c>
      <x:c r="B82" s="86" t="str">
        <x:v>Warrant source-empty baseline</x:v>
      </x:c>
      <x:c r="C82" s="75" t="str">
        <x:v>Warrant Ledger!S82</x:v>
      </x:c>
      <x:c r="D82" s="75" t="str">
        <x:v>SOURCE EMPTY</x:v>
      </x:c>
      <x:c r="E82" s="75" t="str">
        <x:f>IF('Warrant Ledger'!S82="SOURCE EMPTY","PASS","FAIL")</x:f>
        <x:v>PASS</x:v>
      </x:c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 ht="20" customHeight="1">
      <x:c r="A83" s="75" t="str">
        <x:v>WA-078</x:v>
      </x:c>
      <x:c r="B83" s="86" t="str">
        <x:v>Warrant source-empty baseline</x:v>
      </x:c>
      <x:c r="C83" s="75" t="str">
        <x:v>Warrant Ledger!S83</x:v>
      </x:c>
      <x:c r="D83" s="75" t="str">
        <x:v>SOURCE EMPTY</x:v>
      </x:c>
      <x:c r="E83" s="75" t="str">
        <x:f>IF('Warrant Ledger'!S83="SOURCE EMPTY","PASS","FAIL")</x:f>
        <x:v>PASS</x:v>
      </x:c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 ht="20" customHeight="1">
      <x:c r="A84" s="75" t="str">
        <x:v>WA-079</x:v>
      </x:c>
      <x:c r="B84" s="86" t="str">
        <x:v>Warrant source-empty baseline</x:v>
      </x:c>
      <x:c r="C84" s="75" t="str">
        <x:v>Warrant Ledger!S84</x:v>
      </x:c>
      <x:c r="D84" s="75" t="str">
        <x:v>SOURCE EMPTY</x:v>
      </x:c>
      <x:c r="E84" s="75" t="str">
        <x:f>IF('Warrant Ledger'!S84="SOURCE EMPTY","PASS","FAIL")</x:f>
        <x:v>PASS</x:v>
      </x:c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 ht="20" customHeight="1">
      <x:c r="A85" s="75" t="str">
        <x:v>WA-080</x:v>
      </x:c>
      <x:c r="B85" s="86" t="str">
        <x:v>Warrant source-empty baseline</x:v>
      </x:c>
      <x:c r="C85" s="75" t="str">
        <x:v>Warrant Ledger!S85</x:v>
      </x:c>
      <x:c r="D85" s="75" t="str">
        <x:v>SOURCE EMPTY</x:v>
      </x:c>
      <x:c r="E85" s="75" t="str">
        <x:f>IF('Warrant Ledger'!S85="SOURCE EMPTY","PASS","FAIL")</x:f>
        <x:v>PASS</x:v>
      </x:c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 ht="20" customHeight="1">
      <x:c r="A86" s="75" t="str">
        <x:v>WA-081</x:v>
      </x:c>
      <x:c r="B86" s="86" t="str">
        <x:v>Warrant source-empty baseline</x:v>
      </x:c>
      <x:c r="C86" s="75" t="str">
        <x:v>Warrant Ledger!S86</x:v>
      </x:c>
      <x:c r="D86" s="75" t="str">
        <x:v>SOURCE EMPTY</x:v>
      </x:c>
      <x:c r="E86" s="75" t="str">
        <x:f>IF('Warrant Ledger'!S86="SOURCE EMPTY","PASS","FAIL")</x:f>
        <x:v>PASS</x:v>
      </x:c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 ht="20" customHeight="1">
      <x:c r="A87" s="75" t="str">
        <x:v>WA-082</x:v>
      </x:c>
      <x:c r="B87" s="86" t="str">
        <x:v>Warrant source-empty baseline</x:v>
      </x:c>
      <x:c r="C87" s="75" t="str">
        <x:v>Warrant Ledger!S87</x:v>
      </x:c>
      <x:c r="D87" s="75" t="str">
        <x:v>SOURCE EMPTY</x:v>
      </x:c>
      <x:c r="E87" s="75" t="str">
        <x:f>IF('Warrant Ledger'!S87="SOURCE EMPTY","PASS","FAIL")</x:f>
        <x:v>PASS</x:v>
      </x:c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 ht="20" customHeight="1">
      <x:c r="A88" s="75" t="str">
        <x:v>WA-083</x:v>
      </x:c>
      <x:c r="B88" s="86" t="str">
        <x:v>Warrant source-empty baseline</x:v>
      </x:c>
      <x:c r="C88" s="75" t="str">
        <x:v>Warrant Ledger!S88</x:v>
      </x:c>
      <x:c r="D88" s="75" t="str">
        <x:v>SOURCE EMPTY</x:v>
      </x:c>
      <x:c r="E88" s="75" t="str">
        <x:f>IF('Warrant Ledger'!S88="SOURCE EMPTY","PASS","FAIL")</x:f>
        <x:v>PASS</x:v>
      </x:c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 ht="20" customHeight="1">
      <x:c r="A89" s="75" t="str">
        <x:v>WA-084</x:v>
      </x:c>
      <x:c r="B89" s="86" t="str">
        <x:v>Warrant source-empty baseline</x:v>
      </x:c>
      <x:c r="C89" s="75" t="str">
        <x:v>Warrant Ledger!S89</x:v>
      </x:c>
      <x:c r="D89" s="75" t="str">
        <x:v>SOURCE EMPTY</x:v>
      </x:c>
      <x:c r="E89" s="75" t="str">
        <x:f>IF('Warrant Ledger'!S89="SOURCE EMPTY","PASS","FAIL")</x:f>
        <x:v>PASS</x:v>
      </x:c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 ht="20" customHeight="1">
      <x:c r="A90" s="75" t="str">
        <x:v>WA-085</x:v>
      </x:c>
      <x:c r="B90" s="86" t="str">
        <x:v>Warrant source-empty baseline</x:v>
      </x:c>
      <x:c r="C90" s="75" t="str">
        <x:v>Warrant Ledger!S90</x:v>
      </x:c>
      <x:c r="D90" s="75" t="str">
        <x:v>SOURCE EMPTY</x:v>
      </x:c>
      <x:c r="E90" s="75" t="str">
        <x:f>IF('Warrant Ledger'!S90="SOURCE EMPTY","PASS","FAIL")</x:f>
        <x:v>PASS</x:v>
      </x:c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 ht="20" customHeight="1">
      <x:c r="A91" s="75" t="str">
        <x:v>WA-086</x:v>
      </x:c>
      <x:c r="B91" s="86" t="str">
        <x:v>Warrant source-empty baseline</x:v>
      </x:c>
      <x:c r="C91" s="75" t="str">
        <x:v>Warrant Ledger!S91</x:v>
      </x:c>
      <x:c r="D91" s="75" t="str">
        <x:v>SOURCE EMPTY</x:v>
      </x:c>
      <x:c r="E91" s="75" t="str">
        <x:f>IF('Warrant Ledger'!S91="SOURCE EMPTY","PASS","FAIL")</x:f>
        <x:v>PASS</x:v>
      </x:c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 ht="20" customHeight="1">
      <x:c r="A92" s="75" t="str">
        <x:v>WA-087</x:v>
      </x:c>
      <x:c r="B92" s="86" t="str">
        <x:v>Warrant source-empty baseline</x:v>
      </x:c>
      <x:c r="C92" s="75" t="str">
        <x:v>Warrant Ledger!S92</x:v>
      </x:c>
      <x:c r="D92" s="75" t="str">
        <x:v>SOURCE EMPTY</x:v>
      </x:c>
      <x:c r="E92" s="75" t="str">
        <x:f>IF('Warrant Ledger'!S92="SOURCE EMPTY","PASS","FAIL")</x:f>
        <x:v>PASS</x:v>
      </x:c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 ht="20" customHeight="1">
      <x:c r="A93" s="75" t="str">
        <x:v>WA-088</x:v>
      </x:c>
      <x:c r="B93" s="86" t="str">
        <x:v>Warrant source-empty baseline</x:v>
      </x:c>
      <x:c r="C93" s="75" t="str">
        <x:v>Warrant Ledger!S93</x:v>
      </x:c>
      <x:c r="D93" s="75" t="str">
        <x:v>SOURCE EMPTY</x:v>
      </x:c>
      <x:c r="E93" s="75" t="str">
        <x:f>IF('Warrant Ledger'!S93="SOURCE EMPTY","PASS","FAIL")</x:f>
        <x:v>PASS</x:v>
      </x:c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 ht="20" customHeight="1">
      <x:c r="A94" s="75" t="str">
        <x:v>WA-089</x:v>
      </x:c>
      <x:c r="B94" s="86" t="str">
        <x:v>Warrant source-empty baseline</x:v>
      </x:c>
      <x:c r="C94" s="75" t="str">
        <x:v>Warrant Ledger!S94</x:v>
      </x:c>
      <x:c r="D94" s="75" t="str">
        <x:v>SOURCE EMPTY</x:v>
      </x:c>
      <x:c r="E94" s="75" t="str">
        <x:f>IF('Warrant Ledger'!S94="SOURCE EMPTY","PASS","FAIL")</x:f>
        <x:v>PASS</x:v>
      </x:c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 ht="20" customHeight="1">
      <x:c r="A95" s="75" t="str">
        <x:v>WA-090</x:v>
      </x:c>
      <x:c r="B95" s="86" t="str">
        <x:v>Warrant source-empty baseline</x:v>
      </x:c>
      <x:c r="C95" s="75" t="str">
        <x:v>Warrant Ledger!S95</x:v>
      </x:c>
      <x:c r="D95" s="75" t="str">
        <x:v>SOURCE EMPTY</x:v>
      </x:c>
      <x:c r="E95" s="75" t="str">
        <x:f>IF('Warrant Ledger'!S95="SOURCE EMPTY","PASS","FAIL")</x:f>
        <x:v>PASS</x:v>
      </x:c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 ht="20" customHeight="1">
      <x:c r="A96" s="75" t="str">
        <x:v>WA-091</x:v>
      </x:c>
      <x:c r="B96" s="86" t="str">
        <x:v>Warrant source-empty baseline</x:v>
      </x:c>
      <x:c r="C96" s="75" t="str">
        <x:v>Warrant Ledger!S96</x:v>
      </x:c>
      <x:c r="D96" s="75" t="str">
        <x:v>SOURCE EMPTY</x:v>
      </x:c>
      <x:c r="E96" s="75" t="str">
        <x:f>IF('Warrant Ledger'!S96="SOURCE EMPTY","PASS","FAIL")</x:f>
        <x:v>PASS</x:v>
      </x:c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 ht="20" customHeight="1">
      <x:c r="A97" s="75" t="str">
        <x:v>WA-092</x:v>
      </x:c>
      <x:c r="B97" s="86" t="str">
        <x:v>Warrant source-empty baseline</x:v>
      </x:c>
      <x:c r="C97" s="75" t="str">
        <x:v>Warrant Ledger!S97</x:v>
      </x:c>
      <x:c r="D97" s="75" t="str">
        <x:v>SOURCE EMPTY</x:v>
      </x:c>
      <x:c r="E97" s="75" t="str">
        <x:f>IF('Warrant Ledger'!S97="SOURCE EMPTY","PASS","FAIL")</x:f>
        <x:v>PASS</x:v>
      </x:c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 ht="20" customHeight="1">
      <x:c r="A98" s="75" t="str">
        <x:v>WA-093</x:v>
      </x:c>
      <x:c r="B98" s="86" t="str">
        <x:v>Warrant source-empty baseline</x:v>
      </x:c>
      <x:c r="C98" s="75" t="str">
        <x:v>Warrant Ledger!S98</x:v>
      </x:c>
      <x:c r="D98" s="75" t="str">
        <x:v>SOURCE EMPTY</x:v>
      </x:c>
      <x:c r="E98" s="75" t="str">
        <x:f>IF('Warrant Ledger'!S98="SOURCE EMPTY","PASS","FAIL")</x:f>
        <x:v>PASS</x:v>
      </x:c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 ht="20" customHeight="1">
      <x:c r="A99" s="75" t="str">
        <x:v>WA-094</x:v>
      </x:c>
      <x:c r="B99" s="86" t="str">
        <x:v>Warrant source-empty baseline</x:v>
      </x:c>
      <x:c r="C99" s="75" t="str">
        <x:v>Warrant Ledger!S99</x:v>
      </x:c>
      <x:c r="D99" s="75" t="str">
        <x:v>SOURCE EMPTY</x:v>
      </x:c>
      <x:c r="E99" s="75" t="str">
        <x:f>IF('Warrant Ledger'!S99="SOURCE EMPTY","PASS","FAIL")</x:f>
        <x:v>PASS</x:v>
      </x:c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 ht="20" customHeight="1">
      <x:c r="A100" s="75" t="str">
        <x:v>WA-095</x:v>
      </x:c>
      <x:c r="B100" s="86" t="str">
        <x:v>Warrant source-empty baseline</x:v>
      </x:c>
      <x:c r="C100" s="75" t="str">
        <x:v>Warrant Ledger!S100</x:v>
      </x:c>
      <x:c r="D100" s="75" t="str">
        <x:v>SOURCE EMPTY</x:v>
      </x:c>
      <x:c r="E100" s="75" t="str">
        <x:f>IF('Warrant Ledger'!S100="SOURCE EMPTY","PASS","FAIL")</x:f>
        <x:v>PASS</x:v>
      </x:c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 ht="20" customHeight="1">
      <x:c r="A101" s="75" t="str">
        <x:v>WA-096</x:v>
      </x:c>
      <x:c r="B101" s="86" t="str">
        <x:v>Warrant source-empty baseline</x:v>
      </x:c>
      <x:c r="C101" s="75" t="str">
        <x:v>Warrant Ledger!S101</x:v>
      </x:c>
      <x:c r="D101" s="75" t="str">
        <x:v>SOURCE EMPTY</x:v>
      </x:c>
      <x:c r="E101" s="75" t="str">
        <x:f>IF('Warrant Ledger'!S101="SOURCE EMPTY","PASS","FAIL")</x:f>
        <x:v>PASS</x:v>
      </x:c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 ht="20" customHeight="1">
      <x:c r="A102" s="75" t="str">
        <x:v>WA-097</x:v>
      </x:c>
      <x:c r="B102" s="86" t="str">
        <x:v>Warrant source-empty baseline</x:v>
      </x:c>
      <x:c r="C102" s="75" t="str">
        <x:v>Warrant Ledger!S102</x:v>
      </x:c>
      <x:c r="D102" s="75" t="str">
        <x:v>SOURCE EMPTY</x:v>
      </x:c>
      <x:c r="E102" s="75" t="str">
        <x:f>IF('Warrant Ledger'!S102="SOURCE EMPTY","PASS","FAIL")</x:f>
        <x:v>PASS</x:v>
      </x:c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 ht="20" customHeight="1">
      <x:c r="A103" s="75" t="str">
        <x:v>WA-098</x:v>
      </x:c>
      <x:c r="B103" s="86" t="str">
        <x:v>Warrant source-empty baseline</x:v>
      </x:c>
      <x:c r="C103" s="75" t="str">
        <x:v>Warrant Ledger!S103</x:v>
      </x:c>
      <x:c r="D103" s="75" t="str">
        <x:v>SOURCE EMPTY</x:v>
      </x:c>
      <x:c r="E103" s="75" t="str">
        <x:f>IF('Warrant Ledger'!S103="SOURCE EMPTY","PASS","FAIL")</x:f>
        <x:v>PASS</x:v>
      </x:c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 ht="20" customHeight="1">
      <x:c r="A104" s="75" t="str">
        <x:v>WA-099</x:v>
      </x:c>
      <x:c r="B104" s="86" t="str">
        <x:v>Warrant source-empty baseline</x:v>
      </x:c>
      <x:c r="C104" s="75" t="str">
        <x:v>Warrant Ledger!S104</x:v>
      </x:c>
      <x:c r="D104" s="75" t="str">
        <x:v>SOURCE EMPTY</x:v>
      </x:c>
      <x:c r="E104" s="75" t="str">
        <x:f>IF('Warrant Ledger'!S104="SOURCE EMPTY","PASS","FAIL")</x:f>
        <x:v>PASS</x:v>
      </x:c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 ht="20" customHeight="1">
      <x:c r="A105" s="75" t="str">
        <x:v>WA-100</x:v>
      </x:c>
      <x:c r="B105" s="86" t="str">
        <x:v>Warrant source-empty baseline</x:v>
      </x:c>
      <x:c r="C105" s="75" t="str">
        <x:v>Warrant Ledger!S105</x:v>
      </x:c>
      <x:c r="D105" s="75" t="str">
        <x:v>SOURCE EMPTY</x:v>
      </x:c>
      <x:c r="E105" s="75" t="str">
        <x:f>IF('Warrant Ledger'!S105="SOURCE EMPTY","PASS","FAIL")</x:f>
        <x:v>PASS</x:v>
      </x:c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 ht="20" customHeight="1">
      <x:c r="A106" s="75" t="str">
        <x:v>WA-101</x:v>
      </x:c>
      <x:c r="B106" s="86" t="str">
        <x:v>Warrant source-empty baseline</x:v>
      </x:c>
      <x:c r="C106" s="75" t="str">
        <x:v>Warrant Ledger!S106</x:v>
      </x:c>
      <x:c r="D106" s="75" t="str">
        <x:v>SOURCE EMPTY</x:v>
      </x:c>
      <x:c r="E106" s="75" t="str">
        <x:f>IF('Warrant Ledger'!S106="SOURCE EMPTY","PASS","FAIL")</x:f>
        <x:v>PASS</x:v>
      </x:c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 ht="20" customHeight="1">
      <x:c r="A107" s="75" t="str">
        <x:v>WA-102</x:v>
      </x:c>
      <x:c r="B107" s="86" t="str">
        <x:v>Warrant source-empty baseline</x:v>
      </x:c>
      <x:c r="C107" s="75" t="str">
        <x:v>Warrant Ledger!S107</x:v>
      </x:c>
      <x:c r="D107" s="75" t="str">
        <x:v>SOURCE EMPTY</x:v>
      </x:c>
      <x:c r="E107" s="75" t="str">
        <x:f>IF('Warrant Ledger'!S107="SOURCE EMPTY","PASS","FAIL")</x:f>
        <x:v>PASS</x:v>
      </x:c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 ht="20" customHeight="1">
      <x:c r="A108" s="75" t="str">
        <x:v>WA-103</x:v>
      </x:c>
      <x:c r="B108" s="86" t="str">
        <x:v>Warrant source-empty baseline</x:v>
      </x:c>
      <x:c r="C108" s="75" t="str">
        <x:v>Warrant Ledger!S108</x:v>
      </x:c>
      <x:c r="D108" s="75" t="str">
        <x:v>SOURCE EMPTY</x:v>
      </x:c>
      <x:c r="E108" s="75" t="str">
        <x:f>IF('Warrant Ledger'!S108="SOURCE EMPTY","PASS","FAIL")</x:f>
        <x:v>PASS</x:v>
      </x:c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 ht="20" customHeight="1">
      <x:c r="A109" s="75" t="str">
        <x:v>WA-104</x:v>
      </x:c>
      <x:c r="B109" s="86" t="str">
        <x:v>Warrant source-empty baseline</x:v>
      </x:c>
      <x:c r="C109" s="75" t="str">
        <x:v>Warrant Ledger!S109</x:v>
      </x:c>
      <x:c r="D109" s="75" t="str">
        <x:v>SOURCE EMPTY</x:v>
      </x:c>
      <x:c r="E109" s="75" t="str">
        <x:f>IF('Warrant Ledger'!S109="SOURCE EMPTY","PASS","FAIL")</x:f>
        <x:v>PASS</x:v>
      </x:c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 ht="20" customHeight="1">
      <x:c r="A110" s="75" t="str">
        <x:v>WA-105</x:v>
      </x:c>
      <x:c r="B110" s="86" t="str">
        <x:v>Warrant source-empty baseline</x:v>
      </x:c>
      <x:c r="C110" s="75" t="str">
        <x:v>Warrant Ledger!S110</x:v>
      </x:c>
      <x:c r="D110" s="75" t="str">
        <x:v>SOURCE EMPTY</x:v>
      </x:c>
      <x:c r="E110" s="75" t="str">
        <x:f>IF('Warrant Ledger'!S110="SOURCE EMPTY","PASS","FAIL")</x:f>
        <x:v>PASS</x:v>
      </x:c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 ht="20" customHeight="1">
      <x:c r="A111" s="75" t="str">
        <x:v>WA-106</x:v>
      </x:c>
      <x:c r="B111" s="86" t="str">
        <x:v>Warrant source-empty baseline</x:v>
      </x:c>
      <x:c r="C111" s="75" t="str">
        <x:v>Warrant Ledger!S111</x:v>
      </x:c>
      <x:c r="D111" s="75" t="str">
        <x:v>SOURCE EMPTY</x:v>
      </x:c>
      <x:c r="E111" s="75" t="str">
        <x:f>IF('Warrant Ledger'!S111="SOURCE EMPTY","PASS","FAIL")</x:f>
        <x:v>PASS</x:v>
      </x:c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 ht="20" customHeight="1">
      <x:c r="A112" s="75" t="str">
        <x:v>WA-107</x:v>
      </x:c>
      <x:c r="B112" s="86" t="str">
        <x:v>Warrant source-empty baseline</x:v>
      </x:c>
      <x:c r="C112" s="75" t="str">
        <x:v>Warrant Ledger!S112</x:v>
      </x:c>
      <x:c r="D112" s="75" t="str">
        <x:v>SOURCE EMPTY</x:v>
      </x:c>
      <x:c r="E112" s="75" t="str">
        <x:f>IF('Warrant Ledger'!S112="SOURCE EMPTY","PASS","FAIL")</x:f>
        <x:v>PASS</x:v>
      </x:c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 ht="20" customHeight="1">
      <x:c r="A113" s="75" t="str">
        <x:v>WA-108</x:v>
      </x:c>
      <x:c r="B113" s="86" t="str">
        <x:v>Warrant source-empty baseline</x:v>
      </x:c>
      <x:c r="C113" s="75" t="str">
        <x:v>Warrant Ledger!S113</x:v>
      </x:c>
      <x:c r="D113" s="75" t="str">
        <x:v>SOURCE EMPTY</x:v>
      </x:c>
      <x:c r="E113" s="75" t="str">
        <x:f>IF('Warrant Ledger'!S113="SOURCE EMPTY","PASS","FAIL")</x:f>
        <x:v>PASS</x:v>
      </x:c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 ht="20" customHeight="1">
      <x:c r="A114" s="75" t="str">
        <x:v>WA-109</x:v>
      </x:c>
      <x:c r="B114" s="86" t="str">
        <x:v>Warrant source-empty baseline</x:v>
      </x:c>
      <x:c r="C114" s="75" t="str">
        <x:v>Warrant Ledger!S114</x:v>
      </x:c>
      <x:c r="D114" s="75" t="str">
        <x:v>SOURCE EMPTY</x:v>
      </x:c>
      <x:c r="E114" s="75" t="str">
        <x:f>IF('Warrant Ledger'!S114="SOURCE EMPTY","PASS","FAIL")</x:f>
        <x:v>PASS</x:v>
      </x:c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 ht="20" customHeight="1">
      <x:c r="A115" s="75" t="str">
        <x:v>WA-110</x:v>
      </x:c>
      <x:c r="B115" s="86" t="str">
        <x:v>Warrant source-empty baseline</x:v>
      </x:c>
      <x:c r="C115" s="75" t="str">
        <x:v>Warrant Ledger!S115</x:v>
      </x:c>
      <x:c r="D115" s="75" t="str">
        <x:v>SOURCE EMPTY</x:v>
      </x:c>
      <x:c r="E115" s="75" t="str">
        <x:f>IF('Warrant Ledger'!S115="SOURCE EMPTY","PASS","FAIL")</x:f>
        <x:v>PASS</x:v>
      </x:c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 ht="20" customHeight="1">
      <x:c r="A116" s="75" t="str">
        <x:v>WA-111</x:v>
      </x:c>
      <x:c r="B116" s="86" t="str">
        <x:v>Warrant source-empty baseline</x:v>
      </x:c>
      <x:c r="C116" s="75" t="str">
        <x:v>Warrant Ledger!S116</x:v>
      </x:c>
      <x:c r="D116" s="75" t="str">
        <x:v>SOURCE EMPTY</x:v>
      </x:c>
      <x:c r="E116" s="75" t="str">
        <x:f>IF('Warrant Ledger'!S116="SOURCE EMPTY","PASS","FAIL")</x:f>
        <x:v>PASS</x:v>
      </x:c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 ht="20" customHeight="1">
      <x:c r="A117" s="75" t="str">
        <x:v>WA-112</x:v>
      </x:c>
      <x:c r="B117" s="86" t="str">
        <x:v>Warrant source-empty baseline</x:v>
      </x:c>
      <x:c r="C117" s="75" t="str">
        <x:v>Warrant Ledger!S117</x:v>
      </x:c>
      <x:c r="D117" s="75" t="str">
        <x:v>SOURCE EMPTY</x:v>
      </x:c>
      <x:c r="E117" s="75" t="str">
        <x:f>IF('Warrant Ledger'!S117="SOURCE EMPTY","PASS","FAIL")</x:f>
        <x:v>PASS</x:v>
      </x:c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 ht="20" customHeight="1">
      <x:c r="A118" s="75" t="str">
        <x:v>WA-113</x:v>
      </x:c>
      <x:c r="B118" s="86" t="str">
        <x:v>Warrant source-empty baseline</x:v>
      </x:c>
      <x:c r="C118" s="75" t="str">
        <x:v>Warrant Ledger!S118</x:v>
      </x:c>
      <x:c r="D118" s="75" t="str">
        <x:v>SOURCE EMPTY</x:v>
      </x:c>
      <x:c r="E118" s="75" t="str">
        <x:f>IF('Warrant Ledger'!S118="SOURCE EMPTY","PASS","FAIL")</x:f>
        <x:v>PASS</x:v>
      </x:c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 ht="20" customHeight="1">
      <x:c r="A119" s="75" t="str">
        <x:v>WA-114</x:v>
      </x:c>
      <x:c r="B119" s="86" t="str">
        <x:v>Warrant source-empty baseline</x:v>
      </x:c>
      <x:c r="C119" s="75" t="str">
        <x:v>Warrant Ledger!S119</x:v>
      </x:c>
      <x:c r="D119" s="75" t="str">
        <x:v>SOURCE EMPTY</x:v>
      </x:c>
      <x:c r="E119" s="75" t="str">
        <x:f>IF('Warrant Ledger'!S119="SOURCE EMPTY","PASS","FAIL")</x:f>
        <x:v>PASS</x:v>
      </x:c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 ht="20" customHeight="1">
      <x:c r="A120" s="75" t="str">
        <x:v>WA-115</x:v>
      </x:c>
      <x:c r="B120" s="86" t="str">
        <x:v>Warrant source-empty baseline</x:v>
      </x:c>
      <x:c r="C120" s="75" t="str">
        <x:v>Warrant Ledger!S120</x:v>
      </x:c>
      <x:c r="D120" s="75" t="str">
        <x:v>SOURCE EMPTY</x:v>
      </x:c>
      <x:c r="E120" s="75" t="str">
        <x:f>IF('Warrant Ledger'!S120="SOURCE EMPTY","PASS","FAIL")</x:f>
        <x:v>PASS</x:v>
      </x:c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 ht="20" customHeight="1">
      <x:c r="A121" s="75" t="str">
        <x:v>WA-116</x:v>
      </x:c>
      <x:c r="B121" s="86" t="str">
        <x:v>Warrant source-empty baseline</x:v>
      </x:c>
      <x:c r="C121" s="75" t="str">
        <x:v>Warrant Ledger!S121</x:v>
      </x:c>
      <x:c r="D121" s="75" t="str">
        <x:v>SOURCE EMPTY</x:v>
      </x:c>
      <x:c r="E121" s="75" t="str">
        <x:f>IF('Warrant Ledger'!S121="SOURCE EMPTY","PASS","FAIL")</x:f>
        <x:v>PASS</x:v>
      </x:c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 ht="20" customHeight="1">
      <x:c r="A122" s="75" t="str">
        <x:v>WA-117</x:v>
      </x:c>
      <x:c r="B122" s="86" t="str">
        <x:v>Warrant source-empty baseline</x:v>
      </x:c>
      <x:c r="C122" s="75" t="str">
        <x:v>Warrant Ledger!S122</x:v>
      </x:c>
      <x:c r="D122" s="75" t="str">
        <x:v>SOURCE EMPTY</x:v>
      </x:c>
      <x:c r="E122" s="75" t="str">
        <x:f>IF('Warrant Ledger'!S122="SOURCE EMPTY","PASS","FAIL")</x:f>
        <x:v>PASS</x:v>
      </x:c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 ht="20" customHeight="1">
      <x:c r="A123" s="75" t="str">
        <x:v>WA-118</x:v>
      </x:c>
      <x:c r="B123" s="86" t="str">
        <x:v>Warrant source-empty baseline</x:v>
      </x:c>
      <x:c r="C123" s="75" t="str">
        <x:v>Warrant Ledger!S123</x:v>
      </x:c>
      <x:c r="D123" s="75" t="str">
        <x:v>SOURCE EMPTY</x:v>
      </x:c>
      <x:c r="E123" s="75" t="str">
        <x:f>IF('Warrant Ledger'!S123="SOURCE EMPTY","PASS","FAIL")</x:f>
        <x:v>PASS</x:v>
      </x:c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 ht="20" customHeight="1">
      <x:c r="A124" s="75" t="str">
        <x:v>WA-119</x:v>
      </x:c>
      <x:c r="B124" s="86" t="str">
        <x:v>Warrant source-empty baseline</x:v>
      </x:c>
      <x:c r="C124" s="75" t="str">
        <x:v>Warrant Ledger!S124</x:v>
      </x:c>
      <x:c r="D124" s="75" t="str">
        <x:v>SOURCE EMPTY</x:v>
      </x:c>
      <x:c r="E124" s="75" t="str">
        <x:f>IF('Warrant Ledger'!S124="SOURCE EMPTY","PASS","FAIL")</x:f>
        <x:v>PASS</x:v>
      </x:c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 ht="20" customHeight="1">
      <x:c r="A125" s="75" t="str">
        <x:v>WA-120</x:v>
      </x:c>
      <x:c r="B125" s="86" t="str">
        <x:v>Warrant source-empty baseline</x:v>
      </x:c>
      <x:c r="C125" s="75" t="str">
        <x:v>Warrant Ledger!S125</x:v>
      </x:c>
      <x:c r="D125" s="75" t="str">
        <x:v>SOURCE EMPTY</x:v>
      </x:c>
      <x:c r="E125" s="75" t="str">
        <x:f>IF('Warrant Ledger'!S125="SOURCE EMPTY","PASS","FAIL")</x:f>
        <x:v>PASS</x:v>
      </x:c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 ht="20" customHeight="1">
      <x:c r="A126" s="75" t="str">
        <x:v>WA-121</x:v>
      </x:c>
      <x:c r="B126" s="86" t="str">
        <x:v>Warrant source-empty baseline</x:v>
      </x:c>
      <x:c r="C126" s="75" t="str">
        <x:v>Warrant Ledger!S126</x:v>
      </x:c>
      <x:c r="D126" s="75" t="str">
        <x:v>SOURCE EMPTY</x:v>
      </x:c>
      <x:c r="E126" s="75" t="str">
        <x:f>IF('Warrant Ledger'!S126="SOURCE EMPTY","PASS","FAIL")</x:f>
        <x:v>PASS</x:v>
      </x:c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 ht="20" customHeight="1">
      <x:c r="A127" s="75" t="str">
        <x:v>WA-122</x:v>
      </x:c>
      <x:c r="B127" s="86" t="str">
        <x:v>Warrant source-empty baseline</x:v>
      </x:c>
      <x:c r="C127" s="75" t="str">
        <x:v>Warrant Ledger!S127</x:v>
      </x:c>
      <x:c r="D127" s="75" t="str">
        <x:v>SOURCE EMPTY</x:v>
      </x:c>
      <x:c r="E127" s="75" t="str">
        <x:f>IF('Warrant Ledger'!S127="SOURCE EMPTY","PASS","FAIL")</x:f>
        <x:v>PASS</x:v>
      </x:c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 ht="20" customHeight="1">
      <x:c r="A128" s="75" t="str">
        <x:v>WA-123</x:v>
      </x:c>
      <x:c r="B128" s="86" t="str">
        <x:v>Warrant source-empty baseline</x:v>
      </x:c>
      <x:c r="C128" s="75" t="str">
        <x:v>Warrant Ledger!S128</x:v>
      </x:c>
      <x:c r="D128" s="75" t="str">
        <x:v>SOURCE EMPTY</x:v>
      </x:c>
      <x:c r="E128" s="75" t="str">
        <x:f>IF('Warrant Ledger'!S128="SOURCE EMPTY","PASS","FAIL")</x:f>
        <x:v>PASS</x:v>
      </x:c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 ht="20" customHeight="1">
      <x:c r="A129" s="75" t="str">
        <x:v>WA-124</x:v>
      </x:c>
      <x:c r="B129" s="86" t="str">
        <x:v>Warrant source-empty baseline</x:v>
      </x:c>
      <x:c r="C129" s="75" t="str">
        <x:v>Warrant Ledger!S129</x:v>
      </x:c>
      <x:c r="D129" s="75" t="str">
        <x:v>SOURCE EMPTY</x:v>
      </x:c>
      <x:c r="E129" s="75" t="str">
        <x:f>IF('Warrant Ledger'!S129="SOURCE EMPTY","PASS","FAIL")</x:f>
        <x:v>PASS</x:v>
      </x:c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 ht="20" customHeight="1">
      <x:c r="A130" s="75" t="str">
        <x:v>WA-125</x:v>
      </x:c>
      <x:c r="B130" s="86" t="str">
        <x:v>Warrant source-empty baseline</x:v>
      </x:c>
      <x:c r="C130" s="75" t="str">
        <x:v>Warrant Ledger!S130</x:v>
      </x:c>
      <x:c r="D130" s="75" t="str">
        <x:v>SOURCE EMPTY</x:v>
      </x:c>
      <x:c r="E130" s="75" t="str">
        <x:f>IF('Warrant Ledger'!S130="SOURCE EMPTY","PASS","FAIL")</x:f>
        <x:v>PASS</x:v>
      </x:c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 ht="20" customHeight="1">
      <x:c r="A131" s="75" t="str">
        <x:v>WA-126</x:v>
      </x:c>
      <x:c r="B131" s="86" t="str">
        <x:v>Warrant source-empty baseline</x:v>
      </x:c>
      <x:c r="C131" s="75" t="str">
        <x:v>Warrant Ledger!S131</x:v>
      </x:c>
      <x:c r="D131" s="75" t="str">
        <x:v>SOURCE EMPTY</x:v>
      </x:c>
      <x:c r="E131" s="75" t="str">
        <x:f>IF('Warrant Ledger'!S131="SOURCE EMPTY","PASS","FAIL")</x:f>
        <x:v>PASS</x:v>
      </x:c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 ht="20" customHeight="1">
      <x:c r="A132" s="75" t="str">
        <x:v>WA-127</x:v>
      </x:c>
      <x:c r="B132" s="86" t="str">
        <x:v>Warrant source-empty baseline</x:v>
      </x:c>
      <x:c r="C132" s="75" t="str">
        <x:v>Warrant Ledger!S132</x:v>
      </x:c>
      <x:c r="D132" s="75" t="str">
        <x:v>SOURCE EMPTY</x:v>
      </x:c>
      <x:c r="E132" s="75" t="str">
        <x:f>IF('Warrant Ledger'!S132="SOURCE EMPTY","PASS","FAIL")</x:f>
        <x:v>PASS</x:v>
      </x:c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 ht="20" customHeight="1">
      <x:c r="A133" s="75" t="str">
        <x:v>WA-128</x:v>
      </x:c>
      <x:c r="B133" s="86" t="str">
        <x:v>Warrant source-empty baseline</x:v>
      </x:c>
      <x:c r="C133" s="75" t="str">
        <x:v>Warrant Ledger!S133</x:v>
      </x:c>
      <x:c r="D133" s="75" t="str">
        <x:v>SOURCE EMPTY</x:v>
      </x:c>
      <x:c r="E133" s="75" t="str">
        <x:f>IF('Warrant Ledger'!S133="SOURCE EMPTY","PASS","FAIL")</x:f>
        <x:v>PASS</x:v>
      </x:c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 ht="20" customHeight="1">
      <x:c r="A134" s="75" t="str">
        <x:v>WA-129</x:v>
      </x:c>
      <x:c r="B134" s="86" t="str">
        <x:v>Warrant source-empty baseline</x:v>
      </x:c>
      <x:c r="C134" s="75" t="str">
        <x:v>Warrant Ledger!S134</x:v>
      </x:c>
      <x:c r="D134" s="75" t="str">
        <x:v>SOURCE EMPTY</x:v>
      </x:c>
      <x:c r="E134" s="75" t="str">
        <x:f>IF('Warrant Ledger'!S134="SOURCE EMPTY","PASS","FAIL")</x:f>
        <x:v>PASS</x:v>
      </x:c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 ht="20" customHeight="1">
      <x:c r="A135" s="75" t="str">
        <x:v>WA-130</x:v>
      </x:c>
      <x:c r="B135" s="86" t="str">
        <x:v>Warrant source-empty baseline</x:v>
      </x:c>
      <x:c r="C135" s="75" t="str">
        <x:v>Warrant Ledger!S135</x:v>
      </x:c>
      <x:c r="D135" s="75" t="str">
        <x:v>SOURCE EMPTY</x:v>
      </x:c>
      <x:c r="E135" s="75" t="str">
        <x:f>IF('Warrant Ledger'!S135="SOURCE EMPTY","PASS","FAIL")</x:f>
        <x:v>PASS</x:v>
      </x:c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 ht="20" customHeight="1">
      <x:c r="A136" s="75" t="str">
        <x:v>WA-131</x:v>
      </x:c>
      <x:c r="B136" s="86" t="str">
        <x:v>Warrant source-empty baseline</x:v>
      </x:c>
      <x:c r="C136" s="75" t="str">
        <x:v>Warrant Ledger!S136</x:v>
      </x:c>
      <x:c r="D136" s="75" t="str">
        <x:v>SOURCE EMPTY</x:v>
      </x:c>
      <x:c r="E136" s="75" t="str">
        <x:f>IF('Warrant Ledger'!S136="SOURCE EMPTY","PASS","FAIL")</x:f>
        <x:v>PASS</x:v>
      </x:c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 ht="20" customHeight="1">
      <x:c r="A137" s="75" t="str">
        <x:v>WA-132</x:v>
      </x:c>
      <x:c r="B137" s="86" t="str">
        <x:v>Warrant source-empty baseline</x:v>
      </x:c>
      <x:c r="C137" s="75" t="str">
        <x:v>Warrant Ledger!S137</x:v>
      </x:c>
      <x:c r="D137" s="75" t="str">
        <x:v>SOURCE EMPTY</x:v>
      </x:c>
      <x:c r="E137" s="75" t="str">
        <x:f>IF('Warrant Ledger'!S137="SOURCE EMPTY","PASS","FAIL")</x:f>
        <x:v>PASS</x:v>
      </x:c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 ht="20" customHeight="1">
      <x:c r="A138" s="75" t="str">
        <x:v>WA-133</x:v>
      </x:c>
      <x:c r="B138" s="86" t="str">
        <x:v>Warrant source-empty baseline</x:v>
      </x:c>
      <x:c r="C138" s="75" t="str">
        <x:v>Warrant Ledger!S138</x:v>
      </x:c>
      <x:c r="D138" s="75" t="str">
        <x:v>SOURCE EMPTY</x:v>
      </x:c>
      <x:c r="E138" s="75" t="str">
        <x:f>IF('Warrant Ledger'!S138="SOURCE EMPTY","PASS","FAIL")</x:f>
        <x:v>PASS</x:v>
      </x:c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 ht="20" customHeight="1">
      <x:c r="A139" s="75" t="str">
        <x:v>WA-134</x:v>
      </x:c>
      <x:c r="B139" s="86" t="str">
        <x:v>Warrant source-empty baseline</x:v>
      </x:c>
      <x:c r="C139" s="75" t="str">
        <x:v>Warrant Ledger!S139</x:v>
      </x:c>
      <x:c r="D139" s="75" t="str">
        <x:v>SOURCE EMPTY</x:v>
      </x:c>
      <x:c r="E139" s="75" t="str">
        <x:f>IF('Warrant Ledger'!S139="SOURCE EMPTY","PASS","FAIL")</x:f>
        <x:v>PASS</x:v>
      </x:c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 ht="20" customHeight="1">
      <x:c r="A140" s="75" t="str">
        <x:v>WA-135</x:v>
      </x:c>
      <x:c r="B140" s="86" t="str">
        <x:v>Warrant source-empty baseline</x:v>
      </x:c>
      <x:c r="C140" s="75" t="str">
        <x:v>Warrant Ledger!S140</x:v>
      </x:c>
      <x:c r="D140" s="75" t="str">
        <x:v>SOURCE EMPTY</x:v>
      </x:c>
      <x:c r="E140" s="75" t="str">
        <x:f>IF('Warrant Ledger'!S140="SOURCE EMPTY","PASS","FAIL")</x:f>
        <x:v>PASS</x:v>
      </x:c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 ht="20" customHeight="1">
      <x:c r="A141" s="75" t="str">
        <x:v>WA-136</x:v>
      </x:c>
      <x:c r="B141" s="86" t="str">
        <x:v>Warrant source-empty baseline</x:v>
      </x:c>
      <x:c r="C141" s="75" t="str">
        <x:v>Warrant Ledger!S141</x:v>
      </x:c>
      <x:c r="D141" s="75" t="str">
        <x:v>SOURCE EMPTY</x:v>
      </x:c>
      <x:c r="E141" s="75" t="str">
        <x:f>IF('Warrant Ledger'!S141="SOURCE EMPTY","PASS","FAIL")</x:f>
        <x:v>PASS</x:v>
      </x:c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 ht="20" customHeight="1">
      <x:c r="A142" s="75" t="str">
        <x:v>WA-137</x:v>
      </x:c>
      <x:c r="B142" s="86" t="str">
        <x:v>Warrant source-empty baseline</x:v>
      </x:c>
      <x:c r="C142" s="75" t="str">
        <x:v>Warrant Ledger!S142</x:v>
      </x:c>
      <x:c r="D142" s="75" t="str">
        <x:v>SOURCE EMPTY</x:v>
      </x:c>
      <x:c r="E142" s="75" t="str">
        <x:f>IF('Warrant Ledger'!S142="SOURCE EMPTY","PASS","FAIL")</x:f>
        <x:v>PASS</x:v>
      </x:c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 ht="20" customHeight="1">
      <x:c r="A143" s="75" t="str">
        <x:v>WA-138</x:v>
      </x:c>
      <x:c r="B143" s="86" t="str">
        <x:v>Warrant source-empty baseline</x:v>
      </x:c>
      <x:c r="C143" s="75" t="str">
        <x:v>Warrant Ledger!S143</x:v>
      </x:c>
      <x:c r="D143" s="75" t="str">
        <x:v>SOURCE EMPTY</x:v>
      </x:c>
      <x:c r="E143" s="75" t="str">
        <x:f>IF('Warrant Ledger'!S143="SOURCE EMPTY","PASS","FAIL")</x:f>
        <x:v>PASS</x:v>
      </x:c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 ht="20" customHeight="1">
      <x:c r="A144" s="75" t="str">
        <x:v>WA-139</x:v>
      </x:c>
      <x:c r="B144" s="86" t="str">
        <x:v>Warrant source-empty baseline</x:v>
      </x:c>
      <x:c r="C144" s="75" t="str">
        <x:v>Warrant Ledger!S144</x:v>
      </x:c>
      <x:c r="D144" s="75" t="str">
        <x:v>SOURCE EMPTY</x:v>
      </x:c>
      <x:c r="E144" s="75" t="str">
        <x:f>IF('Warrant Ledger'!S144="SOURCE EMPTY","PASS","FAIL")</x:f>
        <x:v>PASS</x:v>
      </x:c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 ht="20" customHeight="1">
      <x:c r="A145" s="75" t="str">
        <x:v>WA-140</x:v>
      </x:c>
      <x:c r="B145" s="86" t="str">
        <x:v>Warrant source-empty baseline</x:v>
      </x:c>
      <x:c r="C145" s="75" t="str">
        <x:v>Warrant Ledger!S145</x:v>
      </x:c>
      <x:c r="D145" s="75" t="str">
        <x:v>SOURCE EMPTY</x:v>
      </x:c>
      <x:c r="E145" s="75" t="str">
        <x:f>IF('Warrant Ledger'!S145="SOURCE EMPTY","PASS","FAIL")</x:f>
        <x:v>PASS</x:v>
      </x:c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 ht="20" customHeight="1">
      <x:c r="A146" s="75" t="str">
        <x:v>WA-141</x:v>
      </x:c>
      <x:c r="B146" s="86" t="str">
        <x:v>Warrant source-empty baseline</x:v>
      </x:c>
      <x:c r="C146" s="75" t="str">
        <x:v>Warrant Ledger!S146</x:v>
      </x:c>
      <x:c r="D146" s="75" t="str">
        <x:v>SOURCE EMPTY</x:v>
      </x:c>
      <x:c r="E146" s="75" t="str">
        <x:f>IF('Warrant Ledger'!S146="SOURCE EMPTY","PASS","FAIL")</x:f>
        <x:v>PASS</x:v>
      </x:c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 ht="20" customHeight="1">
      <x:c r="A147" s="75" t="str">
        <x:v>WA-142</x:v>
      </x:c>
      <x:c r="B147" s="86" t="str">
        <x:v>Warrant source-empty baseline</x:v>
      </x:c>
      <x:c r="C147" s="75" t="str">
        <x:v>Warrant Ledger!S147</x:v>
      </x:c>
      <x:c r="D147" s="75" t="str">
        <x:v>SOURCE EMPTY</x:v>
      </x:c>
      <x:c r="E147" s="75" t="str">
        <x:f>IF('Warrant Ledger'!S147="SOURCE EMPTY","PASS","FAIL")</x:f>
        <x:v>PASS</x:v>
      </x:c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 ht="20" customHeight="1">
      <x:c r="A148" s="75" t="str">
        <x:v>WA-143</x:v>
      </x:c>
      <x:c r="B148" s="86" t="str">
        <x:v>Warrant source-empty baseline</x:v>
      </x:c>
      <x:c r="C148" s="75" t="str">
        <x:v>Warrant Ledger!S148</x:v>
      </x:c>
      <x:c r="D148" s="75" t="str">
        <x:v>SOURCE EMPTY</x:v>
      </x:c>
      <x:c r="E148" s="75" t="str">
        <x:f>IF('Warrant Ledger'!S148="SOURCE EMPTY","PASS","FAIL")</x:f>
        <x:v>PASS</x:v>
      </x:c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 ht="20" customHeight="1">
      <x:c r="A149" s="75" t="str">
        <x:v>WA-144</x:v>
      </x:c>
      <x:c r="B149" s="86" t="str">
        <x:v>Warrant source-empty baseline</x:v>
      </x:c>
      <x:c r="C149" s="75" t="str">
        <x:v>Warrant Ledger!S149</x:v>
      </x:c>
      <x:c r="D149" s="75" t="str">
        <x:v>SOURCE EMPTY</x:v>
      </x:c>
      <x:c r="E149" s="75" t="str">
        <x:f>IF('Warrant Ledger'!S149="SOURCE EMPTY","PASS","FAIL")</x:f>
        <x:v>PASS</x:v>
      </x:c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 ht="20" customHeight="1">
      <x:c r="A150" s="75" t="str">
        <x:v>WA-145</x:v>
      </x:c>
      <x:c r="B150" s="86" t="str">
        <x:v>Warrant source-empty baseline</x:v>
      </x:c>
      <x:c r="C150" s="75" t="str">
        <x:v>Warrant Ledger!S150</x:v>
      </x:c>
      <x:c r="D150" s="75" t="str">
        <x:v>SOURCE EMPTY</x:v>
      </x:c>
      <x:c r="E150" s="75" t="str">
        <x:f>IF('Warrant Ledger'!S150="SOURCE EMPTY","PASS","FAIL")</x:f>
        <x:v>PASS</x:v>
      </x:c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 ht="20" customHeight="1">
      <x:c r="A151" s="75" t="str">
        <x:v>WA-146</x:v>
      </x:c>
      <x:c r="B151" s="86" t="str">
        <x:v>Warrant source-empty baseline</x:v>
      </x:c>
      <x:c r="C151" s="75" t="str">
        <x:v>Warrant Ledger!S151</x:v>
      </x:c>
      <x:c r="D151" s="75" t="str">
        <x:v>SOURCE EMPTY</x:v>
      </x:c>
      <x:c r="E151" s="75" t="str">
        <x:f>IF('Warrant Ledger'!S151="SOURCE EMPTY","PASS","FAIL")</x:f>
        <x:v>PASS</x:v>
      </x:c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 ht="20" customHeight="1">
      <x:c r="A152" s="75" t="str">
        <x:v>WA-147</x:v>
      </x:c>
      <x:c r="B152" s="86" t="str">
        <x:v>Warrant source-empty baseline</x:v>
      </x:c>
      <x:c r="C152" s="75" t="str">
        <x:v>Warrant Ledger!S152</x:v>
      </x:c>
      <x:c r="D152" s="75" t="str">
        <x:v>SOURCE EMPTY</x:v>
      </x:c>
      <x:c r="E152" s="75" t="str">
        <x:f>IF('Warrant Ledger'!S152="SOURCE EMPTY","PASS","FAIL")</x:f>
        <x:v>PASS</x:v>
      </x:c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 ht="20" customHeight="1">
      <x:c r="A153" s="75" t="str">
        <x:v>WA-148</x:v>
      </x:c>
      <x:c r="B153" s="86" t="str">
        <x:v>Warrant source-empty baseline</x:v>
      </x:c>
      <x:c r="C153" s="75" t="str">
        <x:v>Warrant Ledger!S153</x:v>
      </x:c>
      <x:c r="D153" s="75" t="str">
        <x:v>SOURCE EMPTY</x:v>
      </x:c>
      <x:c r="E153" s="75" t="str">
        <x:f>IF('Warrant Ledger'!S153="SOURCE EMPTY","PASS","FAIL")</x:f>
        <x:v>PASS</x:v>
      </x:c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 ht="20" customHeight="1">
      <x:c r="A154" s="75" t="str">
        <x:v>WA-149</x:v>
      </x:c>
      <x:c r="B154" s="86" t="str">
        <x:v>Warrant source-empty baseline</x:v>
      </x:c>
      <x:c r="C154" s="75" t="str">
        <x:v>Warrant Ledger!S154</x:v>
      </x:c>
      <x:c r="D154" s="75" t="str">
        <x:v>SOURCE EMPTY</x:v>
      </x:c>
      <x:c r="E154" s="75" t="str">
        <x:f>IF('Warrant Ledger'!S154="SOURCE EMPTY","PASS","FAIL")</x:f>
        <x:v>PASS</x:v>
      </x:c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 ht="20" customHeight="1">
      <x:c r="A155" s="75" t="str">
        <x:v>WA-150</x:v>
      </x:c>
      <x:c r="B155" s="86" t="str">
        <x:v>Warrant source-empty baseline</x:v>
      </x:c>
      <x:c r="C155" s="75" t="str">
        <x:v>Warrant Ledger!S155</x:v>
      </x:c>
      <x:c r="D155" s="75" t="str">
        <x:v>SOURCE EMPTY</x:v>
      </x:c>
      <x:c r="E155" s="75" t="str">
        <x:f>IF('Warrant Ledger'!S155="SOURCE EMPTY","PASS","FAIL")</x:f>
        <x:v>PASS</x:v>
      </x:c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 ht="20" customHeight="1">
      <x:c r="A156" s="75" t="str">
        <x:v>WA-151</x:v>
      </x:c>
      <x:c r="B156" s="86" t="str">
        <x:v>Warrant source-empty baseline</x:v>
      </x:c>
      <x:c r="C156" s="75" t="str">
        <x:v>Warrant Ledger!S156</x:v>
      </x:c>
      <x:c r="D156" s="75" t="str">
        <x:v>SOURCE EMPTY</x:v>
      </x:c>
      <x:c r="E156" s="75" t="str">
        <x:f>IF('Warrant Ledger'!S156="SOURCE EMPTY","PASS","FAIL")</x:f>
        <x:v>PASS</x:v>
      </x:c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 ht="20" customHeight="1">
      <x:c r="A157" s="75" t="str">
        <x:v>WA-152</x:v>
      </x:c>
      <x:c r="B157" s="86" t="str">
        <x:v>Warrant source-empty baseline</x:v>
      </x:c>
      <x:c r="C157" s="75" t="str">
        <x:v>Warrant Ledger!S157</x:v>
      </x:c>
      <x:c r="D157" s="75" t="str">
        <x:v>SOURCE EMPTY</x:v>
      </x:c>
      <x:c r="E157" s="75" t="str">
        <x:f>IF('Warrant Ledger'!S157="SOURCE EMPTY","PASS","FAIL")</x:f>
        <x:v>PASS</x:v>
      </x:c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 ht="20" customHeight="1">
      <x:c r="A158" s="75" t="str">
        <x:v>WA-153</x:v>
      </x:c>
      <x:c r="B158" s="86" t="str">
        <x:v>Warrant source-empty baseline</x:v>
      </x:c>
      <x:c r="C158" s="75" t="str">
        <x:v>Warrant Ledger!S158</x:v>
      </x:c>
      <x:c r="D158" s="75" t="str">
        <x:v>SOURCE EMPTY</x:v>
      </x:c>
      <x:c r="E158" s="75" t="str">
        <x:f>IF('Warrant Ledger'!S158="SOURCE EMPTY","PASS","FAIL")</x:f>
        <x:v>PASS</x:v>
      </x:c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 ht="20" customHeight="1">
      <x:c r="A159" s="75" t="str">
        <x:v>WA-154</x:v>
      </x:c>
      <x:c r="B159" s="86" t="str">
        <x:v>Warrant source-empty baseline</x:v>
      </x:c>
      <x:c r="C159" s="75" t="str">
        <x:v>Warrant Ledger!S159</x:v>
      </x:c>
      <x:c r="D159" s="75" t="str">
        <x:v>SOURCE EMPTY</x:v>
      </x:c>
      <x:c r="E159" s="75" t="str">
        <x:f>IF('Warrant Ledger'!S159="SOURCE EMPTY","PASS","FAIL")</x:f>
        <x:v>PASS</x:v>
      </x:c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 ht="20" customHeight="1">
      <x:c r="A160" s="75" t="str">
        <x:v>WA-155</x:v>
      </x:c>
      <x:c r="B160" s="86" t="str">
        <x:v>Warrant source-empty baseline</x:v>
      </x:c>
      <x:c r="C160" s="75" t="str">
        <x:v>Warrant Ledger!S160</x:v>
      </x:c>
      <x:c r="D160" s="75" t="str">
        <x:v>SOURCE EMPTY</x:v>
      </x:c>
      <x:c r="E160" s="75" t="str">
        <x:f>IF('Warrant Ledger'!S160="SOURCE EMPTY","PASS","FAIL")</x:f>
        <x:v>PASS</x:v>
      </x:c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 ht="20" customHeight="1">
      <x:c r="A161" s="75" t="str">
        <x:v>WA-156</x:v>
      </x:c>
      <x:c r="B161" s="86" t="str">
        <x:v>Warrant source-empty baseline</x:v>
      </x:c>
      <x:c r="C161" s="75" t="str">
        <x:v>Warrant Ledger!S161</x:v>
      </x:c>
      <x:c r="D161" s="75" t="str">
        <x:v>SOURCE EMPTY</x:v>
      </x:c>
      <x:c r="E161" s="75" t="str">
        <x:f>IF('Warrant Ledger'!S161="SOURCE EMPTY","PASS","FAIL")</x:f>
        <x:v>PASS</x:v>
      </x:c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 ht="20" customHeight="1">
      <x:c r="A162" s="75" t="str">
        <x:v>WA-157</x:v>
      </x:c>
      <x:c r="B162" s="86" t="str">
        <x:v>Warrant source-empty baseline</x:v>
      </x:c>
      <x:c r="C162" s="75" t="str">
        <x:v>Warrant Ledger!S162</x:v>
      </x:c>
      <x:c r="D162" s="75" t="str">
        <x:v>SOURCE EMPTY</x:v>
      </x:c>
      <x:c r="E162" s="75" t="str">
        <x:f>IF('Warrant Ledger'!S162="SOURCE EMPTY","PASS","FAIL")</x:f>
        <x:v>PASS</x:v>
      </x:c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 ht="20" customHeight="1">
      <x:c r="A163" s="75" t="str">
        <x:v>WA-158</x:v>
      </x:c>
      <x:c r="B163" s="86" t="str">
        <x:v>Warrant source-empty baseline</x:v>
      </x:c>
      <x:c r="C163" s="75" t="str">
        <x:v>Warrant Ledger!S163</x:v>
      </x:c>
      <x:c r="D163" s="75" t="str">
        <x:v>SOURCE EMPTY</x:v>
      </x:c>
      <x:c r="E163" s="75" t="str">
        <x:f>IF('Warrant Ledger'!S163="SOURCE EMPTY","PASS","FAIL")</x:f>
        <x:v>PASS</x:v>
      </x:c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 ht="20" customHeight="1">
      <x:c r="A164" s="75" t="str">
        <x:v>WA-159</x:v>
      </x:c>
      <x:c r="B164" s="86" t="str">
        <x:v>Warrant source-empty baseline</x:v>
      </x:c>
      <x:c r="C164" s="75" t="str">
        <x:v>Warrant Ledger!S164</x:v>
      </x:c>
      <x:c r="D164" s="75" t="str">
        <x:v>SOURCE EMPTY</x:v>
      </x:c>
      <x:c r="E164" s="75" t="str">
        <x:f>IF('Warrant Ledger'!S164="SOURCE EMPTY","PASS","FAIL")</x:f>
        <x:v>PASS</x:v>
      </x:c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 ht="20" customHeight="1">
      <x:c r="A165" s="75" t="str">
        <x:v>WA-160</x:v>
      </x:c>
      <x:c r="B165" s="86" t="str">
        <x:v>Warrant source-empty baseline</x:v>
      </x:c>
      <x:c r="C165" s="75" t="str">
        <x:v>Warrant Ledger!S165</x:v>
      </x:c>
      <x:c r="D165" s="75" t="str">
        <x:v>SOURCE EMPTY</x:v>
      </x:c>
      <x:c r="E165" s="75" t="str">
        <x:f>IF('Warrant Ledger'!S165="SOURCE EMPTY","PASS","FAIL")</x:f>
        <x:v>PASS</x:v>
      </x:c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 ht="20" customHeight="1">
      <x:c r="A166" s="75" t="str">
        <x:v>WA-161</x:v>
      </x:c>
      <x:c r="B166" s="86" t="str">
        <x:v>Warrant source-empty baseline</x:v>
      </x:c>
      <x:c r="C166" s="75" t="str">
        <x:v>Warrant Ledger!S166</x:v>
      </x:c>
      <x:c r="D166" s="75" t="str">
        <x:v>SOURCE EMPTY</x:v>
      </x:c>
      <x:c r="E166" s="75" t="str">
        <x:f>IF('Warrant Ledger'!S166="SOURCE EMPTY","PASS","FAIL")</x:f>
        <x:v>PASS</x:v>
      </x:c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 ht="20" customHeight="1">
      <x:c r="A167" s="75" t="str">
        <x:v>WA-162</x:v>
      </x:c>
      <x:c r="B167" s="86" t="str">
        <x:v>Warrant source-empty baseline</x:v>
      </x:c>
      <x:c r="C167" s="75" t="str">
        <x:v>Warrant Ledger!S167</x:v>
      </x:c>
      <x:c r="D167" s="75" t="str">
        <x:v>SOURCE EMPTY</x:v>
      </x:c>
      <x:c r="E167" s="75" t="str">
        <x:f>IF('Warrant Ledger'!S167="SOURCE EMPTY","PASS","FAIL")</x:f>
        <x:v>PASS</x:v>
      </x:c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 ht="20" customHeight="1">
      <x:c r="A168" s="75" t="str">
        <x:v>WA-163</x:v>
      </x:c>
      <x:c r="B168" s="86" t="str">
        <x:v>Warrant source-empty baseline</x:v>
      </x:c>
      <x:c r="C168" s="75" t="str">
        <x:v>Warrant Ledger!S168</x:v>
      </x:c>
      <x:c r="D168" s="75" t="str">
        <x:v>SOURCE EMPTY</x:v>
      </x:c>
      <x:c r="E168" s="75" t="str">
        <x:f>IF('Warrant Ledger'!S168="SOURCE EMPTY","PASS","FAIL")</x:f>
        <x:v>PASS</x:v>
      </x:c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 ht="20" customHeight="1">
      <x:c r="A169" s="75" t="str">
        <x:v>WA-164</x:v>
      </x:c>
      <x:c r="B169" s="86" t="str">
        <x:v>Warrant source-empty baseline</x:v>
      </x:c>
      <x:c r="C169" s="75" t="str">
        <x:v>Warrant Ledger!S169</x:v>
      </x:c>
      <x:c r="D169" s="75" t="str">
        <x:v>SOURCE EMPTY</x:v>
      </x:c>
      <x:c r="E169" s="75" t="str">
        <x:f>IF('Warrant Ledger'!S169="SOURCE EMPTY","PASS","FAIL")</x:f>
        <x:v>PASS</x:v>
      </x:c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 ht="20" customHeight="1">
      <x:c r="A170" s="75" t="str">
        <x:v>WA-165</x:v>
      </x:c>
      <x:c r="B170" s="86" t="str">
        <x:v>Warrant source-empty baseline</x:v>
      </x:c>
      <x:c r="C170" s="75" t="str">
        <x:v>Warrant Ledger!S170</x:v>
      </x:c>
      <x:c r="D170" s="75" t="str">
        <x:v>SOURCE EMPTY</x:v>
      </x:c>
      <x:c r="E170" s="75" t="str">
        <x:f>IF('Warrant Ledger'!S170="SOURCE EMPTY","PASS","FAIL")</x:f>
        <x:v>PASS</x:v>
      </x:c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 ht="20" customHeight="1">
      <x:c r="A171" s="75" t="str">
        <x:v>WA-166</x:v>
      </x:c>
      <x:c r="B171" s="86" t="str">
        <x:v>Warrant source-empty baseline</x:v>
      </x:c>
      <x:c r="C171" s="75" t="str">
        <x:v>Warrant Ledger!S171</x:v>
      </x:c>
      <x:c r="D171" s="75" t="str">
        <x:v>SOURCE EMPTY</x:v>
      </x:c>
      <x:c r="E171" s="75" t="str">
        <x:f>IF('Warrant Ledger'!S171="SOURCE EMPTY","PASS","FAIL")</x:f>
        <x:v>PASS</x:v>
      </x:c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 ht="20" customHeight="1">
      <x:c r="A172" s="75" t="str">
        <x:v>WA-167</x:v>
      </x:c>
      <x:c r="B172" s="86" t="str">
        <x:v>Warrant source-empty baseline</x:v>
      </x:c>
      <x:c r="C172" s="75" t="str">
        <x:v>Warrant Ledger!S172</x:v>
      </x:c>
      <x:c r="D172" s="75" t="str">
        <x:v>SOURCE EMPTY</x:v>
      </x:c>
      <x:c r="E172" s="75" t="str">
        <x:f>IF('Warrant Ledger'!S172="SOURCE EMPTY","PASS","FAIL")</x:f>
        <x:v>PASS</x:v>
      </x:c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 ht="20" customHeight="1">
      <x:c r="A173" s="75" t="str">
        <x:v>WA-168</x:v>
      </x:c>
      <x:c r="B173" s="86" t="str">
        <x:v>Warrant source-empty baseline</x:v>
      </x:c>
      <x:c r="C173" s="75" t="str">
        <x:v>Warrant Ledger!S173</x:v>
      </x:c>
      <x:c r="D173" s="75" t="str">
        <x:v>SOURCE EMPTY</x:v>
      </x:c>
      <x:c r="E173" s="75" t="str">
        <x:f>IF('Warrant Ledger'!S173="SOURCE EMPTY","PASS","FAIL")</x:f>
        <x:v>PASS</x:v>
      </x:c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 ht="20" customHeight="1">
      <x:c r="A174" s="75" t="str">
        <x:v>WA-169</x:v>
      </x:c>
      <x:c r="B174" s="86" t="str">
        <x:v>Warrant source-empty baseline</x:v>
      </x:c>
      <x:c r="C174" s="75" t="str">
        <x:v>Warrant Ledger!S174</x:v>
      </x:c>
      <x:c r="D174" s="75" t="str">
        <x:v>SOURCE EMPTY</x:v>
      </x:c>
      <x:c r="E174" s="75" t="str">
        <x:f>IF('Warrant Ledger'!S174="SOURCE EMPTY","PASS","FAIL")</x:f>
        <x:v>PASS</x:v>
      </x:c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 ht="20" customHeight="1">
      <x:c r="A175" s="75" t="str">
        <x:v>WA-170</x:v>
      </x:c>
      <x:c r="B175" s="86" t="str">
        <x:v>Warrant source-empty baseline</x:v>
      </x:c>
      <x:c r="C175" s="75" t="str">
        <x:v>Warrant Ledger!S175</x:v>
      </x:c>
      <x:c r="D175" s="75" t="str">
        <x:v>SOURCE EMPTY</x:v>
      </x:c>
      <x:c r="E175" s="75" t="str">
        <x:f>IF('Warrant Ledger'!S175="SOURCE EMPTY","PASS","FAIL")</x:f>
        <x:v>PASS</x:v>
      </x:c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 ht="20" customHeight="1">
      <x:c r="A176" s="75" t="str">
        <x:v>WA-171</x:v>
      </x:c>
      <x:c r="B176" s="86" t="str">
        <x:v>Warrant source-empty baseline</x:v>
      </x:c>
      <x:c r="C176" s="75" t="str">
        <x:v>Warrant Ledger!S176</x:v>
      </x:c>
      <x:c r="D176" s="75" t="str">
        <x:v>SOURCE EMPTY</x:v>
      </x:c>
      <x:c r="E176" s="75" t="str">
        <x:f>IF('Warrant Ledger'!S176="SOURCE EMPTY","PASS","FAIL")</x:f>
        <x:v>PASS</x:v>
      </x:c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 ht="20" customHeight="1">
      <x:c r="A177" s="75" t="str">
        <x:v>WA-172</x:v>
      </x:c>
      <x:c r="B177" s="86" t="str">
        <x:v>Warrant source-empty baseline</x:v>
      </x:c>
      <x:c r="C177" s="75" t="str">
        <x:v>Warrant Ledger!S177</x:v>
      </x:c>
      <x:c r="D177" s="75" t="str">
        <x:v>SOURCE EMPTY</x:v>
      </x:c>
      <x:c r="E177" s="75" t="str">
        <x:f>IF('Warrant Ledger'!S177="SOURCE EMPTY","PASS","FAIL")</x:f>
        <x:v>PASS</x:v>
      </x:c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 ht="20" customHeight="1">
      <x:c r="A178" s="75" t="str">
        <x:v>WA-173</x:v>
      </x:c>
      <x:c r="B178" s="86" t="str">
        <x:v>Warrant source-empty baseline</x:v>
      </x:c>
      <x:c r="C178" s="75" t="str">
        <x:v>Warrant Ledger!S178</x:v>
      </x:c>
      <x:c r="D178" s="75" t="str">
        <x:v>SOURCE EMPTY</x:v>
      </x:c>
      <x:c r="E178" s="75" t="str">
        <x:f>IF('Warrant Ledger'!S178="SOURCE EMPTY","PASS","FAIL")</x:f>
        <x:v>PASS</x:v>
      </x:c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 ht="20" customHeight="1">
      <x:c r="A179" s="75" t="str">
        <x:v>WA-174</x:v>
      </x:c>
      <x:c r="B179" s="86" t="str">
        <x:v>Warrant source-empty baseline</x:v>
      </x:c>
      <x:c r="C179" s="75" t="str">
        <x:v>Warrant Ledger!S179</x:v>
      </x:c>
      <x:c r="D179" s="75" t="str">
        <x:v>SOURCE EMPTY</x:v>
      </x:c>
      <x:c r="E179" s="75" t="str">
        <x:f>IF('Warrant Ledger'!S179="SOURCE EMPTY","PASS","FAIL")</x:f>
        <x:v>PASS</x:v>
      </x:c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 ht="20" customHeight="1">
      <x:c r="A180" s="75" t="str">
        <x:v>WA-175</x:v>
      </x:c>
      <x:c r="B180" s="86" t="str">
        <x:v>Warrant source-empty baseline</x:v>
      </x:c>
      <x:c r="C180" s="75" t="str">
        <x:v>Warrant Ledger!S180</x:v>
      </x:c>
      <x:c r="D180" s="75" t="str">
        <x:v>SOURCE EMPTY</x:v>
      </x:c>
      <x:c r="E180" s="75" t="str">
        <x:f>IF('Warrant Ledger'!S180="SOURCE EMPTY","PASS","FAIL")</x:f>
        <x:v>PASS</x:v>
      </x:c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 ht="20" customHeight="1">
      <x:c r="A181" s="75" t="str">
        <x:v>WA-176</x:v>
      </x:c>
      <x:c r="B181" s="86" t="str">
        <x:v>Warrant source-empty baseline</x:v>
      </x:c>
      <x:c r="C181" s="75" t="str">
        <x:v>Warrant Ledger!S181</x:v>
      </x:c>
      <x:c r="D181" s="75" t="str">
        <x:v>SOURCE EMPTY</x:v>
      </x:c>
      <x:c r="E181" s="75" t="str">
        <x:f>IF('Warrant Ledger'!S181="SOURCE EMPTY","PASS","FAIL")</x:f>
        <x:v>PASS</x:v>
      </x:c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 ht="20" customHeight="1">
      <x:c r="A182" s="75" t="str">
        <x:v>WA-177</x:v>
      </x:c>
      <x:c r="B182" s="86" t="str">
        <x:v>Warrant source-empty baseline</x:v>
      </x:c>
      <x:c r="C182" s="75" t="str">
        <x:v>Warrant Ledger!S182</x:v>
      </x:c>
      <x:c r="D182" s="75" t="str">
        <x:v>SOURCE EMPTY</x:v>
      </x:c>
      <x:c r="E182" s="75" t="str">
        <x:f>IF('Warrant Ledger'!S182="SOURCE EMPTY","PASS","FAIL")</x:f>
        <x:v>PASS</x:v>
      </x:c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 ht="20" customHeight="1">
      <x:c r="A183" s="75" t="str">
        <x:v>WA-178</x:v>
      </x:c>
      <x:c r="B183" s="86" t="str">
        <x:v>Warrant source-empty baseline</x:v>
      </x:c>
      <x:c r="C183" s="75" t="str">
        <x:v>Warrant Ledger!S183</x:v>
      </x:c>
      <x:c r="D183" s="75" t="str">
        <x:v>SOURCE EMPTY</x:v>
      </x:c>
      <x:c r="E183" s="75" t="str">
        <x:f>IF('Warrant Ledger'!S183="SOURCE EMPTY","PASS","FAIL")</x:f>
        <x:v>PASS</x:v>
      </x:c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 ht="20" customHeight="1">
      <x:c r="A184" s="75" t="str">
        <x:v>WA-179</x:v>
      </x:c>
      <x:c r="B184" s="86" t="str">
        <x:v>Warrant source-empty baseline</x:v>
      </x:c>
      <x:c r="C184" s="75" t="str">
        <x:v>Warrant Ledger!S184</x:v>
      </x:c>
      <x:c r="D184" s="75" t="str">
        <x:v>SOURCE EMPTY</x:v>
      </x:c>
      <x:c r="E184" s="75" t="str">
        <x:f>IF('Warrant Ledger'!S184="SOURCE EMPTY","PASS","FAIL")</x:f>
        <x:v>PASS</x:v>
      </x:c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 ht="20" customHeight="1">
      <x:c r="A185" s="75" t="str">
        <x:v>WA-180</x:v>
      </x:c>
      <x:c r="B185" s="86" t="str">
        <x:v>Warrant source-empty baseline</x:v>
      </x:c>
      <x:c r="C185" s="75" t="str">
        <x:v>Warrant Ledger!S185</x:v>
      </x:c>
      <x:c r="D185" s="75" t="str">
        <x:v>SOURCE EMPTY</x:v>
      </x:c>
      <x:c r="E185" s="75" t="str">
        <x:f>IF('Warrant Ledger'!S185="SOURCE EMPTY","PASS","FAIL")</x:f>
        <x:v>PASS</x:v>
      </x:c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 ht="20" customHeight="1">
      <x:c r="A186" s="75" t="str">
        <x:v>WA-181</x:v>
      </x:c>
      <x:c r="B186" s="86" t="str">
        <x:v>Warrant source-empty baseline</x:v>
      </x:c>
      <x:c r="C186" s="75" t="str">
        <x:v>Warrant Ledger!S186</x:v>
      </x:c>
      <x:c r="D186" s="75" t="str">
        <x:v>SOURCE EMPTY</x:v>
      </x:c>
      <x:c r="E186" s="75" t="str">
        <x:f>IF('Warrant Ledger'!S186="SOURCE EMPTY","PASS","FAIL")</x:f>
        <x:v>PASS</x:v>
      </x:c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 ht="20" customHeight="1">
      <x:c r="A187" s="75" t="str">
        <x:v>WA-182</x:v>
      </x:c>
      <x:c r="B187" s="86" t="str">
        <x:v>Warrant source-empty baseline</x:v>
      </x:c>
      <x:c r="C187" s="75" t="str">
        <x:v>Warrant Ledger!S187</x:v>
      </x:c>
      <x:c r="D187" s="75" t="str">
        <x:v>SOURCE EMPTY</x:v>
      </x:c>
      <x:c r="E187" s="75" t="str">
        <x:f>IF('Warrant Ledger'!S187="SOURCE EMPTY","PASS","FAIL")</x:f>
        <x:v>PASS</x:v>
      </x:c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 ht="20" customHeight="1">
      <x:c r="A188" s="75" t="str">
        <x:v>WA-183</x:v>
      </x:c>
      <x:c r="B188" s="86" t="str">
        <x:v>Warrant source-empty baseline</x:v>
      </x:c>
      <x:c r="C188" s="75" t="str">
        <x:v>Warrant Ledger!S188</x:v>
      </x:c>
      <x:c r="D188" s="75" t="str">
        <x:v>SOURCE EMPTY</x:v>
      </x:c>
      <x:c r="E188" s="75" t="str">
        <x:f>IF('Warrant Ledger'!S188="SOURCE EMPTY","PASS","FAIL")</x:f>
        <x:v>PASS</x:v>
      </x:c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 ht="20" customHeight="1">
      <x:c r="A189" s="75" t="str">
        <x:v>WA-184</x:v>
      </x:c>
      <x:c r="B189" s="86" t="str">
        <x:v>Warrant source-empty baseline</x:v>
      </x:c>
      <x:c r="C189" s="75" t="str">
        <x:v>Warrant Ledger!S189</x:v>
      </x:c>
      <x:c r="D189" s="75" t="str">
        <x:v>SOURCE EMPTY</x:v>
      </x:c>
      <x:c r="E189" s="75" t="str">
        <x:f>IF('Warrant Ledger'!S189="SOURCE EMPTY","PASS","FAIL")</x:f>
        <x:v>PASS</x:v>
      </x:c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 ht="20" customHeight="1">
      <x:c r="A190" s="75" t="str">
        <x:v>WA-185</x:v>
      </x:c>
      <x:c r="B190" s="86" t="str">
        <x:v>Warrant source-empty baseline</x:v>
      </x:c>
      <x:c r="C190" s="75" t="str">
        <x:v>Warrant Ledger!S190</x:v>
      </x:c>
      <x:c r="D190" s="75" t="str">
        <x:v>SOURCE EMPTY</x:v>
      </x:c>
      <x:c r="E190" s="75" t="str">
        <x:f>IF('Warrant Ledger'!S190="SOURCE EMPTY","PASS","FAIL")</x:f>
        <x:v>PASS</x:v>
      </x:c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 ht="20" customHeight="1">
      <x:c r="A191" s="75" t="str">
        <x:v>WA-186</x:v>
      </x:c>
      <x:c r="B191" s="86" t="str">
        <x:v>Warrant source-empty baseline</x:v>
      </x:c>
      <x:c r="C191" s="75" t="str">
        <x:v>Warrant Ledger!S191</x:v>
      </x:c>
      <x:c r="D191" s="75" t="str">
        <x:v>SOURCE EMPTY</x:v>
      </x:c>
      <x:c r="E191" s="75" t="str">
        <x:f>IF('Warrant Ledger'!S191="SOURCE EMPTY","PASS","FAIL")</x:f>
        <x:v>PASS</x:v>
      </x:c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 ht="20" customHeight="1">
      <x:c r="A192" s="75" t="str">
        <x:v>WA-187</x:v>
      </x:c>
      <x:c r="B192" s="86" t="str">
        <x:v>Warrant source-empty baseline</x:v>
      </x:c>
      <x:c r="C192" s="75" t="str">
        <x:v>Warrant Ledger!S192</x:v>
      </x:c>
      <x:c r="D192" s="75" t="str">
        <x:v>SOURCE EMPTY</x:v>
      </x:c>
      <x:c r="E192" s="75" t="str">
        <x:f>IF('Warrant Ledger'!S192="SOURCE EMPTY","PASS","FAIL")</x:f>
        <x:v>PASS</x:v>
      </x:c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 ht="20" customHeight="1">
      <x:c r="A193" s="75" t="str">
        <x:v>WA-188</x:v>
      </x:c>
      <x:c r="B193" s="86" t="str">
        <x:v>Warrant source-empty baseline</x:v>
      </x:c>
      <x:c r="C193" s="75" t="str">
        <x:v>Warrant Ledger!S193</x:v>
      </x:c>
      <x:c r="D193" s="75" t="str">
        <x:v>SOURCE EMPTY</x:v>
      </x:c>
      <x:c r="E193" s="75" t="str">
        <x:f>IF('Warrant Ledger'!S193="SOURCE EMPTY","PASS","FAIL")</x:f>
        <x:v>PASS</x:v>
      </x:c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 ht="20" customHeight="1">
      <x:c r="A194" s="75" t="str">
        <x:v>WA-189</x:v>
      </x:c>
      <x:c r="B194" s="86" t="str">
        <x:v>Warrant source-empty baseline</x:v>
      </x:c>
      <x:c r="C194" s="75" t="str">
        <x:v>Warrant Ledger!S194</x:v>
      </x:c>
      <x:c r="D194" s="75" t="str">
        <x:v>SOURCE EMPTY</x:v>
      </x:c>
      <x:c r="E194" s="75" t="str">
        <x:f>IF('Warrant Ledger'!S194="SOURCE EMPTY","PASS","FAIL")</x:f>
        <x:v>PASS</x:v>
      </x:c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 ht="20" customHeight="1">
      <x:c r="A195" s="75" t="str">
        <x:v>WA-190</x:v>
      </x:c>
      <x:c r="B195" s="86" t="str">
        <x:v>Warrant source-empty baseline</x:v>
      </x:c>
      <x:c r="C195" s="75" t="str">
        <x:v>Warrant Ledger!S195</x:v>
      </x:c>
      <x:c r="D195" s="75" t="str">
        <x:v>SOURCE EMPTY</x:v>
      </x:c>
      <x:c r="E195" s="75" t="str">
        <x:f>IF('Warrant Ledger'!S195="SOURCE EMPTY","PASS","FAIL")</x:f>
        <x:v>PASS</x:v>
      </x:c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 ht="20" customHeight="1">
      <x:c r="A196" s="75" t="str">
        <x:v>WA-191</x:v>
      </x:c>
      <x:c r="B196" s="86" t="str">
        <x:v>Warrant source-empty baseline</x:v>
      </x:c>
      <x:c r="C196" s="75" t="str">
        <x:v>Warrant Ledger!S196</x:v>
      </x:c>
      <x:c r="D196" s="75" t="str">
        <x:v>SOURCE EMPTY</x:v>
      </x:c>
      <x:c r="E196" s="75" t="str">
        <x:f>IF('Warrant Ledger'!S196="SOURCE EMPTY","PASS","FAIL")</x:f>
        <x:v>PASS</x:v>
      </x:c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 ht="20" customHeight="1">
      <x:c r="A197" s="75" t="str">
        <x:v>WA-192</x:v>
      </x:c>
      <x:c r="B197" s="86" t="str">
        <x:v>Warrant source-empty baseline</x:v>
      </x:c>
      <x:c r="C197" s="75" t="str">
        <x:v>Warrant Ledger!S197</x:v>
      </x:c>
      <x:c r="D197" s="75" t="str">
        <x:v>SOURCE EMPTY</x:v>
      </x:c>
      <x:c r="E197" s="75" t="str">
        <x:f>IF('Warrant Ledger'!S197="SOURCE EMPTY","PASS","FAIL")</x:f>
        <x:v>PASS</x:v>
      </x:c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 ht="20" customHeight="1">
      <x:c r="A198" s="75" t="str">
        <x:v>WA-193</x:v>
      </x:c>
      <x:c r="B198" s="86" t="str">
        <x:v>Warrant source-empty baseline</x:v>
      </x:c>
      <x:c r="C198" s="75" t="str">
        <x:v>Warrant Ledger!S198</x:v>
      </x:c>
      <x:c r="D198" s="75" t="str">
        <x:v>SOURCE EMPTY</x:v>
      </x:c>
      <x:c r="E198" s="75" t="str">
        <x:f>IF('Warrant Ledger'!S198="SOURCE EMPTY","PASS","FAIL")</x:f>
        <x:v>PASS</x:v>
      </x:c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 ht="20" customHeight="1">
      <x:c r="A199" s="75" t="str">
        <x:v>WA-194</x:v>
      </x:c>
      <x:c r="B199" s="86" t="str">
        <x:v>Warrant source-empty baseline</x:v>
      </x:c>
      <x:c r="C199" s="75" t="str">
        <x:v>Warrant Ledger!S199</x:v>
      </x:c>
      <x:c r="D199" s="75" t="str">
        <x:v>SOURCE EMPTY</x:v>
      </x:c>
      <x:c r="E199" s="75" t="str">
        <x:f>IF('Warrant Ledger'!S199="SOURCE EMPTY","PASS","FAIL")</x:f>
        <x:v>PASS</x:v>
      </x:c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 ht="20" customHeight="1">
      <x:c r="A200" s="75" t="str">
        <x:v>WA-195</x:v>
      </x:c>
      <x:c r="B200" s="86" t="str">
        <x:v>Warrant source-empty baseline</x:v>
      </x:c>
      <x:c r="C200" s="75" t="str">
        <x:v>Warrant Ledger!S200</x:v>
      </x:c>
      <x:c r="D200" s="75" t="str">
        <x:v>SOURCE EMPTY</x:v>
      </x:c>
      <x:c r="E200" s="75" t="str">
        <x:f>IF('Warrant Ledger'!S200="SOURCE EMPTY","PASS","FAIL")</x:f>
        <x:v>PASS</x:v>
      </x:c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  <x:row r="201" ht="20" customHeight="1">
      <x:c r="A201" s="75" t="str">
        <x:v>WA-196</x:v>
      </x:c>
      <x:c r="B201" s="86" t="str">
        <x:v>Warrant source-empty baseline</x:v>
      </x:c>
      <x:c r="C201" s="75" t="str">
        <x:v>Warrant Ledger!S201</x:v>
      </x:c>
      <x:c r="D201" s="75" t="str">
        <x:v>SOURCE EMPTY</x:v>
      </x:c>
      <x:c r="E201" s="75" t="str">
        <x:f>IF('Warrant Ledger'!S201="SOURCE EMPTY","PASS","FAIL")</x:f>
        <x:v>PASS</x:v>
      </x:c>
      <x:c r="F201" s="75"/>
      <x:c r="G201" s="75"/>
      <x:c r="H201" s="75"/>
      <x:c r="I201" s="75"/>
      <x:c r="J201" s="75"/>
      <x:c r="K201" s="75"/>
      <x:c r="L201" s="75"/>
      <x:c r="M201" s="75"/>
      <x:c r="N201" s="75"/>
      <x:c r="O201" s="75"/>
      <x:c r="P201" s="75"/>
      <x:c r="Q201" s="75"/>
      <x:c r="R201" s="75"/>
      <x:c r="S201" s="75"/>
      <x:c r="T201" s="75"/>
      <x:c r="U201" s="75"/>
      <x:c r="V201" s="75"/>
      <x:c r="W201" s="75"/>
      <x:c r="X201" s="75"/>
      <x:c r="Y201" s="75"/>
      <x:c r="Z201" s="75"/>
    </x:row>
    <x:row r="202" ht="20" customHeight="1">
      <x:c r="A202" s="75" t="str">
        <x:v>WA-197</x:v>
      </x:c>
      <x:c r="B202" s="86" t="str">
        <x:v>Warrant source-empty baseline</x:v>
      </x:c>
      <x:c r="C202" s="75" t="str">
        <x:v>Warrant Ledger!S202</x:v>
      </x:c>
      <x:c r="D202" s="75" t="str">
        <x:v>SOURCE EMPTY</x:v>
      </x:c>
      <x:c r="E202" s="75" t="str">
        <x:f>IF('Warrant Ledger'!S202="SOURCE EMPTY","PASS","FAIL")</x:f>
        <x:v>PASS</x:v>
      </x:c>
      <x:c r="F202" s="75"/>
      <x:c r="G202" s="75"/>
      <x:c r="H202" s="75"/>
      <x:c r="I202" s="75"/>
      <x:c r="J202" s="75"/>
      <x:c r="K202" s="75"/>
      <x:c r="L202" s="75"/>
      <x:c r="M202" s="75"/>
      <x:c r="N202" s="75"/>
      <x:c r="O202" s="75"/>
      <x:c r="P202" s="75"/>
      <x:c r="Q202" s="75"/>
      <x:c r="R202" s="75"/>
      <x:c r="S202" s="75"/>
      <x:c r="T202" s="75"/>
      <x:c r="U202" s="75"/>
      <x:c r="V202" s="75"/>
      <x:c r="W202" s="75"/>
      <x:c r="X202" s="75"/>
      <x:c r="Y202" s="75"/>
      <x:c r="Z202" s="75"/>
    </x:row>
    <x:row r="203" ht="20" customHeight="1">
      <x:c r="A203" s="75" t="str">
        <x:v>WA-198</x:v>
      </x:c>
      <x:c r="B203" s="86" t="str">
        <x:v>Warrant source-empty baseline</x:v>
      </x:c>
      <x:c r="C203" s="75" t="str">
        <x:v>Warrant Ledger!S203</x:v>
      </x:c>
      <x:c r="D203" s="75" t="str">
        <x:v>SOURCE EMPTY</x:v>
      </x:c>
      <x:c r="E203" s="75" t="str">
        <x:f>IF('Warrant Ledger'!S203="SOURCE EMPTY","PASS","FAIL")</x:f>
        <x:v>PASS</x:v>
      </x:c>
      <x:c r="F203" s="75"/>
      <x:c r="G203" s="75"/>
      <x:c r="H203" s="75"/>
      <x:c r="I203" s="75"/>
      <x:c r="J203" s="75"/>
      <x:c r="K203" s="75"/>
      <x:c r="L203" s="75"/>
      <x:c r="M203" s="75"/>
      <x:c r="N203" s="75"/>
      <x:c r="O203" s="75"/>
      <x:c r="P203" s="75"/>
      <x:c r="Q203" s="75"/>
      <x:c r="R203" s="75"/>
      <x:c r="S203" s="75"/>
      <x:c r="T203" s="75"/>
      <x:c r="U203" s="75"/>
      <x:c r="V203" s="75"/>
      <x:c r="W203" s="75"/>
      <x:c r="X203" s="75"/>
      <x:c r="Y203" s="75"/>
      <x:c r="Z203" s="75"/>
    </x:row>
    <x:row r="204" ht="20" customHeight="1">
      <x:c r="A204" s="75" t="str">
        <x:v>WA-199</x:v>
      </x:c>
      <x:c r="B204" s="86" t="str">
        <x:v>Warrant source-empty baseline</x:v>
      </x:c>
      <x:c r="C204" s="75" t="str">
        <x:v>Warrant Ledger!S204</x:v>
      </x:c>
      <x:c r="D204" s="75" t="str">
        <x:v>SOURCE EMPTY</x:v>
      </x:c>
      <x:c r="E204" s="75" t="str">
        <x:f>IF('Warrant Ledger'!S204="SOURCE EMPTY","PASS","FAIL")</x:f>
        <x:v>PASS</x:v>
      </x:c>
      <x:c r="F204" s="75"/>
      <x:c r="G204" s="75"/>
      <x:c r="H204" s="75"/>
      <x:c r="I204" s="75"/>
      <x:c r="J204" s="75"/>
      <x:c r="K204" s="75"/>
      <x:c r="L204" s="75"/>
      <x:c r="M204" s="75"/>
      <x:c r="N204" s="75"/>
      <x:c r="O204" s="75"/>
      <x:c r="P204" s="75"/>
      <x:c r="Q204" s="75"/>
      <x:c r="R204" s="75"/>
      <x:c r="S204" s="75"/>
      <x:c r="T204" s="75"/>
      <x:c r="U204" s="75"/>
      <x:c r="V204" s="75"/>
      <x:c r="W204" s="75"/>
      <x:c r="X204" s="75"/>
      <x:c r="Y204" s="75"/>
      <x:c r="Z204" s="75"/>
    </x:row>
    <x:row r="205" ht="20" customHeight="1">
      <x:c r="A205" s="75" t="str">
        <x:v>WA-200</x:v>
      </x:c>
      <x:c r="B205" s="86" t="str">
        <x:v>Warrant source-empty baseline</x:v>
      </x:c>
      <x:c r="C205" s="75" t="str">
        <x:v>Warrant Ledger!S205</x:v>
      </x:c>
      <x:c r="D205" s="75" t="str">
        <x:v>SOURCE EMPTY</x:v>
      </x:c>
      <x:c r="E205" s="75" t="str">
        <x:f>IF('Warrant Ledger'!S205="SOURCE EMPTY","PASS","FAIL")</x:f>
        <x:v>PASS</x:v>
      </x:c>
      <x:c r="F205" s="75"/>
      <x:c r="G205" s="75"/>
      <x:c r="H205" s="75"/>
      <x:c r="I205" s="75"/>
      <x:c r="J205" s="75"/>
      <x:c r="K205" s="75"/>
      <x:c r="L205" s="75"/>
      <x:c r="M205" s="75"/>
      <x:c r="N205" s="75"/>
      <x:c r="O205" s="75"/>
      <x:c r="P205" s="75"/>
      <x:c r="Q205" s="75"/>
      <x:c r="R205" s="75"/>
      <x:c r="S205" s="75"/>
      <x:c r="T205" s="75"/>
      <x:c r="U205" s="75"/>
      <x:c r="V205" s="75"/>
      <x:c r="W205" s="75"/>
      <x:c r="X205" s="75"/>
      <x:c r="Y205" s="75"/>
      <x:c r="Z205" s="75"/>
    </x:row>
    <x:row r="206" ht="20" customHeight="1">
      <x:c r="A206" s="75" t="str">
        <x:v>WA-201</x:v>
      </x:c>
      <x:c r="B206" s="86" t="str">
        <x:v>Warrant source-empty baseline</x:v>
      </x:c>
      <x:c r="C206" s="75" t="str">
        <x:v>Warrant Ledger!S206</x:v>
      </x:c>
      <x:c r="D206" s="75" t="str">
        <x:v>SOURCE EMPTY</x:v>
      </x:c>
      <x:c r="E206" s="75" t="str">
        <x:f>IF('Warrant Ledger'!S206="SOURCE EMPTY","PASS","FAIL")</x:f>
        <x:v>PASS</x:v>
      </x:c>
      <x:c r="F206" s="75"/>
      <x:c r="G206" s="75"/>
      <x:c r="H206" s="75"/>
      <x:c r="I206" s="75"/>
      <x:c r="J206" s="75"/>
      <x:c r="K206" s="75"/>
      <x:c r="L206" s="75"/>
      <x:c r="M206" s="75"/>
      <x:c r="N206" s="75"/>
      <x:c r="O206" s="75"/>
      <x:c r="P206" s="75"/>
      <x:c r="Q206" s="75"/>
      <x:c r="R206" s="75"/>
      <x:c r="S206" s="75"/>
      <x:c r="T206" s="75"/>
      <x:c r="U206" s="75"/>
      <x:c r="V206" s="75"/>
      <x:c r="W206" s="75"/>
      <x:c r="X206" s="75"/>
      <x:c r="Y206" s="75"/>
      <x:c r="Z206" s="75"/>
    </x:row>
    <x:row r="207" ht="20" customHeight="1">
      <x:c r="A207" s="75" t="str">
        <x:v>WA-202</x:v>
      </x:c>
      <x:c r="B207" s="86" t="str">
        <x:v>Warrant source-empty baseline</x:v>
      </x:c>
      <x:c r="C207" s="75" t="str">
        <x:v>Warrant Ledger!S207</x:v>
      </x:c>
      <x:c r="D207" s="75" t="str">
        <x:v>SOURCE EMPTY</x:v>
      </x:c>
      <x:c r="E207" s="75" t="str">
        <x:f>IF('Warrant Ledger'!S207="SOURCE EMPTY","PASS","FAIL")</x:f>
        <x:v>PASS</x:v>
      </x:c>
      <x:c r="F207" s="75"/>
      <x:c r="G207" s="75"/>
      <x:c r="H207" s="75"/>
      <x:c r="I207" s="75"/>
      <x:c r="J207" s="75"/>
      <x:c r="K207" s="75"/>
      <x:c r="L207" s="75"/>
      <x:c r="M207" s="75"/>
      <x:c r="N207" s="75"/>
      <x:c r="O207" s="75"/>
      <x:c r="P207" s="75"/>
      <x:c r="Q207" s="75"/>
      <x:c r="R207" s="75"/>
      <x:c r="S207" s="75"/>
      <x:c r="T207" s="75"/>
      <x:c r="U207" s="75"/>
      <x:c r="V207" s="75"/>
      <x:c r="W207" s="75"/>
      <x:c r="X207" s="75"/>
      <x:c r="Y207" s="75"/>
      <x:c r="Z207" s="75"/>
    </x:row>
    <x:row r="208" ht="20" customHeight="1">
      <x:c r="A208" s="75" t="str">
        <x:v>WA-203</x:v>
      </x:c>
      <x:c r="B208" s="86" t="str">
        <x:v>Warrant source-empty baseline</x:v>
      </x:c>
      <x:c r="C208" s="75" t="str">
        <x:v>Warrant Ledger!S208</x:v>
      </x:c>
      <x:c r="D208" s="75" t="str">
        <x:v>SOURCE EMPTY</x:v>
      </x:c>
      <x:c r="E208" s="75" t="str">
        <x:f>IF('Warrant Ledger'!S208="SOURCE EMPTY","PASS","FAIL")</x:f>
        <x:v>PASS</x:v>
      </x:c>
      <x:c r="F208" s="75"/>
      <x:c r="G208" s="75"/>
      <x:c r="H208" s="75"/>
      <x:c r="I208" s="75"/>
      <x:c r="J208" s="75"/>
      <x:c r="K208" s="75"/>
      <x:c r="L208" s="75"/>
      <x:c r="M208" s="75"/>
      <x:c r="N208" s="75"/>
      <x:c r="O208" s="75"/>
      <x:c r="P208" s="75"/>
      <x:c r="Q208" s="75"/>
      <x:c r="R208" s="75"/>
      <x:c r="S208" s="75"/>
      <x:c r="T208" s="75"/>
      <x:c r="U208" s="75"/>
      <x:c r="V208" s="75"/>
      <x:c r="W208" s="75"/>
      <x:c r="X208" s="75"/>
      <x:c r="Y208" s="75"/>
      <x:c r="Z208" s="75"/>
    </x:row>
    <x:row r="209" ht="20" customHeight="1">
      <x:c r="A209" s="75" t="str">
        <x:v>WA-204</x:v>
      </x:c>
      <x:c r="B209" s="86" t="str">
        <x:v>Warrant source-empty baseline</x:v>
      </x:c>
      <x:c r="C209" s="75" t="str">
        <x:v>Warrant Ledger!S209</x:v>
      </x:c>
      <x:c r="D209" s="75" t="str">
        <x:v>SOURCE EMPTY</x:v>
      </x:c>
      <x:c r="E209" s="75" t="str">
        <x:f>IF('Warrant Ledger'!S209="SOURCE EMPTY","PASS","FAIL")</x:f>
        <x:v>PASS</x:v>
      </x:c>
      <x:c r="F209" s="75"/>
      <x:c r="G209" s="75"/>
      <x:c r="H209" s="75"/>
      <x:c r="I209" s="75"/>
      <x:c r="J209" s="75"/>
      <x:c r="K209" s="75"/>
      <x:c r="L209" s="75"/>
      <x:c r="M209" s="75"/>
      <x:c r="N209" s="75"/>
      <x:c r="O209" s="75"/>
      <x:c r="P209" s="75"/>
      <x:c r="Q209" s="75"/>
      <x:c r="R209" s="75"/>
      <x:c r="S209" s="75"/>
      <x:c r="T209" s="75"/>
      <x:c r="U209" s="75"/>
      <x:c r="V209" s="75"/>
      <x:c r="W209" s="75"/>
      <x:c r="X209" s="75"/>
      <x:c r="Y209" s="75"/>
      <x:c r="Z209" s="75"/>
    </x:row>
    <x:row r="210" ht="20" customHeight="1">
      <x:c r="A210" s="75" t="str">
        <x:v>WA-205</x:v>
      </x:c>
      <x:c r="B210" s="86" t="str">
        <x:v>Warrant source-empty baseline</x:v>
      </x:c>
      <x:c r="C210" s="75" t="str">
        <x:v>Warrant Ledger!S210</x:v>
      </x:c>
      <x:c r="D210" s="75" t="str">
        <x:v>SOURCE EMPTY</x:v>
      </x:c>
      <x:c r="E210" s="75" t="str">
        <x:f>IF('Warrant Ledger'!S210="SOURCE EMPTY","PASS","FAIL")</x:f>
        <x:v>PASS</x:v>
      </x:c>
      <x:c r="F210" s="75"/>
      <x:c r="G210" s="75"/>
      <x:c r="H210" s="75"/>
      <x:c r="I210" s="75"/>
      <x:c r="J210" s="75"/>
      <x:c r="K210" s="75"/>
      <x:c r="L210" s="75"/>
      <x:c r="M210" s="75"/>
      <x:c r="N210" s="75"/>
      <x:c r="O210" s="75"/>
      <x:c r="P210" s="75"/>
      <x:c r="Q210" s="75"/>
      <x:c r="R210" s="75"/>
      <x:c r="S210" s="75"/>
      <x:c r="T210" s="75"/>
      <x:c r="U210" s="75"/>
      <x:c r="V210" s="75"/>
      <x:c r="W210" s="75"/>
      <x:c r="X210" s="75"/>
      <x:c r="Y210" s="75"/>
      <x:c r="Z210" s="75"/>
    </x:row>
    <x:row r="211" ht="20" customHeight="1">
      <x:c r="A211" s="75" t="str">
        <x:v>WA-206</x:v>
      </x:c>
      <x:c r="B211" s="86" t="str">
        <x:v>Warrant source-empty baseline</x:v>
      </x:c>
      <x:c r="C211" s="75" t="str">
        <x:v>Warrant Ledger!S211</x:v>
      </x:c>
      <x:c r="D211" s="75" t="str">
        <x:v>SOURCE EMPTY</x:v>
      </x:c>
      <x:c r="E211" s="75" t="str">
        <x:f>IF('Warrant Ledger'!S211="SOURCE EMPTY","PASS","FAIL")</x:f>
        <x:v>PASS</x:v>
      </x:c>
      <x:c r="F211" s="75"/>
      <x:c r="G211" s="75"/>
      <x:c r="H211" s="75"/>
      <x:c r="I211" s="75"/>
      <x:c r="J211" s="75"/>
      <x:c r="K211" s="75"/>
      <x:c r="L211" s="75"/>
      <x:c r="M211" s="75"/>
      <x:c r="N211" s="75"/>
      <x:c r="O211" s="75"/>
      <x:c r="P211" s="75"/>
      <x:c r="Q211" s="75"/>
      <x:c r="R211" s="75"/>
      <x:c r="S211" s="75"/>
      <x:c r="T211" s="75"/>
      <x:c r="U211" s="75"/>
      <x:c r="V211" s="75"/>
      <x:c r="W211" s="75"/>
      <x:c r="X211" s="75"/>
      <x:c r="Y211" s="75"/>
      <x:c r="Z211" s="75"/>
    </x:row>
    <x:row r="212" ht="20" customHeight="1">
      <x:c r="A212" s="75" t="str">
        <x:v>WA-207</x:v>
      </x:c>
      <x:c r="B212" s="86" t="str">
        <x:v>Warrant source-empty baseline</x:v>
      </x:c>
      <x:c r="C212" s="75" t="str">
        <x:v>Warrant Ledger!S212</x:v>
      </x:c>
      <x:c r="D212" s="75" t="str">
        <x:v>SOURCE EMPTY</x:v>
      </x:c>
      <x:c r="E212" s="75" t="str">
        <x:f>IF('Warrant Ledger'!S212="SOURCE EMPTY","PASS","FAIL")</x:f>
        <x:v>PASS</x:v>
      </x:c>
      <x:c r="F212" s="75"/>
      <x:c r="G212" s="75"/>
      <x:c r="H212" s="75"/>
      <x:c r="I212" s="75"/>
      <x:c r="J212" s="75"/>
      <x:c r="K212" s="75"/>
      <x:c r="L212" s="75"/>
      <x:c r="M212" s="75"/>
      <x:c r="N212" s="75"/>
      <x:c r="O212" s="75"/>
      <x:c r="P212" s="75"/>
      <x:c r="Q212" s="75"/>
      <x:c r="R212" s="75"/>
      <x:c r="S212" s="75"/>
      <x:c r="T212" s="75"/>
      <x:c r="U212" s="75"/>
      <x:c r="V212" s="75"/>
      <x:c r="W212" s="75"/>
      <x:c r="X212" s="75"/>
      <x:c r="Y212" s="75"/>
      <x:c r="Z212" s="75"/>
    </x:row>
    <x:row r="213" ht="20" customHeight="1">
      <x:c r="A213" s="75" t="str">
        <x:v>WA-208</x:v>
      </x:c>
      <x:c r="B213" s="86" t="str">
        <x:v>Warrant source-empty baseline</x:v>
      </x:c>
      <x:c r="C213" s="75" t="str">
        <x:v>Warrant Ledger!S213</x:v>
      </x:c>
      <x:c r="D213" s="75" t="str">
        <x:v>SOURCE EMPTY</x:v>
      </x:c>
      <x:c r="E213" s="75" t="str">
        <x:f>IF('Warrant Ledger'!S213="SOURCE EMPTY","PASS","FAIL")</x:f>
        <x:v>PASS</x:v>
      </x:c>
      <x:c r="F213" s="75"/>
      <x:c r="G213" s="75"/>
      <x:c r="H213" s="75"/>
      <x:c r="I213" s="75"/>
      <x:c r="J213" s="75"/>
      <x:c r="K213" s="75"/>
      <x:c r="L213" s="75"/>
      <x:c r="M213" s="75"/>
      <x:c r="N213" s="75"/>
      <x:c r="O213" s="75"/>
      <x:c r="P213" s="75"/>
      <x:c r="Q213" s="75"/>
      <x:c r="R213" s="75"/>
      <x:c r="S213" s="75"/>
      <x:c r="T213" s="75"/>
      <x:c r="U213" s="75"/>
      <x:c r="V213" s="75"/>
      <x:c r="W213" s="75"/>
      <x:c r="X213" s="75"/>
      <x:c r="Y213" s="75"/>
      <x:c r="Z213" s="75"/>
    </x:row>
    <x:row r="214" ht="20" customHeight="1">
      <x:c r="A214" s="75" t="str">
        <x:v>WA-209</x:v>
      </x:c>
      <x:c r="B214" s="86" t="str">
        <x:v>Warrant source-empty baseline</x:v>
      </x:c>
      <x:c r="C214" s="75" t="str">
        <x:v>Warrant Ledger!S214</x:v>
      </x:c>
      <x:c r="D214" s="75" t="str">
        <x:v>SOURCE EMPTY</x:v>
      </x:c>
      <x:c r="E214" s="75" t="str">
        <x:f>IF('Warrant Ledger'!S214="SOURCE EMPTY","PASS","FAIL")</x:f>
        <x:v>PASS</x:v>
      </x:c>
      <x:c r="F214" s="75"/>
      <x:c r="G214" s="75"/>
      <x:c r="H214" s="75"/>
      <x:c r="I214" s="75"/>
      <x:c r="J214" s="75"/>
      <x:c r="K214" s="75"/>
      <x:c r="L214" s="75"/>
      <x:c r="M214" s="75"/>
      <x:c r="N214" s="75"/>
      <x:c r="O214" s="75"/>
      <x:c r="P214" s="75"/>
      <x:c r="Q214" s="75"/>
      <x:c r="R214" s="75"/>
      <x:c r="S214" s="75"/>
      <x:c r="T214" s="75"/>
      <x:c r="U214" s="75"/>
      <x:c r="V214" s="75"/>
      <x:c r="W214" s="75"/>
      <x:c r="X214" s="75"/>
      <x:c r="Y214" s="75"/>
      <x:c r="Z214" s="75"/>
    </x:row>
    <x:row r="215" ht="20" customHeight="1">
      <x:c r="A215" s="75" t="str">
        <x:v>WA-210</x:v>
      </x:c>
      <x:c r="B215" s="86" t="str">
        <x:v>Warrant source-empty baseline</x:v>
      </x:c>
      <x:c r="C215" s="75" t="str">
        <x:v>Warrant Ledger!S215</x:v>
      </x:c>
      <x:c r="D215" s="75" t="str">
        <x:v>SOURCE EMPTY</x:v>
      </x:c>
      <x:c r="E215" s="75" t="str">
        <x:f>IF('Warrant Ledger'!S215="SOURCE EMPTY","PASS","FAIL")</x:f>
        <x:v>PASS</x:v>
      </x:c>
      <x:c r="F215" s="75"/>
      <x:c r="G215" s="75"/>
      <x:c r="H215" s="75"/>
      <x:c r="I215" s="75"/>
      <x:c r="J215" s="75"/>
      <x:c r="K215" s="75"/>
      <x:c r="L215" s="75"/>
      <x:c r="M215" s="75"/>
      <x:c r="N215" s="75"/>
      <x:c r="O215" s="75"/>
      <x:c r="P215" s="75"/>
      <x:c r="Q215" s="75"/>
      <x:c r="R215" s="75"/>
      <x:c r="S215" s="75"/>
      <x:c r="T215" s="75"/>
      <x:c r="U215" s="75"/>
      <x:c r="V215" s="75"/>
      <x:c r="W215" s="75"/>
      <x:c r="X215" s="75"/>
      <x:c r="Y215" s="75"/>
      <x:c r="Z215" s="75"/>
    </x:row>
    <x:row r="216" ht="20" customHeight="1">
      <x:c r="A216" s="75" t="str">
        <x:v>WA-211</x:v>
      </x:c>
      <x:c r="B216" s="86" t="str">
        <x:v>Warrant source-empty baseline</x:v>
      </x:c>
      <x:c r="C216" s="75" t="str">
        <x:v>Warrant Ledger!S216</x:v>
      </x:c>
      <x:c r="D216" s="75" t="str">
        <x:v>SOURCE EMPTY</x:v>
      </x:c>
      <x:c r="E216" s="75" t="str">
        <x:f>IF('Warrant Ledger'!S216="SOURCE EMPTY","PASS","FAIL")</x:f>
        <x:v>PASS</x:v>
      </x:c>
      <x:c r="F216" s="75"/>
      <x:c r="G216" s="75"/>
      <x:c r="H216" s="75"/>
      <x:c r="I216" s="75"/>
      <x:c r="J216" s="75"/>
      <x:c r="K216" s="75"/>
      <x:c r="L216" s="75"/>
      <x:c r="M216" s="75"/>
      <x:c r="N216" s="75"/>
      <x:c r="O216" s="75"/>
      <x:c r="P216" s="75"/>
      <x:c r="Q216" s="75"/>
      <x:c r="R216" s="75"/>
      <x:c r="S216" s="75"/>
      <x:c r="T216" s="75"/>
      <x:c r="U216" s="75"/>
      <x:c r="V216" s="75"/>
      <x:c r="W216" s="75"/>
      <x:c r="X216" s="75"/>
      <x:c r="Y216" s="75"/>
      <x:c r="Z216" s="75"/>
    </x:row>
    <x:row r="217" ht="20" customHeight="1">
      <x:c r="A217" s="75" t="str">
        <x:v>WA-212</x:v>
      </x:c>
      <x:c r="B217" s="86" t="str">
        <x:v>Warrant source-empty baseline</x:v>
      </x:c>
      <x:c r="C217" s="75" t="str">
        <x:v>Warrant Ledger!S217</x:v>
      </x:c>
      <x:c r="D217" s="75" t="str">
        <x:v>SOURCE EMPTY</x:v>
      </x:c>
      <x:c r="E217" s="75" t="str">
        <x:f>IF('Warrant Ledger'!S217="SOURCE EMPTY","PASS","FAIL")</x:f>
        <x:v>PASS</x:v>
      </x:c>
      <x:c r="F217" s="75"/>
      <x:c r="G217" s="75"/>
      <x:c r="H217" s="75"/>
      <x:c r="I217" s="75"/>
      <x:c r="J217" s="75"/>
      <x:c r="K217" s="75"/>
      <x:c r="L217" s="75"/>
      <x:c r="M217" s="75"/>
      <x:c r="N217" s="75"/>
      <x:c r="O217" s="75"/>
      <x:c r="P217" s="75"/>
      <x:c r="Q217" s="75"/>
      <x:c r="R217" s="75"/>
      <x:c r="S217" s="75"/>
      <x:c r="T217" s="75"/>
      <x:c r="U217" s="75"/>
      <x:c r="V217" s="75"/>
      <x:c r="W217" s="75"/>
      <x:c r="X217" s="75"/>
      <x:c r="Y217" s="75"/>
      <x:c r="Z217" s="75"/>
    </x:row>
    <x:row r="218" ht="20" customHeight="1">
      <x:c r="A218" s="75" t="str">
        <x:v>WA-213</x:v>
      </x:c>
      <x:c r="B218" s="86" t="str">
        <x:v>Warrant source-empty baseline</x:v>
      </x:c>
      <x:c r="C218" s="75" t="str">
        <x:v>Warrant Ledger!S218</x:v>
      </x:c>
      <x:c r="D218" s="75" t="str">
        <x:v>SOURCE EMPTY</x:v>
      </x:c>
      <x:c r="E218" s="75" t="str">
        <x:f>IF('Warrant Ledger'!S218="SOURCE EMPTY","PASS","FAIL")</x:f>
        <x:v>PASS</x:v>
      </x:c>
      <x:c r="F218" s="75"/>
      <x:c r="G218" s="75"/>
      <x:c r="H218" s="75"/>
      <x:c r="I218" s="75"/>
      <x:c r="J218" s="75"/>
      <x:c r="K218" s="75"/>
      <x:c r="L218" s="75"/>
      <x:c r="M218" s="75"/>
      <x:c r="N218" s="75"/>
      <x:c r="O218" s="75"/>
      <x:c r="P218" s="75"/>
      <x:c r="Q218" s="75"/>
      <x:c r="R218" s="75"/>
      <x:c r="S218" s="75"/>
      <x:c r="T218" s="75"/>
      <x:c r="U218" s="75"/>
      <x:c r="V218" s="75"/>
      <x:c r="W218" s="75"/>
      <x:c r="X218" s="75"/>
      <x:c r="Y218" s="75"/>
      <x:c r="Z218" s="75"/>
    </x:row>
    <x:row r="219" ht="20" customHeight="1">
      <x:c r="A219" s="75" t="str">
        <x:v>WA-214</x:v>
      </x:c>
      <x:c r="B219" s="86" t="str">
        <x:v>Warrant source-empty baseline</x:v>
      </x:c>
      <x:c r="C219" s="75" t="str">
        <x:v>Warrant Ledger!S219</x:v>
      </x:c>
      <x:c r="D219" s="75" t="str">
        <x:v>SOURCE EMPTY</x:v>
      </x:c>
      <x:c r="E219" s="75" t="str">
        <x:f>IF('Warrant Ledger'!S219="SOURCE EMPTY","PASS","FAIL")</x:f>
        <x:v>PASS</x:v>
      </x:c>
      <x:c r="F219" s="75"/>
      <x:c r="G219" s="75"/>
      <x:c r="H219" s="75"/>
      <x:c r="I219" s="75"/>
      <x:c r="J219" s="75"/>
      <x:c r="K219" s="75"/>
      <x:c r="L219" s="75"/>
      <x:c r="M219" s="75"/>
      <x:c r="N219" s="75"/>
      <x:c r="O219" s="75"/>
      <x:c r="P219" s="75"/>
      <x:c r="Q219" s="75"/>
      <x:c r="R219" s="75"/>
      <x:c r="S219" s="75"/>
      <x:c r="T219" s="75"/>
      <x:c r="U219" s="75"/>
      <x:c r="V219" s="75"/>
      <x:c r="W219" s="75"/>
      <x:c r="X219" s="75"/>
      <x:c r="Y219" s="75"/>
      <x:c r="Z219" s="75"/>
    </x:row>
    <x:row r="220" ht="20" customHeight="1">
      <x:c r="A220" s="75" t="str">
        <x:v>WA-215</x:v>
      </x:c>
      <x:c r="B220" s="86" t="str">
        <x:v>Warrant source-empty baseline</x:v>
      </x:c>
      <x:c r="C220" s="75" t="str">
        <x:v>Warrant Ledger!S220</x:v>
      </x:c>
      <x:c r="D220" s="75" t="str">
        <x:v>SOURCE EMPTY</x:v>
      </x:c>
      <x:c r="E220" s="75" t="str">
        <x:f>IF('Warrant Ledger'!S220="SOURCE EMPTY","PASS","FAIL")</x:f>
        <x:v>PASS</x:v>
      </x:c>
      <x:c r="F220" s="75"/>
      <x:c r="G220" s="75"/>
      <x:c r="H220" s="75"/>
      <x:c r="I220" s="75"/>
      <x:c r="J220" s="75"/>
      <x:c r="K220" s="75"/>
      <x:c r="L220" s="75"/>
      <x:c r="M220" s="75"/>
      <x:c r="N220" s="75"/>
      <x:c r="O220" s="75"/>
      <x:c r="P220" s="75"/>
      <x:c r="Q220" s="75"/>
      <x:c r="R220" s="75"/>
      <x:c r="S220" s="75"/>
      <x:c r="T220" s="75"/>
      <x:c r="U220" s="75"/>
      <x:c r="V220" s="75"/>
      <x:c r="W220" s="75"/>
      <x:c r="X220" s="75"/>
      <x:c r="Y220" s="75"/>
      <x:c r="Z220" s="75"/>
    </x:row>
    <x:row r="221" ht="20" customHeight="1">
      <x:c r="A221" s="75" t="str">
        <x:v>WA-216</x:v>
      </x:c>
      <x:c r="B221" s="86" t="str">
        <x:v>Warrant source-empty baseline</x:v>
      </x:c>
      <x:c r="C221" s="75" t="str">
        <x:v>Warrant Ledger!S221</x:v>
      </x:c>
      <x:c r="D221" s="75" t="str">
        <x:v>SOURCE EMPTY</x:v>
      </x:c>
      <x:c r="E221" s="75" t="str">
        <x:f>IF('Warrant Ledger'!S221="SOURCE EMPTY","PASS","FAIL")</x:f>
        <x:v>PASS</x:v>
      </x:c>
      <x:c r="F221" s="75"/>
      <x:c r="G221" s="75"/>
      <x:c r="H221" s="75"/>
      <x:c r="I221" s="75"/>
      <x:c r="J221" s="75"/>
      <x:c r="K221" s="75"/>
      <x:c r="L221" s="75"/>
      <x:c r="M221" s="75"/>
      <x:c r="N221" s="75"/>
      <x:c r="O221" s="75"/>
      <x:c r="P221" s="75"/>
      <x:c r="Q221" s="75"/>
      <x:c r="R221" s="75"/>
      <x:c r="S221" s="75"/>
      <x:c r="T221" s="75"/>
      <x:c r="U221" s="75"/>
      <x:c r="V221" s="75"/>
      <x:c r="W221" s="75"/>
      <x:c r="X221" s="75"/>
      <x:c r="Y221" s="75"/>
      <x:c r="Z221" s="75"/>
    </x:row>
    <x:row r="222" ht="20" customHeight="1">
      <x:c r="A222" s="75" t="str">
        <x:v>WA-217</x:v>
      </x:c>
      <x:c r="B222" s="86" t="str">
        <x:v>Warrant source-empty baseline</x:v>
      </x:c>
      <x:c r="C222" s="75" t="str">
        <x:v>Warrant Ledger!S222</x:v>
      </x:c>
      <x:c r="D222" s="75" t="str">
        <x:v>SOURCE EMPTY</x:v>
      </x:c>
      <x:c r="E222" s="75" t="str">
        <x:f>IF('Warrant Ledger'!S222="SOURCE EMPTY","PASS","FAIL")</x:f>
        <x:v>PASS</x:v>
      </x:c>
      <x:c r="F222" s="75"/>
      <x:c r="G222" s="75"/>
      <x:c r="H222" s="75"/>
      <x:c r="I222" s="75"/>
      <x:c r="J222" s="75"/>
      <x:c r="K222" s="75"/>
      <x:c r="L222" s="75"/>
      <x:c r="M222" s="75"/>
      <x:c r="N222" s="75"/>
      <x:c r="O222" s="75"/>
      <x:c r="P222" s="75"/>
      <x:c r="Q222" s="75"/>
      <x:c r="R222" s="75"/>
      <x:c r="S222" s="75"/>
      <x:c r="T222" s="75"/>
      <x:c r="U222" s="75"/>
      <x:c r="V222" s="75"/>
      <x:c r="W222" s="75"/>
      <x:c r="X222" s="75"/>
      <x:c r="Y222" s="75"/>
      <x:c r="Z222" s="75"/>
    </x:row>
    <x:row r="223" ht="20" customHeight="1">
      <x:c r="A223" s="75" t="str">
        <x:v>WA-218</x:v>
      </x:c>
      <x:c r="B223" s="86" t="str">
        <x:v>Warrant source-empty baseline</x:v>
      </x:c>
      <x:c r="C223" s="75" t="str">
        <x:v>Warrant Ledger!S223</x:v>
      </x:c>
      <x:c r="D223" s="75" t="str">
        <x:v>SOURCE EMPTY</x:v>
      </x:c>
      <x:c r="E223" s="75" t="str">
        <x:f>IF('Warrant Ledger'!S223="SOURCE EMPTY","PASS","FAIL")</x:f>
        <x:v>PASS</x:v>
      </x:c>
      <x:c r="F223" s="75"/>
      <x:c r="G223" s="75"/>
      <x:c r="H223" s="75"/>
      <x:c r="I223" s="75"/>
      <x:c r="J223" s="75"/>
      <x:c r="K223" s="75"/>
      <x:c r="L223" s="75"/>
      <x:c r="M223" s="75"/>
      <x:c r="N223" s="75"/>
      <x:c r="O223" s="75"/>
      <x:c r="P223" s="75"/>
      <x:c r="Q223" s="75"/>
      <x:c r="R223" s="75"/>
      <x:c r="S223" s="75"/>
      <x:c r="T223" s="75"/>
      <x:c r="U223" s="75"/>
      <x:c r="V223" s="75"/>
      <x:c r="W223" s="75"/>
      <x:c r="X223" s="75"/>
      <x:c r="Y223" s="75"/>
      <x:c r="Z223" s="75"/>
    </x:row>
    <x:row r="224" ht="20" customHeight="1">
      <x:c r="A224" s="75" t="str">
        <x:v>WA-219</x:v>
      </x:c>
      <x:c r="B224" s="86" t="str">
        <x:v>Warrant source-empty baseline</x:v>
      </x:c>
      <x:c r="C224" s="75" t="str">
        <x:v>Warrant Ledger!S224</x:v>
      </x:c>
      <x:c r="D224" s="75" t="str">
        <x:v>SOURCE EMPTY</x:v>
      </x:c>
      <x:c r="E224" s="75" t="str">
        <x:f>IF('Warrant Ledger'!S224="SOURCE EMPTY","PASS","FAIL")</x:f>
        <x:v>PASS</x:v>
      </x:c>
      <x:c r="F224" s="75"/>
      <x:c r="G224" s="75"/>
      <x:c r="H224" s="75"/>
      <x:c r="I224" s="75"/>
      <x:c r="J224" s="75"/>
      <x:c r="K224" s="75"/>
      <x:c r="L224" s="75"/>
      <x:c r="M224" s="75"/>
      <x:c r="N224" s="75"/>
      <x:c r="O224" s="75"/>
      <x:c r="P224" s="75"/>
      <x:c r="Q224" s="75"/>
      <x:c r="R224" s="75"/>
      <x:c r="S224" s="75"/>
      <x:c r="T224" s="75"/>
      <x:c r="U224" s="75"/>
      <x:c r="V224" s="75"/>
      <x:c r="W224" s="75"/>
      <x:c r="X224" s="75"/>
      <x:c r="Y224" s="75"/>
      <x:c r="Z224" s="75"/>
    </x:row>
    <x:row r="225" ht="20" customHeight="1">
      <x:c r="A225" s="75" t="str">
        <x:v>WA-220</x:v>
      </x:c>
      <x:c r="B225" s="86" t="str">
        <x:v>Warrant source-empty baseline</x:v>
      </x:c>
      <x:c r="C225" s="75" t="str">
        <x:v>Warrant Ledger!S225</x:v>
      </x:c>
      <x:c r="D225" s="75" t="str">
        <x:v>SOURCE EMPTY</x:v>
      </x:c>
      <x:c r="E225" s="75" t="str">
        <x:f>IF('Warrant Ledger'!S225="SOURCE EMPTY","PASS","FAIL")</x:f>
        <x:v>PASS</x:v>
      </x:c>
      <x:c r="F225" s="75"/>
      <x:c r="G225" s="75"/>
      <x:c r="H225" s="75"/>
      <x:c r="I225" s="75"/>
      <x:c r="J225" s="75"/>
      <x:c r="K225" s="75"/>
      <x:c r="L225" s="75"/>
      <x:c r="M225" s="75"/>
      <x:c r="N225" s="75"/>
      <x:c r="O225" s="75"/>
      <x:c r="P225" s="75"/>
      <x:c r="Q225" s="75"/>
      <x:c r="R225" s="75"/>
      <x:c r="S225" s="75"/>
      <x:c r="T225" s="75"/>
      <x:c r="U225" s="75"/>
      <x:c r="V225" s="75"/>
      <x:c r="W225" s="75"/>
      <x:c r="X225" s="75"/>
      <x:c r="Y225" s="75"/>
      <x:c r="Z225" s="75"/>
    </x:row>
    <x:row r="226" ht="20" customHeight="1">
      <x:c r="A226" s="75" t="str">
        <x:v>WA-221</x:v>
      </x:c>
      <x:c r="B226" s="86" t="str">
        <x:v>Warrant source-empty baseline</x:v>
      </x:c>
      <x:c r="C226" s="75" t="str">
        <x:v>Warrant Ledger!S226</x:v>
      </x:c>
      <x:c r="D226" s="75" t="str">
        <x:v>SOURCE EMPTY</x:v>
      </x:c>
      <x:c r="E226" s="75" t="str">
        <x:f>IF('Warrant Ledger'!S226="SOURCE EMPTY","PASS","FAIL")</x:f>
        <x:v>PASS</x:v>
      </x:c>
      <x:c r="F226" s="75"/>
      <x:c r="G226" s="75"/>
      <x:c r="H226" s="75"/>
      <x:c r="I226" s="75"/>
      <x:c r="J226" s="75"/>
      <x:c r="K226" s="75"/>
      <x:c r="L226" s="75"/>
      <x:c r="M226" s="75"/>
      <x:c r="N226" s="75"/>
      <x:c r="O226" s="75"/>
      <x:c r="P226" s="75"/>
      <x:c r="Q226" s="75"/>
      <x:c r="R226" s="75"/>
      <x:c r="S226" s="75"/>
      <x:c r="T226" s="75"/>
      <x:c r="U226" s="75"/>
      <x:c r="V226" s="75"/>
      <x:c r="W226" s="75"/>
      <x:c r="X226" s="75"/>
      <x:c r="Y226" s="75"/>
      <x:c r="Z226" s="75"/>
    </x:row>
    <x:row r="227" ht="20" customHeight="1">
      <x:c r="A227" s="75" t="str">
        <x:v>WA-222</x:v>
      </x:c>
      <x:c r="B227" s="86" t="str">
        <x:v>Warrant source-empty baseline</x:v>
      </x:c>
      <x:c r="C227" s="75" t="str">
        <x:v>Warrant Ledger!S227</x:v>
      </x:c>
      <x:c r="D227" s="75" t="str">
        <x:v>SOURCE EMPTY</x:v>
      </x:c>
      <x:c r="E227" s="75" t="str">
        <x:f>IF('Warrant Ledger'!S227="SOURCE EMPTY","PASS","FAIL")</x:f>
        <x:v>PASS</x:v>
      </x:c>
      <x:c r="F227" s="75"/>
      <x:c r="G227" s="75"/>
      <x:c r="H227" s="75"/>
      <x:c r="I227" s="75"/>
      <x:c r="J227" s="75"/>
      <x:c r="K227" s="75"/>
      <x:c r="L227" s="75"/>
      <x:c r="M227" s="75"/>
      <x:c r="N227" s="75"/>
      <x:c r="O227" s="75"/>
      <x:c r="P227" s="75"/>
      <x:c r="Q227" s="75"/>
      <x:c r="R227" s="75"/>
      <x:c r="S227" s="75"/>
      <x:c r="T227" s="75"/>
      <x:c r="U227" s="75"/>
      <x:c r="V227" s="75"/>
      <x:c r="W227" s="75"/>
      <x:c r="X227" s="75"/>
      <x:c r="Y227" s="75"/>
      <x:c r="Z227" s="75"/>
    </x:row>
    <x:row r="228" ht="20" customHeight="1">
      <x:c r="A228" s="75" t="str">
        <x:v>WA-223</x:v>
      </x:c>
      <x:c r="B228" s="86" t="str">
        <x:v>Warrant source-empty baseline</x:v>
      </x:c>
      <x:c r="C228" s="75" t="str">
        <x:v>Warrant Ledger!S228</x:v>
      </x:c>
      <x:c r="D228" s="75" t="str">
        <x:v>SOURCE EMPTY</x:v>
      </x:c>
      <x:c r="E228" s="75" t="str">
        <x:f>IF('Warrant Ledger'!S228="SOURCE EMPTY","PASS","FAIL")</x:f>
        <x:v>PASS</x:v>
      </x:c>
      <x:c r="F228" s="75"/>
      <x:c r="G228" s="75"/>
      <x:c r="H228" s="75"/>
      <x:c r="I228" s="75"/>
      <x:c r="J228" s="75"/>
      <x:c r="K228" s="75"/>
      <x:c r="L228" s="75"/>
      <x:c r="M228" s="75"/>
      <x:c r="N228" s="75"/>
      <x:c r="O228" s="75"/>
      <x:c r="P228" s="75"/>
      <x:c r="Q228" s="75"/>
      <x:c r="R228" s="75"/>
      <x:c r="S228" s="75"/>
      <x:c r="T228" s="75"/>
      <x:c r="U228" s="75"/>
      <x:c r="V228" s="75"/>
      <x:c r="W228" s="75"/>
      <x:c r="X228" s="75"/>
      <x:c r="Y228" s="75"/>
      <x:c r="Z228" s="75"/>
    </x:row>
    <x:row r="229" ht="20" customHeight="1">
      <x:c r="A229" s="75" t="str">
        <x:v>WA-224</x:v>
      </x:c>
      <x:c r="B229" s="86" t="str">
        <x:v>Warrant source-empty baseline</x:v>
      </x:c>
      <x:c r="C229" s="75" t="str">
        <x:v>Warrant Ledger!S229</x:v>
      </x:c>
      <x:c r="D229" s="75" t="str">
        <x:v>SOURCE EMPTY</x:v>
      </x:c>
      <x:c r="E229" s="75" t="str">
        <x:f>IF('Warrant Ledger'!S229="SOURCE EMPTY","PASS","FAIL")</x:f>
        <x:v>PASS</x:v>
      </x:c>
      <x:c r="F229" s="75"/>
      <x:c r="G229" s="75"/>
      <x:c r="H229" s="75"/>
      <x:c r="I229" s="75"/>
      <x:c r="J229" s="75"/>
      <x:c r="K229" s="75"/>
      <x:c r="L229" s="75"/>
      <x:c r="M229" s="75"/>
      <x:c r="N229" s="75"/>
      <x:c r="O229" s="75"/>
      <x:c r="P229" s="75"/>
      <x:c r="Q229" s="75"/>
      <x:c r="R229" s="75"/>
      <x:c r="S229" s="75"/>
      <x:c r="T229" s="75"/>
      <x:c r="U229" s="75"/>
      <x:c r="V229" s="75"/>
      <x:c r="W229" s="75"/>
      <x:c r="X229" s="75"/>
      <x:c r="Y229" s="75"/>
      <x:c r="Z229" s="75"/>
    </x:row>
    <x:row r="230" ht="20" customHeight="1">
      <x:c r="A230" s="75" t="str">
        <x:v>WA-225</x:v>
      </x:c>
      <x:c r="B230" s="86" t="str">
        <x:v>Warrant source-empty baseline</x:v>
      </x:c>
      <x:c r="C230" s="75" t="str">
        <x:v>Warrant Ledger!S230</x:v>
      </x:c>
      <x:c r="D230" s="75" t="str">
        <x:v>SOURCE EMPTY</x:v>
      </x:c>
      <x:c r="E230" s="75" t="str">
        <x:f>IF('Warrant Ledger'!S230="SOURCE EMPTY","PASS","FAIL")</x:f>
        <x:v>PASS</x:v>
      </x:c>
      <x:c r="F230" s="75"/>
      <x:c r="G230" s="75"/>
      <x:c r="H230" s="75"/>
      <x:c r="I230" s="75"/>
      <x:c r="J230" s="75"/>
      <x:c r="K230" s="75"/>
      <x:c r="L230" s="75"/>
      <x:c r="M230" s="75"/>
      <x:c r="N230" s="75"/>
      <x:c r="O230" s="75"/>
      <x:c r="P230" s="75"/>
      <x:c r="Q230" s="75"/>
      <x:c r="R230" s="75"/>
      <x:c r="S230" s="75"/>
      <x:c r="T230" s="75"/>
      <x:c r="U230" s="75"/>
      <x:c r="V230" s="75"/>
      <x:c r="W230" s="75"/>
      <x:c r="X230" s="75"/>
      <x:c r="Y230" s="75"/>
      <x:c r="Z230" s="75"/>
    </x:row>
    <x:row r="231" ht="20" customHeight="1">
      <x:c r="A231" s="75" t="str">
        <x:v>WA-226</x:v>
      </x:c>
      <x:c r="B231" s="86" t="str">
        <x:v>Warrant source-empty baseline</x:v>
      </x:c>
      <x:c r="C231" s="75" t="str">
        <x:v>Warrant Ledger!S231</x:v>
      </x:c>
      <x:c r="D231" s="75" t="str">
        <x:v>SOURCE EMPTY</x:v>
      </x:c>
      <x:c r="E231" s="75" t="str">
        <x:f>IF('Warrant Ledger'!S231="SOURCE EMPTY","PASS","FAIL")</x:f>
        <x:v>PASS</x:v>
      </x:c>
      <x:c r="F231" s="75"/>
      <x:c r="G231" s="75"/>
      <x:c r="H231" s="75"/>
      <x:c r="I231" s="75"/>
      <x:c r="J231" s="75"/>
      <x:c r="K231" s="75"/>
      <x:c r="L231" s="75"/>
      <x:c r="M231" s="75"/>
      <x:c r="N231" s="75"/>
      <x:c r="O231" s="75"/>
      <x:c r="P231" s="75"/>
      <x:c r="Q231" s="75"/>
      <x:c r="R231" s="75"/>
      <x:c r="S231" s="75"/>
      <x:c r="T231" s="75"/>
      <x:c r="U231" s="75"/>
      <x:c r="V231" s="75"/>
      <x:c r="W231" s="75"/>
      <x:c r="X231" s="75"/>
      <x:c r="Y231" s="75"/>
      <x:c r="Z231" s="75"/>
    </x:row>
    <x:row r="232" ht="20" customHeight="1">
      <x:c r="A232" s="75" t="str">
        <x:v>WA-227</x:v>
      </x:c>
      <x:c r="B232" s="86" t="str">
        <x:v>Warrant source-empty baseline</x:v>
      </x:c>
      <x:c r="C232" s="75" t="str">
        <x:v>Warrant Ledger!S232</x:v>
      </x:c>
      <x:c r="D232" s="75" t="str">
        <x:v>SOURCE EMPTY</x:v>
      </x:c>
      <x:c r="E232" s="75" t="str">
        <x:f>IF('Warrant Ledger'!S232="SOURCE EMPTY","PASS","FAIL")</x:f>
        <x:v>PASS</x:v>
      </x:c>
      <x:c r="F232" s="75"/>
      <x:c r="G232" s="75"/>
      <x:c r="H232" s="75"/>
      <x:c r="I232" s="75"/>
      <x:c r="J232" s="75"/>
      <x:c r="K232" s="75"/>
      <x:c r="L232" s="75"/>
      <x:c r="M232" s="75"/>
      <x:c r="N232" s="75"/>
      <x:c r="O232" s="75"/>
      <x:c r="P232" s="75"/>
      <x:c r="Q232" s="75"/>
      <x:c r="R232" s="75"/>
      <x:c r="S232" s="75"/>
      <x:c r="T232" s="75"/>
      <x:c r="U232" s="75"/>
      <x:c r="V232" s="75"/>
      <x:c r="W232" s="75"/>
      <x:c r="X232" s="75"/>
      <x:c r="Y232" s="75"/>
      <x:c r="Z232" s="75"/>
    </x:row>
    <x:row r="233" ht="20" customHeight="1">
      <x:c r="A233" s="75" t="str">
        <x:v>WA-228</x:v>
      </x:c>
      <x:c r="B233" s="86" t="str">
        <x:v>Warrant source-empty baseline</x:v>
      </x:c>
      <x:c r="C233" s="75" t="str">
        <x:v>Warrant Ledger!S233</x:v>
      </x:c>
      <x:c r="D233" s="75" t="str">
        <x:v>SOURCE EMPTY</x:v>
      </x:c>
      <x:c r="E233" s="75" t="str">
        <x:f>IF('Warrant Ledger'!S233="SOURCE EMPTY","PASS","FAIL")</x:f>
        <x:v>PASS</x:v>
      </x:c>
      <x:c r="F233" s="75"/>
      <x:c r="G233" s="75"/>
      <x:c r="H233" s="75"/>
      <x:c r="I233" s="75"/>
      <x:c r="J233" s="75"/>
      <x:c r="K233" s="75"/>
      <x:c r="L233" s="75"/>
      <x:c r="M233" s="75"/>
      <x:c r="N233" s="75"/>
      <x:c r="O233" s="75"/>
      <x:c r="P233" s="75"/>
      <x:c r="Q233" s="75"/>
      <x:c r="R233" s="75"/>
      <x:c r="S233" s="75"/>
      <x:c r="T233" s="75"/>
      <x:c r="U233" s="75"/>
      <x:c r="V233" s="75"/>
      <x:c r="W233" s="75"/>
      <x:c r="X233" s="75"/>
      <x:c r="Y233" s="75"/>
      <x:c r="Z233" s="75"/>
    </x:row>
    <x:row r="234" ht="20" customHeight="1">
      <x:c r="A234" s="75" t="str">
        <x:v>WA-229</x:v>
      </x:c>
      <x:c r="B234" s="86" t="str">
        <x:v>Warrant source-empty baseline</x:v>
      </x:c>
      <x:c r="C234" s="75" t="str">
        <x:v>Warrant Ledger!S234</x:v>
      </x:c>
      <x:c r="D234" s="75" t="str">
        <x:v>SOURCE EMPTY</x:v>
      </x:c>
      <x:c r="E234" s="75" t="str">
        <x:f>IF('Warrant Ledger'!S234="SOURCE EMPTY","PASS","FAIL")</x:f>
        <x:v>PASS</x:v>
      </x:c>
      <x:c r="F234" s="75"/>
      <x:c r="G234" s="75"/>
      <x:c r="H234" s="75"/>
      <x:c r="I234" s="75"/>
      <x:c r="J234" s="75"/>
      <x:c r="K234" s="75"/>
      <x:c r="L234" s="75"/>
      <x:c r="M234" s="75"/>
      <x:c r="N234" s="75"/>
      <x:c r="O234" s="75"/>
      <x:c r="P234" s="75"/>
      <x:c r="Q234" s="75"/>
      <x:c r="R234" s="75"/>
      <x:c r="S234" s="75"/>
      <x:c r="T234" s="75"/>
      <x:c r="U234" s="75"/>
      <x:c r="V234" s="75"/>
      <x:c r="W234" s="75"/>
      <x:c r="X234" s="75"/>
      <x:c r="Y234" s="75"/>
      <x:c r="Z234" s="75"/>
    </x:row>
    <x:row r="235" ht="20" customHeight="1">
      <x:c r="A235" s="75" t="str">
        <x:v>WA-230</x:v>
      </x:c>
      <x:c r="B235" s="86" t="str">
        <x:v>Warrant source-empty baseline</x:v>
      </x:c>
      <x:c r="C235" s="75" t="str">
        <x:v>Warrant Ledger!S235</x:v>
      </x:c>
      <x:c r="D235" s="75" t="str">
        <x:v>SOURCE EMPTY</x:v>
      </x:c>
      <x:c r="E235" s="75" t="str">
        <x:f>IF('Warrant Ledger'!S235="SOURCE EMPTY","PASS","FAIL")</x:f>
        <x:v>PASS</x:v>
      </x:c>
      <x:c r="F235" s="75"/>
      <x:c r="G235" s="75"/>
      <x:c r="H235" s="75"/>
      <x:c r="I235" s="75"/>
      <x:c r="J235" s="75"/>
      <x:c r="K235" s="75"/>
      <x:c r="L235" s="75"/>
      <x:c r="M235" s="75"/>
      <x:c r="N235" s="75"/>
      <x:c r="O235" s="75"/>
      <x:c r="P235" s="75"/>
      <x:c r="Q235" s="75"/>
      <x:c r="R235" s="75"/>
      <x:c r="S235" s="75"/>
      <x:c r="T235" s="75"/>
      <x:c r="U235" s="75"/>
      <x:c r="V235" s="75"/>
      <x:c r="W235" s="75"/>
      <x:c r="X235" s="75"/>
      <x:c r="Y235" s="75"/>
      <x:c r="Z235" s="75"/>
    </x:row>
    <x:row r="236" ht="20" customHeight="1">
      <x:c r="A236" s="75" t="str">
        <x:v>WA-231</x:v>
      </x:c>
      <x:c r="B236" s="86" t="str">
        <x:v>Warrant source-empty baseline</x:v>
      </x:c>
      <x:c r="C236" s="75" t="str">
        <x:v>Warrant Ledger!S236</x:v>
      </x:c>
      <x:c r="D236" s="75" t="str">
        <x:v>SOURCE EMPTY</x:v>
      </x:c>
      <x:c r="E236" s="75" t="str">
        <x:f>IF('Warrant Ledger'!S236="SOURCE EMPTY","PASS","FAIL")</x:f>
        <x:v>PASS</x:v>
      </x:c>
      <x:c r="F236" s="75"/>
      <x:c r="G236" s="75"/>
      <x:c r="H236" s="75"/>
      <x:c r="I236" s="75"/>
      <x:c r="J236" s="75"/>
      <x:c r="K236" s="75"/>
      <x:c r="L236" s="75"/>
      <x:c r="M236" s="75"/>
      <x:c r="N236" s="75"/>
      <x:c r="O236" s="75"/>
      <x:c r="P236" s="75"/>
      <x:c r="Q236" s="75"/>
      <x:c r="R236" s="75"/>
      <x:c r="S236" s="75"/>
      <x:c r="T236" s="75"/>
      <x:c r="U236" s="75"/>
      <x:c r="V236" s="75"/>
      <x:c r="W236" s="75"/>
      <x:c r="X236" s="75"/>
      <x:c r="Y236" s="75"/>
      <x:c r="Z236" s="75"/>
    </x:row>
    <x:row r="237" ht="20" customHeight="1">
      <x:c r="A237" s="75" t="str">
        <x:v>WA-232</x:v>
      </x:c>
      <x:c r="B237" s="86" t="str">
        <x:v>Warrant source-empty baseline</x:v>
      </x:c>
      <x:c r="C237" s="75" t="str">
        <x:v>Warrant Ledger!S237</x:v>
      </x:c>
      <x:c r="D237" s="75" t="str">
        <x:v>SOURCE EMPTY</x:v>
      </x:c>
      <x:c r="E237" s="75" t="str">
        <x:f>IF('Warrant Ledger'!S237="SOURCE EMPTY","PASS","FAIL")</x:f>
        <x:v>PASS</x:v>
      </x:c>
      <x:c r="F237" s="75"/>
      <x:c r="G237" s="75"/>
      <x:c r="H237" s="75"/>
      <x:c r="I237" s="75"/>
      <x:c r="J237" s="75"/>
      <x:c r="K237" s="75"/>
      <x:c r="L237" s="75"/>
      <x:c r="M237" s="75"/>
      <x:c r="N237" s="75"/>
      <x:c r="O237" s="75"/>
      <x:c r="P237" s="75"/>
      <x:c r="Q237" s="75"/>
      <x:c r="R237" s="75"/>
      <x:c r="S237" s="75"/>
      <x:c r="T237" s="75"/>
      <x:c r="U237" s="75"/>
      <x:c r="V237" s="75"/>
      <x:c r="W237" s="75"/>
      <x:c r="X237" s="75"/>
      <x:c r="Y237" s="75"/>
      <x:c r="Z237" s="75"/>
    </x:row>
    <x:row r="238" ht="20" customHeight="1">
      <x:c r="A238" s="75" t="str">
        <x:v>WA-233</x:v>
      </x:c>
      <x:c r="B238" s="86" t="str">
        <x:v>Warrant source-empty baseline</x:v>
      </x:c>
      <x:c r="C238" s="75" t="str">
        <x:v>Warrant Ledger!S238</x:v>
      </x:c>
      <x:c r="D238" s="75" t="str">
        <x:v>SOURCE EMPTY</x:v>
      </x:c>
      <x:c r="E238" s="75" t="str">
        <x:f>IF('Warrant Ledger'!S238="SOURCE EMPTY","PASS","FAIL")</x:f>
        <x:v>PASS</x:v>
      </x:c>
      <x:c r="F238" s="75"/>
      <x:c r="G238" s="75"/>
      <x:c r="H238" s="75"/>
      <x:c r="I238" s="75"/>
      <x:c r="J238" s="75"/>
      <x:c r="K238" s="75"/>
      <x:c r="L238" s="75"/>
      <x:c r="M238" s="75"/>
      <x:c r="N238" s="75"/>
      <x:c r="O238" s="75"/>
      <x:c r="P238" s="75"/>
      <x:c r="Q238" s="75"/>
      <x:c r="R238" s="75"/>
      <x:c r="S238" s="75"/>
      <x:c r="T238" s="75"/>
      <x:c r="U238" s="75"/>
      <x:c r="V238" s="75"/>
      <x:c r="W238" s="75"/>
      <x:c r="X238" s="75"/>
      <x:c r="Y238" s="75"/>
      <x:c r="Z238" s="75"/>
    </x:row>
    <x:row r="239" ht="20" customHeight="1">
      <x:c r="A239" s="75" t="str">
        <x:v>WA-234</x:v>
      </x:c>
      <x:c r="B239" s="86" t="str">
        <x:v>Warrant source-empty baseline</x:v>
      </x:c>
      <x:c r="C239" s="75" t="str">
        <x:v>Warrant Ledger!S239</x:v>
      </x:c>
      <x:c r="D239" s="75" t="str">
        <x:v>SOURCE EMPTY</x:v>
      </x:c>
      <x:c r="E239" s="75" t="str">
        <x:f>IF('Warrant Ledger'!S239="SOURCE EMPTY","PASS","FAIL")</x:f>
        <x:v>PASS</x:v>
      </x:c>
      <x:c r="F239" s="75"/>
      <x:c r="G239" s="75"/>
      <x:c r="H239" s="75"/>
      <x:c r="I239" s="75"/>
      <x:c r="J239" s="75"/>
      <x:c r="K239" s="75"/>
      <x:c r="L239" s="75"/>
      <x:c r="M239" s="75"/>
      <x:c r="N239" s="75"/>
      <x:c r="O239" s="75"/>
      <x:c r="P239" s="75"/>
      <x:c r="Q239" s="75"/>
      <x:c r="R239" s="75"/>
      <x:c r="S239" s="75"/>
      <x:c r="T239" s="75"/>
      <x:c r="U239" s="75"/>
      <x:c r="V239" s="75"/>
      <x:c r="W239" s="75"/>
      <x:c r="X239" s="75"/>
      <x:c r="Y239" s="75"/>
      <x:c r="Z239" s="75"/>
    </x:row>
    <x:row r="240" ht="20" customHeight="1">
      <x:c r="A240" s="75" t="str">
        <x:v>WA-235</x:v>
      </x:c>
      <x:c r="B240" s="86" t="str">
        <x:v>Warrant source-empty baseline</x:v>
      </x:c>
      <x:c r="C240" s="75" t="str">
        <x:v>Warrant Ledger!S240</x:v>
      </x:c>
      <x:c r="D240" s="75" t="str">
        <x:v>SOURCE EMPTY</x:v>
      </x:c>
      <x:c r="E240" s="75" t="str">
        <x:f>IF('Warrant Ledger'!S240="SOURCE EMPTY","PASS","FAIL")</x:f>
        <x:v>PASS</x:v>
      </x:c>
      <x:c r="F240" s="75"/>
      <x:c r="G240" s="75"/>
      <x:c r="H240" s="75"/>
      <x:c r="I240" s="75"/>
      <x:c r="J240" s="75"/>
      <x:c r="K240" s="75"/>
      <x:c r="L240" s="75"/>
      <x:c r="M240" s="75"/>
      <x:c r="N240" s="75"/>
      <x:c r="O240" s="75"/>
      <x:c r="P240" s="75"/>
      <x:c r="Q240" s="75"/>
      <x:c r="R240" s="75"/>
      <x:c r="S240" s="75"/>
      <x:c r="T240" s="75"/>
      <x:c r="U240" s="75"/>
      <x:c r="V240" s="75"/>
      <x:c r="W240" s="75"/>
      <x:c r="X240" s="75"/>
      <x:c r="Y240" s="75"/>
      <x:c r="Z240" s="75"/>
    </x:row>
    <x:row r="241" ht="20" customHeight="1">
      <x:c r="A241" s="75" t="str">
        <x:v>WA-236</x:v>
      </x:c>
      <x:c r="B241" s="86" t="str">
        <x:v>Warrant source-empty baseline</x:v>
      </x:c>
      <x:c r="C241" s="75" t="str">
        <x:v>Warrant Ledger!S241</x:v>
      </x:c>
      <x:c r="D241" s="75" t="str">
        <x:v>SOURCE EMPTY</x:v>
      </x:c>
      <x:c r="E241" s="75" t="str">
        <x:f>IF('Warrant Ledger'!S241="SOURCE EMPTY","PASS","FAIL")</x:f>
        <x:v>PASS</x:v>
      </x:c>
      <x:c r="F241" s="75"/>
      <x:c r="G241" s="75"/>
      <x:c r="H241" s="75"/>
      <x:c r="I241" s="75"/>
      <x:c r="J241" s="75"/>
      <x:c r="K241" s="75"/>
      <x:c r="L241" s="75"/>
      <x:c r="M241" s="75"/>
      <x:c r="N241" s="75"/>
      <x:c r="O241" s="75"/>
      <x:c r="P241" s="75"/>
      <x:c r="Q241" s="75"/>
      <x:c r="R241" s="75"/>
      <x:c r="S241" s="75"/>
      <x:c r="T241" s="75"/>
      <x:c r="U241" s="75"/>
      <x:c r="V241" s="75"/>
      <x:c r="W241" s="75"/>
      <x:c r="X241" s="75"/>
      <x:c r="Y241" s="75"/>
      <x:c r="Z241" s="75"/>
    </x:row>
    <x:row r="242" ht="20" customHeight="1">
      <x:c r="A242" s="75" t="str">
        <x:v>WA-237</x:v>
      </x:c>
      <x:c r="B242" s="86" t="str">
        <x:v>Warrant source-empty baseline</x:v>
      </x:c>
      <x:c r="C242" s="75" t="str">
        <x:v>Warrant Ledger!S242</x:v>
      </x:c>
      <x:c r="D242" s="75" t="str">
        <x:v>SOURCE EMPTY</x:v>
      </x:c>
      <x:c r="E242" s="75" t="str">
        <x:f>IF('Warrant Ledger'!S242="SOURCE EMPTY","PASS","FAIL")</x:f>
        <x:v>PASS</x:v>
      </x:c>
      <x:c r="F242" s="75"/>
      <x:c r="G242" s="75"/>
      <x:c r="H242" s="75"/>
      <x:c r="I242" s="75"/>
      <x:c r="J242" s="75"/>
      <x:c r="K242" s="75"/>
      <x:c r="L242" s="75"/>
      <x:c r="M242" s="75"/>
      <x:c r="N242" s="75"/>
      <x:c r="O242" s="75"/>
      <x:c r="P242" s="75"/>
      <x:c r="Q242" s="75"/>
      <x:c r="R242" s="75"/>
      <x:c r="S242" s="75"/>
      <x:c r="T242" s="75"/>
      <x:c r="U242" s="75"/>
      <x:c r="V242" s="75"/>
      <x:c r="W242" s="75"/>
      <x:c r="X242" s="75"/>
      <x:c r="Y242" s="75"/>
      <x:c r="Z242" s="75"/>
    </x:row>
    <x:row r="243" ht="20" customHeight="1">
      <x:c r="A243" s="75" t="str">
        <x:v>WA-238</x:v>
      </x:c>
      <x:c r="B243" s="86" t="str">
        <x:v>Warrant source-empty baseline</x:v>
      </x:c>
      <x:c r="C243" s="75" t="str">
        <x:v>Warrant Ledger!S243</x:v>
      </x:c>
      <x:c r="D243" s="75" t="str">
        <x:v>SOURCE EMPTY</x:v>
      </x:c>
      <x:c r="E243" s="75" t="str">
        <x:f>IF('Warrant Ledger'!S243="SOURCE EMPTY","PASS","FAIL")</x:f>
        <x:v>PASS</x:v>
      </x:c>
      <x:c r="F243" s="75"/>
      <x:c r="G243" s="75"/>
      <x:c r="H243" s="75"/>
      <x:c r="I243" s="75"/>
      <x:c r="J243" s="75"/>
      <x:c r="K243" s="75"/>
      <x:c r="L243" s="75"/>
      <x:c r="M243" s="75"/>
      <x:c r="N243" s="75"/>
      <x:c r="O243" s="75"/>
      <x:c r="P243" s="75"/>
      <x:c r="Q243" s="75"/>
      <x:c r="R243" s="75"/>
      <x:c r="S243" s="75"/>
      <x:c r="T243" s="75"/>
      <x:c r="U243" s="75"/>
      <x:c r="V243" s="75"/>
      <x:c r="W243" s="75"/>
      <x:c r="X243" s="75"/>
      <x:c r="Y243" s="75"/>
      <x:c r="Z243" s="75"/>
    </x:row>
    <x:row r="244" ht="20" customHeight="1">
      <x:c r="A244" s="75" t="str">
        <x:v>WA-239</x:v>
      </x:c>
      <x:c r="B244" s="86" t="str">
        <x:v>Warrant source-empty baseline</x:v>
      </x:c>
      <x:c r="C244" s="75" t="str">
        <x:v>Warrant Ledger!S244</x:v>
      </x:c>
      <x:c r="D244" s="75" t="str">
        <x:v>SOURCE EMPTY</x:v>
      </x:c>
      <x:c r="E244" s="75" t="str">
        <x:f>IF('Warrant Ledger'!S244="SOURCE EMPTY","PASS","FAIL")</x:f>
        <x:v>PASS</x:v>
      </x:c>
      <x:c r="F244" s="75"/>
      <x:c r="G244" s="75"/>
      <x:c r="H244" s="75"/>
      <x:c r="I244" s="75"/>
      <x:c r="J244" s="75"/>
      <x:c r="K244" s="75"/>
      <x:c r="L244" s="75"/>
      <x:c r="M244" s="75"/>
      <x:c r="N244" s="75"/>
      <x:c r="O244" s="75"/>
      <x:c r="P244" s="75"/>
      <x:c r="Q244" s="75"/>
      <x:c r="R244" s="75"/>
      <x:c r="S244" s="75"/>
      <x:c r="T244" s="75"/>
      <x:c r="U244" s="75"/>
      <x:c r="V244" s="75"/>
      <x:c r="W244" s="75"/>
      <x:c r="X244" s="75"/>
      <x:c r="Y244" s="75"/>
      <x:c r="Z244" s="75"/>
    </x:row>
    <x:row r="245" ht="20" customHeight="1">
      <x:c r="A245" s="75" t="str">
        <x:v>WA-240</x:v>
      </x:c>
      <x:c r="B245" s="86" t="str">
        <x:v>Warrant source-empty baseline</x:v>
      </x:c>
      <x:c r="C245" s="75" t="str">
        <x:v>Warrant Ledger!S245</x:v>
      </x:c>
      <x:c r="D245" s="75" t="str">
        <x:v>SOURCE EMPTY</x:v>
      </x:c>
      <x:c r="E245" s="75" t="str">
        <x:f>IF('Warrant Ledger'!S245="SOURCE EMPTY","PASS","FAIL")</x:f>
        <x:v>PASS</x:v>
      </x:c>
      <x:c r="F245" s="75"/>
      <x:c r="G245" s="75"/>
      <x:c r="H245" s="75"/>
      <x:c r="I245" s="75"/>
      <x:c r="J245" s="75"/>
      <x:c r="K245" s="75"/>
      <x:c r="L245" s="75"/>
      <x:c r="M245" s="75"/>
      <x:c r="N245" s="75"/>
      <x:c r="O245" s="75"/>
      <x:c r="P245" s="75"/>
      <x:c r="Q245" s="75"/>
      <x:c r="R245" s="75"/>
      <x:c r="S245" s="75"/>
      <x:c r="T245" s="75"/>
      <x:c r="U245" s="75"/>
      <x:c r="V245" s="75"/>
      <x:c r="W245" s="75"/>
      <x:c r="X245" s="75"/>
      <x:c r="Y245" s="75"/>
      <x:c r="Z245" s="75"/>
    </x:row>
    <x:row r="246" ht="20" customHeight="1">
      <x:c r="A246" s="75" t="str">
        <x:v>WA-241</x:v>
      </x:c>
      <x:c r="B246" s="86" t="str">
        <x:v>Warrant source-empty baseline</x:v>
      </x:c>
      <x:c r="C246" s="75" t="str">
        <x:v>Warrant Ledger!S246</x:v>
      </x:c>
      <x:c r="D246" s="75" t="str">
        <x:v>SOURCE EMPTY</x:v>
      </x:c>
      <x:c r="E246" s="75" t="str">
        <x:f>IF('Warrant Ledger'!S246="SOURCE EMPTY","PASS","FAIL")</x:f>
        <x:v>PASS</x:v>
      </x:c>
      <x:c r="F246" s="75"/>
      <x:c r="G246" s="75"/>
      <x:c r="H246" s="75"/>
      <x:c r="I246" s="75"/>
      <x:c r="J246" s="75"/>
      <x:c r="K246" s="75"/>
      <x:c r="L246" s="75"/>
      <x:c r="M246" s="75"/>
      <x:c r="N246" s="75"/>
      <x:c r="O246" s="75"/>
      <x:c r="P246" s="75"/>
      <x:c r="Q246" s="75"/>
      <x:c r="R246" s="75"/>
      <x:c r="S246" s="75"/>
      <x:c r="T246" s="75"/>
      <x:c r="U246" s="75"/>
      <x:c r="V246" s="75"/>
      <x:c r="W246" s="75"/>
      <x:c r="X246" s="75"/>
      <x:c r="Y246" s="75"/>
      <x:c r="Z246" s="75"/>
    </x:row>
    <x:row r="247" ht="20" customHeight="1">
      <x:c r="A247" s="75" t="str">
        <x:v>WA-242</x:v>
      </x:c>
      <x:c r="B247" s="86" t="str">
        <x:v>Warrant source-empty baseline</x:v>
      </x:c>
      <x:c r="C247" s="75" t="str">
        <x:v>Warrant Ledger!S247</x:v>
      </x:c>
      <x:c r="D247" s="75" t="str">
        <x:v>SOURCE EMPTY</x:v>
      </x:c>
      <x:c r="E247" s="75" t="str">
        <x:f>IF('Warrant Ledger'!S247="SOURCE EMPTY","PASS","FAIL")</x:f>
        <x:v>PASS</x:v>
      </x:c>
      <x:c r="F247" s="75"/>
      <x:c r="G247" s="75"/>
      <x:c r="H247" s="75"/>
      <x:c r="I247" s="75"/>
      <x:c r="J247" s="75"/>
      <x:c r="K247" s="75"/>
      <x:c r="L247" s="75"/>
      <x:c r="M247" s="75"/>
      <x:c r="N247" s="75"/>
      <x:c r="O247" s="75"/>
      <x:c r="P247" s="75"/>
      <x:c r="Q247" s="75"/>
      <x:c r="R247" s="75"/>
      <x:c r="S247" s="75"/>
      <x:c r="T247" s="75"/>
      <x:c r="U247" s="75"/>
      <x:c r="V247" s="75"/>
      <x:c r="W247" s="75"/>
      <x:c r="X247" s="75"/>
      <x:c r="Y247" s="75"/>
      <x:c r="Z247" s="75"/>
    </x:row>
    <x:row r="248" ht="20" customHeight="1">
      <x:c r="A248" s="75" t="str">
        <x:v>WA-243</x:v>
      </x:c>
      <x:c r="B248" s="86" t="str">
        <x:v>Warrant source-empty baseline</x:v>
      </x:c>
      <x:c r="C248" s="75" t="str">
        <x:v>Warrant Ledger!S248</x:v>
      </x:c>
      <x:c r="D248" s="75" t="str">
        <x:v>SOURCE EMPTY</x:v>
      </x:c>
      <x:c r="E248" s="75" t="str">
        <x:f>IF('Warrant Ledger'!S248="SOURCE EMPTY","PASS","FAIL")</x:f>
        <x:v>PASS</x:v>
      </x:c>
      <x:c r="F248" s="75"/>
      <x:c r="G248" s="75"/>
      <x:c r="H248" s="75"/>
      <x:c r="I248" s="75"/>
      <x:c r="J248" s="75"/>
      <x:c r="K248" s="75"/>
      <x:c r="L248" s="75"/>
      <x:c r="M248" s="75"/>
      <x:c r="N248" s="75"/>
      <x:c r="O248" s="75"/>
      <x:c r="P248" s="75"/>
      <x:c r="Q248" s="75"/>
      <x:c r="R248" s="75"/>
      <x:c r="S248" s="75"/>
      <x:c r="T248" s="75"/>
      <x:c r="U248" s="75"/>
      <x:c r="V248" s="75"/>
      <x:c r="W248" s="75"/>
      <x:c r="X248" s="75"/>
      <x:c r="Y248" s="75"/>
      <x:c r="Z248" s="75"/>
    </x:row>
    <x:row r="249" ht="20" customHeight="1">
      <x:c r="A249" s="75" t="str">
        <x:v>WA-244</x:v>
      </x:c>
      <x:c r="B249" s="86" t="str">
        <x:v>Warrant source-empty baseline</x:v>
      </x:c>
      <x:c r="C249" s="75" t="str">
        <x:v>Warrant Ledger!S249</x:v>
      </x:c>
      <x:c r="D249" s="75" t="str">
        <x:v>SOURCE EMPTY</x:v>
      </x:c>
      <x:c r="E249" s="75" t="str">
        <x:f>IF('Warrant Ledger'!S249="SOURCE EMPTY","PASS","FAIL")</x:f>
        <x:v>PASS</x:v>
      </x:c>
      <x:c r="F249" s="75"/>
      <x:c r="G249" s="75"/>
      <x:c r="H249" s="75"/>
      <x:c r="I249" s="75"/>
      <x:c r="J249" s="75"/>
      <x:c r="K249" s="75"/>
      <x:c r="L249" s="75"/>
      <x:c r="M249" s="75"/>
      <x:c r="N249" s="75"/>
      <x:c r="O249" s="75"/>
      <x:c r="P249" s="75"/>
      <x:c r="Q249" s="75"/>
      <x:c r="R249" s="75"/>
      <x:c r="S249" s="75"/>
      <x:c r="T249" s="75"/>
      <x:c r="U249" s="75"/>
      <x:c r="V249" s="75"/>
      <x:c r="W249" s="75"/>
      <x:c r="X249" s="75"/>
      <x:c r="Y249" s="75"/>
      <x:c r="Z249" s="75"/>
    </x:row>
    <x:row r="250" ht="20" customHeight="1">
      <x:c r="A250" s="75" t="str">
        <x:v>WA-245</x:v>
      </x:c>
      <x:c r="B250" s="86" t="str">
        <x:v>Warrant source-empty baseline</x:v>
      </x:c>
      <x:c r="C250" s="75" t="str">
        <x:v>Warrant Ledger!S250</x:v>
      </x:c>
      <x:c r="D250" s="75" t="str">
        <x:v>SOURCE EMPTY</x:v>
      </x:c>
      <x:c r="E250" s="75" t="str">
        <x:f>IF('Warrant Ledger'!S250="SOURCE EMPTY","PASS","FAIL")</x:f>
        <x:v>PASS</x:v>
      </x:c>
      <x:c r="F250" s="75"/>
      <x:c r="G250" s="75"/>
      <x:c r="H250" s="75"/>
      <x:c r="I250" s="75"/>
      <x:c r="J250" s="75"/>
      <x:c r="K250" s="75"/>
      <x:c r="L250" s="75"/>
      <x:c r="M250" s="75"/>
      <x:c r="N250" s="75"/>
      <x:c r="O250" s="75"/>
      <x:c r="P250" s="75"/>
      <x:c r="Q250" s="75"/>
      <x:c r="R250" s="75"/>
      <x:c r="S250" s="75"/>
      <x:c r="T250" s="75"/>
      <x:c r="U250" s="75"/>
      <x:c r="V250" s="75"/>
      <x:c r="W250" s="75"/>
      <x:c r="X250" s="75"/>
      <x:c r="Y250" s="75"/>
      <x:c r="Z250" s="75"/>
    </x:row>
    <x:row r="251" ht="20" customHeight="1">
      <x:c r="A251" s="75" t="str">
        <x:v>WA-246</x:v>
      </x:c>
      <x:c r="B251" s="86" t="str">
        <x:v>Warrant source-empty baseline</x:v>
      </x:c>
      <x:c r="C251" s="75" t="str">
        <x:v>Warrant Ledger!S251</x:v>
      </x:c>
      <x:c r="D251" s="75" t="str">
        <x:v>SOURCE EMPTY</x:v>
      </x:c>
      <x:c r="E251" s="75" t="str">
        <x:f>IF('Warrant Ledger'!S251="SOURCE EMPTY","PASS","FAIL")</x:f>
        <x:v>PASS</x:v>
      </x:c>
      <x:c r="F251" s="75"/>
      <x:c r="G251" s="75"/>
      <x:c r="H251" s="75"/>
      <x:c r="I251" s="75"/>
      <x:c r="J251" s="75"/>
      <x:c r="K251" s="75"/>
      <x:c r="L251" s="75"/>
      <x:c r="M251" s="75"/>
      <x:c r="N251" s="75"/>
      <x:c r="O251" s="75"/>
      <x:c r="P251" s="75"/>
      <x:c r="Q251" s="75"/>
      <x:c r="R251" s="75"/>
      <x:c r="S251" s="75"/>
      <x:c r="T251" s="75"/>
      <x:c r="U251" s="75"/>
      <x:c r="V251" s="75"/>
      <x:c r="W251" s="75"/>
      <x:c r="X251" s="75"/>
      <x:c r="Y251" s="75"/>
      <x:c r="Z251" s="75"/>
    </x:row>
    <x:row r="252" ht="20" customHeight="1">
      <x:c r="A252" s="75" t="str">
        <x:v>WA-247</x:v>
      </x:c>
      <x:c r="B252" s="86" t="str">
        <x:v>Warrant source-empty baseline</x:v>
      </x:c>
      <x:c r="C252" s="75" t="str">
        <x:v>Warrant Ledger!S252</x:v>
      </x:c>
      <x:c r="D252" s="75" t="str">
        <x:v>SOURCE EMPTY</x:v>
      </x:c>
      <x:c r="E252" s="75" t="str">
        <x:f>IF('Warrant Ledger'!S252="SOURCE EMPTY","PASS","FAIL")</x:f>
        <x:v>PASS</x:v>
      </x:c>
      <x:c r="F252" s="75"/>
      <x:c r="G252" s="75"/>
      <x:c r="H252" s="75"/>
      <x:c r="I252" s="75"/>
      <x:c r="J252" s="75"/>
      <x:c r="K252" s="75"/>
      <x:c r="L252" s="75"/>
      <x:c r="M252" s="75"/>
      <x:c r="N252" s="75"/>
      <x:c r="O252" s="75"/>
      <x:c r="P252" s="75"/>
      <x:c r="Q252" s="75"/>
      <x:c r="R252" s="75"/>
      <x:c r="S252" s="75"/>
      <x:c r="T252" s="75"/>
      <x:c r="U252" s="75"/>
      <x:c r="V252" s="75"/>
      <x:c r="W252" s="75"/>
      <x:c r="X252" s="75"/>
      <x:c r="Y252" s="75"/>
      <x:c r="Z252" s="75"/>
    </x:row>
    <x:row r="253" ht="20" customHeight="1">
      <x:c r="A253" s="75" t="str">
        <x:v>WA-248</x:v>
      </x:c>
      <x:c r="B253" s="86" t="str">
        <x:v>Warrant source-empty baseline</x:v>
      </x:c>
      <x:c r="C253" s="75" t="str">
        <x:v>Warrant Ledger!S253</x:v>
      </x:c>
      <x:c r="D253" s="75" t="str">
        <x:v>SOURCE EMPTY</x:v>
      </x:c>
      <x:c r="E253" s="75" t="str">
        <x:f>IF('Warrant Ledger'!S253="SOURCE EMPTY","PASS","FAIL")</x:f>
        <x:v>PASS</x:v>
      </x:c>
      <x:c r="F253" s="75"/>
      <x:c r="G253" s="75"/>
      <x:c r="H253" s="75"/>
      <x:c r="I253" s="75"/>
      <x:c r="J253" s="75"/>
      <x:c r="K253" s="75"/>
      <x:c r="L253" s="75"/>
      <x:c r="M253" s="75"/>
      <x:c r="N253" s="75"/>
      <x:c r="O253" s="75"/>
      <x:c r="P253" s="75"/>
      <x:c r="Q253" s="75"/>
      <x:c r="R253" s="75"/>
      <x:c r="S253" s="75"/>
      <x:c r="T253" s="75"/>
      <x:c r="U253" s="75"/>
      <x:c r="V253" s="75"/>
      <x:c r="W253" s="75"/>
      <x:c r="X253" s="75"/>
      <x:c r="Y253" s="75"/>
      <x:c r="Z253" s="75"/>
    </x:row>
    <x:row r="254" ht="20" customHeight="1">
      <x:c r="A254" s="75" t="str">
        <x:v>WA-249</x:v>
      </x:c>
      <x:c r="B254" s="86" t="str">
        <x:v>Warrant source-empty baseline</x:v>
      </x:c>
      <x:c r="C254" s="75" t="str">
        <x:v>Warrant Ledger!S254</x:v>
      </x:c>
      <x:c r="D254" s="75" t="str">
        <x:v>SOURCE EMPTY</x:v>
      </x:c>
      <x:c r="E254" s="75" t="str">
        <x:f>IF('Warrant Ledger'!S254="SOURCE EMPTY","PASS","FAIL")</x:f>
        <x:v>PASS</x:v>
      </x:c>
      <x:c r="F254" s="75"/>
      <x:c r="G254" s="75"/>
      <x:c r="H254" s="75"/>
      <x:c r="I254" s="75"/>
      <x:c r="J254" s="75"/>
      <x:c r="K254" s="75"/>
      <x:c r="L254" s="75"/>
      <x:c r="M254" s="75"/>
      <x:c r="N254" s="75"/>
      <x:c r="O254" s="75"/>
      <x:c r="P254" s="75"/>
      <x:c r="Q254" s="75"/>
      <x:c r="R254" s="75"/>
      <x:c r="S254" s="75"/>
      <x:c r="T254" s="75"/>
      <x:c r="U254" s="75"/>
      <x:c r="V254" s="75"/>
      <x:c r="W254" s="75"/>
      <x:c r="X254" s="75"/>
      <x:c r="Y254" s="75"/>
      <x:c r="Z254" s="75"/>
    </x:row>
    <x:row r="255" ht="20" customHeight="1">
      <x:c r="A255" s="75" t="str">
        <x:v>WA-250</x:v>
      </x:c>
      <x:c r="B255" s="86" t="str">
        <x:v>Warrant source-empty baseline</x:v>
      </x:c>
      <x:c r="C255" s="75" t="str">
        <x:v>Warrant Ledger!S255</x:v>
      </x:c>
      <x:c r="D255" s="75" t="str">
        <x:v>SOURCE EMPTY</x:v>
      </x:c>
      <x:c r="E255" s="75" t="str">
        <x:f>IF('Warrant Ledger'!S255="SOURCE EMPTY","PASS","FAIL")</x:f>
        <x:v>PASS</x:v>
      </x:c>
      <x:c r="F255" s="75"/>
      <x:c r="G255" s="75"/>
      <x:c r="H255" s="75"/>
      <x:c r="I255" s="75"/>
      <x:c r="J255" s="75"/>
      <x:c r="K255" s="75"/>
      <x:c r="L255" s="75"/>
      <x:c r="M255" s="75"/>
      <x:c r="N255" s="75"/>
      <x:c r="O255" s="75"/>
      <x:c r="P255" s="75"/>
      <x:c r="Q255" s="75"/>
      <x:c r="R255" s="75"/>
      <x:c r="S255" s="75"/>
      <x:c r="T255" s="75"/>
      <x:c r="U255" s="75"/>
      <x:c r="V255" s="75"/>
      <x:c r="W255" s="75"/>
      <x:c r="X255" s="75"/>
      <x:c r="Y255" s="75"/>
      <x:c r="Z255" s="75"/>
    </x:row>
    <x:row r="256" ht="20" customHeight="1">
      <x:c r="A256" s="75" t="str">
        <x:v>WA-251</x:v>
      </x:c>
      <x:c r="B256" s="86" t="str">
        <x:v>Warrant source-empty baseline</x:v>
      </x:c>
      <x:c r="C256" s="75" t="str">
        <x:v>Warrant Ledger!S256</x:v>
      </x:c>
      <x:c r="D256" s="75" t="str">
        <x:v>SOURCE EMPTY</x:v>
      </x:c>
      <x:c r="E256" s="75" t="str">
        <x:f>IF('Warrant Ledger'!S256="SOURCE EMPTY","PASS","FAIL")</x:f>
        <x:v>PASS</x:v>
      </x:c>
      <x:c r="F256" s="75"/>
      <x:c r="G256" s="75"/>
      <x:c r="H256" s="75"/>
      <x:c r="I256" s="75"/>
      <x:c r="J256" s="75"/>
      <x:c r="K256" s="75"/>
      <x:c r="L256" s="75"/>
      <x:c r="M256" s="75"/>
      <x:c r="N256" s="75"/>
      <x:c r="O256" s="75"/>
      <x:c r="P256" s="75"/>
      <x:c r="Q256" s="75"/>
      <x:c r="R256" s="75"/>
      <x:c r="S256" s="75"/>
      <x:c r="T256" s="75"/>
      <x:c r="U256" s="75"/>
      <x:c r="V256" s="75"/>
      <x:c r="W256" s="75"/>
      <x:c r="X256" s="75"/>
      <x:c r="Y256" s="75"/>
      <x:c r="Z256" s="75"/>
    </x:row>
    <x:row r="257" ht="20" customHeight="1">
      <x:c r="A257" s="75" t="str">
        <x:v>WA-252</x:v>
      </x:c>
      <x:c r="B257" s="86" t="str">
        <x:v>Warrant source-empty baseline</x:v>
      </x:c>
      <x:c r="C257" s="75" t="str">
        <x:v>Warrant Ledger!S257</x:v>
      </x:c>
      <x:c r="D257" s="75" t="str">
        <x:v>SOURCE EMPTY</x:v>
      </x:c>
      <x:c r="E257" s="75" t="str">
        <x:f>IF('Warrant Ledger'!S257="SOURCE EMPTY","PASS","FAIL")</x:f>
        <x:v>PASS</x:v>
      </x:c>
      <x:c r="F257" s="75"/>
      <x:c r="G257" s="75"/>
      <x:c r="H257" s="75"/>
      <x:c r="I257" s="75"/>
      <x:c r="J257" s="75"/>
      <x:c r="K257" s="75"/>
      <x:c r="L257" s="75"/>
      <x:c r="M257" s="75"/>
      <x:c r="N257" s="75"/>
      <x:c r="O257" s="75"/>
      <x:c r="P257" s="75"/>
      <x:c r="Q257" s="75"/>
      <x:c r="R257" s="75"/>
      <x:c r="S257" s="75"/>
      <x:c r="T257" s="75"/>
      <x:c r="U257" s="75"/>
      <x:c r="V257" s="75"/>
      <x:c r="W257" s="75"/>
      <x:c r="X257" s="75"/>
      <x:c r="Y257" s="75"/>
      <x:c r="Z257" s="75"/>
    </x:row>
    <x:row r="258" ht="20" customHeight="1">
      <x:c r="A258" s="75" t="str">
        <x:v>WA-253</x:v>
      </x:c>
      <x:c r="B258" s="86" t="str">
        <x:v>Warrant source-empty baseline</x:v>
      </x:c>
      <x:c r="C258" s="75" t="str">
        <x:v>Warrant Ledger!S258</x:v>
      </x:c>
      <x:c r="D258" s="75" t="str">
        <x:v>SOURCE EMPTY</x:v>
      </x:c>
      <x:c r="E258" s="75" t="str">
        <x:f>IF('Warrant Ledger'!S258="SOURCE EMPTY","PASS","FAIL")</x:f>
        <x:v>PASS</x:v>
      </x:c>
      <x:c r="F258" s="75"/>
      <x:c r="G258" s="75"/>
      <x:c r="H258" s="75"/>
      <x:c r="I258" s="75"/>
      <x:c r="J258" s="75"/>
      <x:c r="K258" s="75"/>
      <x:c r="L258" s="75"/>
      <x:c r="M258" s="75"/>
      <x:c r="N258" s="75"/>
      <x:c r="O258" s="75"/>
      <x:c r="P258" s="75"/>
      <x:c r="Q258" s="75"/>
      <x:c r="R258" s="75"/>
      <x:c r="S258" s="75"/>
      <x:c r="T258" s="75"/>
      <x:c r="U258" s="75"/>
      <x:c r="V258" s="75"/>
      <x:c r="W258" s="75"/>
      <x:c r="X258" s="75"/>
      <x:c r="Y258" s="75"/>
      <x:c r="Z258" s="75"/>
    </x:row>
    <x:row r="259" ht="20" customHeight="1">
      <x:c r="A259" s="75" t="str">
        <x:v>WA-254</x:v>
      </x:c>
      <x:c r="B259" s="86" t="str">
        <x:v>Warrant source-empty baseline</x:v>
      </x:c>
      <x:c r="C259" s="75" t="str">
        <x:v>Warrant Ledger!S259</x:v>
      </x:c>
      <x:c r="D259" s="75" t="str">
        <x:v>SOURCE EMPTY</x:v>
      </x:c>
      <x:c r="E259" s="75" t="str">
        <x:f>IF('Warrant Ledger'!S259="SOURCE EMPTY","PASS","FAIL")</x:f>
        <x:v>PASS</x:v>
      </x:c>
      <x:c r="F259" s="75"/>
      <x:c r="G259" s="75"/>
      <x:c r="H259" s="75"/>
      <x:c r="I259" s="75"/>
      <x:c r="J259" s="75"/>
      <x:c r="K259" s="75"/>
      <x:c r="L259" s="75"/>
      <x:c r="M259" s="75"/>
      <x:c r="N259" s="75"/>
      <x:c r="O259" s="75"/>
      <x:c r="P259" s="75"/>
      <x:c r="Q259" s="75"/>
      <x:c r="R259" s="75"/>
      <x:c r="S259" s="75"/>
      <x:c r="T259" s="75"/>
      <x:c r="U259" s="75"/>
      <x:c r="V259" s="75"/>
      <x:c r="W259" s="75"/>
      <x:c r="X259" s="75"/>
      <x:c r="Y259" s="75"/>
      <x:c r="Z259" s="75"/>
    </x:row>
    <x:row r="260" ht="20" customHeight="1">
      <x:c r="A260" s="75" t="str">
        <x:v>WA-255</x:v>
      </x:c>
      <x:c r="B260" s="86" t="str">
        <x:v>Warrant source-empty baseline</x:v>
      </x:c>
      <x:c r="C260" s="75" t="str">
        <x:v>Warrant Ledger!S260</x:v>
      </x:c>
      <x:c r="D260" s="75" t="str">
        <x:v>SOURCE EMPTY</x:v>
      </x:c>
      <x:c r="E260" s="75" t="str">
        <x:f>IF('Warrant Ledger'!S260="SOURCE EMPTY","PASS","FAIL")</x:f>
        <x:v>PASS</x:v>
      </x:c>
      <x:c r="F260" s="75"/>
      <x:c r="G260" s="75"/>
      <x:c r="H260" s="75"/>
      <x:c r="I260" s="75"/>
      <x:c r="J260" s="75"/>
      <x:c r="K260" s="75"/>
      <x:c r="L260" s="75"/>
      <x:c r="M260" s="75"/>
      <x:c r="N260" s="75"/>
      <x:c r="O260" s="75"/>
      <x:c r="P260" s="75"/>
      <x:c r="Q260" s="75"/>
      <x:c r="R260" s="75"/>
      <x:c r="S260" s="75"/>
      <x:c r="T260" s="75"/>
      <x:c r="U260" s="75"/>
      <x:c r="V260" s="75"/>
      <x:c r="W260" s="75"/>
      <x:c r="X260" s="75"/>
      <x:c r="Y260" s="75"/>
      <x:c r="Z260" s="75"/>
    </x:row>
    <x:row r="261" ht="20" customHeight="1">
      <x:c r="A261" s="75" t="str">
        <x:v>WA-256</x:v>
      </x:c>
      <x:c r="B261" s="86" t="str">
        <x:v>Warrant source-empty baseline</x:v>
      </x:c>
      <x:c r="C261" s="75" t="str">
        <x:v>Warrant Ledger!S261</x:v>
      </x:c>
      <x:c r="D261" s="75" t="str">
        <x:v>SOURCE EMPTY</x:v>
      </x:c>
      <x:c r="E261" s="75" t="str">
        <x:f>IF('Warrant Ledger'!S261="SOURCE EMPTY","PASS","FAIL")</x:f>
        <x:v>PASS</x:v>
      </x:c>
      <x:c r="F261" s="75"/>
      <x:c r="G261" s="75"/>
      <x:c r="H261" s="75"/>
      <x:c r="I261" s="75"/>
      <x:c r="J261" s="75"/>
      <x:c r="K261" s="75"/>
      <x:c r="L261" s="75"/>
      <x:c r="M261" s="75"/>
      <x:c r="N261" s="75"/>
      <x:c r="O261" s="75"/>
      <x:c r="P261" s="75"/>
      <x:c r="Q261" s="75"/>
      <x:c r="R261" s="75"/>
      <x:c r="S261" s="75"/>
      <x:c r="T261" s="75"/>
      <x:c r="U261" s="75"/>
      <x:c r="V261" s="75"/>
      <x:c r="W261" s="75"/>
      <x:c r="X261" s="75"/>
      <x:c r="Y261" s="75"/>
      <x:c r="Z261" s="75"/>
    </x:row>
    <x:row r="262" ht="20" customHeight="1">
      <x:c r="A262" s="75" t="str">
        <x:v>WA-257</x:v>
      </x:c>
      <x:c r="B262" s="86" t="str">
        <x:v>Warrant source-empty baseline</x:v>
      </x:c>
      <x:c r="C262" s="75" t="str">
        <x:v>Warrant Ledger!S262</x:v>
      </x:c>
      <x:c r="D262" s="75" t="str">
        <x:v>SOURCE EMPTY</x:v>
      </x:c>
      <x:c r="E262" s="75" t="str">
        <x:f>IF('Warrant Ledger'!S262="SOURCE EMPTY","PASS","FAIL")</x:f>
        <x:v>PASS</x:v>
      </x:c>
      <x:c r="F262" s="75"/>
      <x:c r="G262" s="75"/>
      <x:c r="H262" s="75"/>
      <x:c r="I262" s="75"/>
      <x:c r="J262" s="75"/>
      <x:c r="K262" s="75"/>
      <x:c r="L262" s="75"/>
      <x:c r="M262" s="75"/>
      <x:c r="N262" s="75"/>
      <x:c r="O262" s="75"/>
      <x:c r="P262" s="75"/>
      <x:c r="Q262" s="75"/>
      <x:c r="R262" s="75"/>
      <x:c r="S262" s="75"/>
      <x:c r="T262" s="75"/>
      <x:c r="U262" s="75"/>
      <x:c r="V262" s="75"/>
      <x:c r="W262" s="75"/>
      <x:c r="X262" s="75"/>
      <x:c r="Y262" s="75"/>
      <x:c r="Z262" s="75"/>
    </x:row>
    <x:row r="263" ht="20" customHeight="1">
      <x:c r="A263" s="75" t="str">
        <x:v>WA-258</x:v>
      </x:c>
      <x:c r="B263" s="86" t="str">
        <x:v>Warrant source-empty baseline</x:v>
      </x:c>
      <x:c r="C263" s="75" t="str">
        <x:v>Warrant Ledger!S263</x:v>
      </x:c>
      <x:c r="D263" s="75" t="str">
        <x:v>SOURCE EMPTY</x:v>
      </x:c>
      <x:c r="E263" s="75" t="str">
        <x:f>IF('Warrant Ledger'!S263="SOURCE EMPTY","PASS","FAIL")</x:f>
        <x:v>PASS</x:v>
      </x:c>
      <x:c r="F263" s="75"/>
      <x:c r="G263" s="75"/>
      <x:c r="H263" s="75"/>
      <x:c r="I263" s="75"/>
      <x:c r="J263" s="75"/>
      <x:c r="K263" s="75"/>
      <x:c r="L263" s="75"/>
      <x:c r="M263" s="75"/>
      <x:c r="N263" s="75"/>
      <x:c r="O263" s="75"/>
      <x:c r="P263" s="75"/>
      <x:c r="Q263" s="75"/>
      <x:c r="R263" s="75"/>
      <x:c r="S263" s="75"/>
      <x:c r="T263" s="75"/>
      <x:c r="U263" s="75"/>
      <x:c r="V263" s="75"/>
      <x:c r="W263" s="75"/>
      <x:c r="X263" s="75"/>
      <x:c r="Y263" s="75"/>
      <x:c r="Z263" s="75"/>
    </x:row>
    <x:row r="264" ht="20" customHeight="1">
      <x:c r="A264" s="75" t="str">
        <x:v>WA-259</x:v>
      </x:c>
      <x:c r="B264" s="86" t="str">
        <x:v>Warrant source-empty baseline</x:v>
      </x:c>
      <x:c r="C264" s="75" t="str">
        <x:v>Warrant Ledger!S264</x:v>
      </x:c>
      <x:c r="D264" s="75" t="str">
        <x:v>SOURCE EMPTY</x:v>
      </x:c>
      <x:c r="E264" s="75" t="str">
        <x:f>IF('Warrant Ledger'!S264="SOURCE EMPTY","PASS","FAIL")</x:f>
        <x:v>PASS</x:v>
      </x:c>
      <x:c r="F264" s="75"/>
      <x:c r="G264" s="75"/>
      <x:c r="H264" s="75"/>
      <x:c r="I264" s="75"/>
      <x:c r="J264" s="75"/>
      <x:c r="K264" s="75"/>
      <x:c r="L264" s="75"/>
      <x:c r="M264" s="75"/>
      <x:c r="N264" s="75"/>
      <x:c r="O264" s="75"/>
      <x:c r="P264" s="75"/>
      <x:c r="Q264" s="75"/>
      <x:c r="R264" s="75"/>
      <x:c r="S264" s="75"/>
      <x:c r="T264" s="75"/>
      <x:c r="U264" s="75"/>
      <x:c r="V264" s="75"/>
      <x:c r="W264" s="75"/>
      <x:c r="X264" s="75"/>
      <x:c r="Y264" s="75"/>
      <x:c r="Z264" s="75"/>
    </x:row>
    <x:row r="265" ht="20" customHeight="1">
      <x:c r="A265" s="75" t="str">
        <x:v>WA-260</x:v>
      </x:c>
      <x:c r="B265" s="86" t="str">
        <x:v>Warrant source-empty baseline</x:v>
      </x:c>
      <x:c r="C265" s="75" t="str">
        <x:v>Warrant Ledger!S265</x:v>
      </x:c>
      <x:c r="D265" s="75" t="str">
        <x:v>SOURCE EMPTY</x:v>
      </x:c>
      <x:c r="E265" s="75" t="str">
        <x:f>IF('Warrant Ledger'!S265="SOURCE EMPTY","PASS","FAIL")</x:f>
        <x:v>PASS</x:v>
      </x:c>
      <x:c r="F265" s="75"/>
      <x:c r="G265" s="75"/>
      <x:c r="H265" s="75"/>
      <x:c r="I265" s="75"/>
      <x:c r="J265" s="75"/>
      <x:c r="K265" s="75"/>
      <x:c r="L265" s="75"/>
      <x:c r="M265" s="75"/>
      <x:c r="N265" s="75"/>
      <x:c r="O265" s="75"/>
      <x:c r="P265" s="75"/>
      <x:c r="Q265" s="75"/>
      <x:c r="R265" s="75"/>
      <x:c r="S265" s="75"/>
      <x:c r="T265" s="75"/>
      <x:c r="U265" s="75"/>
      <x:c r="V265" s="75"/>
      <x:c r="W265" s="75"/>
      <x:c r="X265" s="75"/>
      <x:c r="Y265" s="75"/>
      <x:c r="Z265" s="75"/>
    </x:row>
    <x:row r="266" ht="20" customHeight="1">
      <x:c r="A266" s="75" t="str">
        <x:v>WA-261</x:v>
      </x:c>
      <x:c r="B266" s="86" t="str">
        <x:v>Warrant source-empty baseline</x:v>
      </x:c>
      <x:c r="C266" s="75" t="str">
        <x:v>Warrant Ledger!S266</x:v>
      </x:c>
      <x:c r="D266" s="75" t="str">
        <x:v>SOURCE EMPTY</x:v>
      </x:c>
      <x:c r="E266" s="75" t="str">
        <x:f>IF('Warrant Ledger'!S266="SOURCE EMPTY","PASS","FAIL")</x:f>
        <x:v>PASS</x:v>
      </x:c>
      <x:c r="F266" s="75"/>
      <x:c r="G266" s="75"/>
      <x:c r="H266" s="75"/>
      <x:c r="I266" s="75"/>
      <x:c r="J266" s="75"/>
      <x:c r="K266" s="75"/>
      <x:c r="L266" s="75"/>
      <x:c r="M266" s="75"/>
      <x:c r="N266" s="75"/>
      <x:c r="O266" s="75"/>
      <x:c r="P266" s="75"/>
      <x:c r="Q266" s="75"/>
      <x:c r="R266" s="75"/>
      <x:c r="S266" s="75"/>
      <x:c r="T266" s="75"/>
      <x:c r="U266" s="75"/>
      <x:c r="V266" s="75"/>
      <x:c r="W266" s="75"/>
      <x:c r="X266" s="75"/>
      <x:c r="Y266" s="75"/>
      <x:c r="Z266" s="75"/>
    </x:row>
    <x:row r="267" ht="20" customHeight="1">
      <x:c r="A267" s="75" t="str">
        <x:v>WA-262</x:v>
      </x:c>
      <x:c r="B267" s="86" t="str">
        <x:v>Warrant source-empty baseline</x:v>
      </x:c>
      <x:c r="C267" s="75" t="str">
        <x:v>Warrant Ledger!S267</x:v>
      </x:c>
      <x:c r="D267" s="75" t="str">
        <x:v>SOURCE EMPTY</x:v>
      </x:c>
      <x:c r="E267" s="75" t="str">
        <x:f>IF('Warrant Ledger'!S267="SOURCE EMPTY","PASS","FAIL")</x:f>
        <x:v>PASS</x:v>
      </x:c>
      <x:c r="F267" s="75"/>
      <x:c r="G267" s="75"/>
      <x:c r="H267" s="75"/>
      <x:c r="I267" s="75"/>
      <x:c r="J267" s="75"/>
      <x:c r="K267" s="75"/>
      <x:c r="L267" s="75"/>
      <x:c r="M267" s="75"/>
      <x:c r="N267" s="75"/>
      <x:c r="O267" s="75"/>
      <x:c r="P267" s="75"/>
      <x:c r="Q267" s="75"/>
      <x:c r="R267" s="75"/>
      <x:c r="S267" s="75"/>
      <x:c r="T267" s="75"/>
      <x:c r="U267" s="75"/>
      <x:c r="V267" s="75"/>
      <x:c r="W267" s="75"/>
      <x:c r="X267" s="75"/>
      <x:c r="Y267" s="75"/>
      <x:c r="Z267" s="75"/>
    </x:row>
    <x:row r="268" ht="20" customHeight="1">
      <x:c r="A268" s="75" t="str">
        <x:v>WA-263</x:v>
      </x:c>
      <x:c r="B268" s="86" t="str">
        <x:v>Warrant source-empty baseline</x:v>
      </x:c>
      <x:c r="C268" s="75" t="str">
        <x:v>Warrant Ledger!S268</x:v>
      </x:c>
      <x:c r="D268" s="75" t="str">
        <x:v>SOURCE EMPTY</x:v>
      </x:c>
      <x:c r="E268" s="75" t="str">
        <x:f>IF('Warrant Ledger'!S268="SOURCE EMPTY","PASS","FAIL")</x:f>
        <x:v>PASS</x:v>
      </x:c>
      <x:c r="F268" s="75"/>
      <x:c r="G268" s="75"/>
      <x:c r="H268" s="75"/>
      <x:c r="I268" s="75"/>
      <x:c r="J268" s="75"/>
      <x:c r="K268" s="75"/>
      <x:c r="L268" s="75"/>
      <x:c r="M268" s="75"/>
      <x:c r="N268" s="75"/>
      <x:c r="O268" s="75"/>
      <x:c r="P268" s="75"/>
      <x:c r="Q268" s="75"/>
      <x:c r="R268" s="75"/>
      <x:c r="S268" s="75"/>
      <x:c r="T268" s="75"/>
      <x:c r="U268" s="75"/>
      <x:c r="V268" s="75"/>
      <x:c r="W268" s="75"/>
      <x:c r="X268" s="75"/>
      <x:c r="Y268" s="75"/>
      <x:c r="Z268" s="75"/>
    </x:row>
    <x:row r="269" ht="20" customHeight="1">
      <x:c r="A269" s="75" t="str">
        <x:v>WA-264</x:v>
      </x:c>
      <x:c r="B269" s="86" t="str">
        <x:v>Warrant source-empty baseline</x:v>
      </x:c>
      <x:c r="C269" s="75" t="str">
        <x:v>Warrant Ledger!S269</x:v>
      </x:c>
      <x:c r="D269" s="75" t="str">
        <x:v>SOURCE EMPTY</x:v>
      </x:c>
      <x:c r="E269" s="75" t="str">
        <x:f>IF('Warrant Ledger'!S269="SOURCE EMPTY","PASS","FAIL")</x:f>
        <x:v>PASS</x:v>
      </x:c>
      <x:c r="F269" s="75"/>
      <x:c r="G269" s="75"/>
      <x:c r="H269" s="75"/>
      <x:c r="I269" s="75"/>
      <x:c r="J269" s="75"/>
      <x:c r="K269" s="75"/>
      <x:c r="L269" s="75"/>
      <x:c r="M269" s="75"/>
      <x:c r="N269" s="75"/>
      <x:c r="O269" s="75"/>
      <x:c r="P269" s="75"/>
      <x:c r="Q269" s="75"/>
      <x:c r="R269" s="75"/>
      <x:c r="S269" s="75"/>
      <x:c r="T269" s="75"/>
      <x:c r="U269" s="75"/>
      <x:c r="V269" s="75"/>
      <x:c r="W269" s="75"/>
      <x:c r="X269" s="75"/>
      <x:c r="Y269" s="75"/>
      <x:c r="Z269" s="75"/>
    </x:row>
    <x:row r="270" ht="20" customHeight="1">
      <x:c r="A270" s="75" t="str">
        <x:v>WA-265</x:v>
      </x:c>
      <x:c r="B270" s="86" t="str">
        <x:v>Warrant source-empty baseline</x:v>
      </x:c>
      <x:c r="C270" s="75" t="str">
        <x:v>Warrant Ledger!S270</x:v>
      </x:c>
      <x:c r="D270" s="75" t="str">
        <x:v>SOURCE EMPTY</x:v>
      </x:c>
      <x:c r="E270" s="75" t="str">
        <x:f>IF('Warrant Ledger'!S270="SOURCE EMPTY","PASS","FAIL")</x:f>
        <x:v>PASS</x:v>
      </x:c>
      <x:c r="F270" s="75"/>
      <x:c r="G270" s="75"/>
      <x:c r="H270" s="75"/>
      <x:c r="I270" s="75"/>
      <x:c r="J270" s="75"/>
      <x:c r="K270" s="75"/>
      <x:c r="L270" s="75"/>
      <x:c r="M270" s="75"/>
      <x:c r="N270" s="75"/>
      <x:c r="O270" s="75"/>
      <x:c r="P270" s="75"/>
      <x:c r="Q270" s="75"/>
      <x:c r="R270" s="75"/>
      <x:c r="S270" s="75"/>
      <x:c r="T270" s="75"/>
      <x:c r="U270" s="75"/>
      <x:c r="V270" s="75"/>
      <x:c r="W270" s="75"/>
      <x:c r="X270" s="75"/>
      <x:c r="Y270" s="75"/>
      <x:c r="Z270" s="75"/>
    </x:row>
    <x:row r="271" ht="20" customHeight="1">
      <x:c r="A271" s="75" t="str">
        <x:v>WA-266</x:v>
      </x:c>
      <x:c r="B271" s="86" t="str">
        <x:v>Warrant source-empty baseline</x:v>
      </x:c>
      <x:c r="C271" s="75" t="str">
        <x:v>Warrant Ledger!S271</x:v>
      </x:c>
      <x:c r="D271" s="75" t="str">
        <x:v>SOURCE EMPTY</x:v>
      </x:c>
      <x:c r="E271" s="75" t="str">
        <x:f>IF('Warrant Ledger'!S271="SOURCE EMPTY","PASS","FAIL")</x:f>
        <x:v>PASS</x:v>
      </x:c>
      <x:c r="F271" s="75"/>
      <x:c r="G271" s="75"/>
      <x:c r="H271" s="75"/>
      <x:c r="I271" s="75"/>
      <x:c r="J271" s="75"/>
      <x:c r="K271" s="75"/>
      <x:c r="L271" s="75"/>
      <x:c r="M271" s="75"/>
      <x:c r="N271" s="75"/>
      <x:c r="O271" s="75"/>
      <x:c r="P271" s="75"/>
      <x:c r="Q271" s="75"/>
      <x:c r="R271" s="75"/>
      <x:c r="S271" s="75"/>
      <x:c r="T271" s="75"/>
      <x:c r="U271" s="75"/>
      <x:c r="V271" s="75"/>
      <x:c r="W271" s="75"/>
      <x:c r="X271" s="75"/>
      <x:c r="Y271" s="75"/>
      <x:c r="Z271" s="75"/>
    </x:row>
    <x:row r="272" ht="20" customHeight="1">
      <x:c r="A272" s="75" t="str">
        <x:v>WA-267</x:v>
      </x:c>
      <x:c r="B272" s="86" t="str">
        <x:v>Warrant source-empty baseline</x:v>
      </x:c>
      <x:c r="C272" s="75" t="str">
        <x:v>Warrant Ledger!S272</x:v>
      </x:c>
      <x:c r="D272" s="75" t="str">
        <x:v>SOURCE EMPTY</x:v>
      </x:c>
      <x:c r="E272" s="75" t="str">
        <x:f>IF('Warrant Ledger'!S272="SOURCE EMPTY","PASS","FAIL")</x:f>
        <x:v>PASS</x:v>
      </x:c>
      <x:c r="F272" s="75"/>
      <x:c r="G272" s="75"/>
      <x:c r="H272" s="75"/>
      <x:c r="I272" s="75"/>
      <x:c r="J272" s="75"/>
      <x:c r="K272" s="75"/>
      <x:c r="L272" s="75"/>
      <x:c r="M272" s="75"/>
      <x:c r="N272" s="75"/>
      <x:c r="O272" s="75"/>
      <x:c r="P272" s="75"/>
      <x:c r="Q272" s="75"/>
      <x:c r="R272" s="75"/>
      <x:c r="S272" s="75"/>
      <x:c r="T272" s="75"/>
      <x:c r="U272" s="75"/>
      <x:c r="V272" s="75"/>
      <x:c r="W272" s="75"/>
      <x:c r="X272" s="75"/>
      <x:c r="Y272" s="75"/>
      <x:c r="Z272" s="75"/>
    </x:row>
    <x:row r="273" ht="20" customHeight="1">
      <x:c r="A273" s="75" t="str">
        <x:v>WA-268</x:v>
      </x:c>
      <x:c r="B273" s="86" t="str">
        <x:v>Warrant source-empty baseline</x:v>
      </x:c>
      <x:c r="C273" s="75" t="str">
        <x:v>Warrant Ledger!S273</x:v>
      </x:c>
      <x:c r="D273" s="75" t="str">
        <x:v>SOURCE EMPTY</x:v>
      </x:c>
      <x:c r="E273" s="75" t="str">
        <x:f>IF('Warrant Ledger'!S273="SOURCE EMPTY","PASS","FAIL")</x:f>
        <x:v>PASS</x:v>
      </x:c>
      <x:c r="F273" s="75"/>
      <x:c r="G273" s="75"/>
      <x:c r="H273" s="75"/>
      <x:c r="I273" s="75"/>
      <x:c r="J273" s="75"/>
      <x:c r="K273" s="75"/>
      <x:c r="L273" s="75"/>
      <x:c r="M273" s="75"/>
      <x:c r="N273" s="75"/>
      <x:c r="O273" s="75"/>
      <x:c r="P273" s="75"/>
      <x:c r="Q273" s="75"/>
      <x:c r="R273" s="75"/>
      <x:c r="S273" s="75"/>
      <x:c r="T273" s="75"/>
      <x:c r="U273" s="75"/>
      <x:c r="V273" s="75"/>
      <x:c r="W273" s="75"/>
      <x:c r="X273" s="75"/>
      <x:c r="Y273" s="75"/>
      <x:c r="Z273" s="75"/>
    </x:row>
    <x:row r="274" ht="20" customHeight="1">
      <x:c r="A274" s="75" t="str">
        <x:v>WA-269</x:v>
      </x:c>
      <x:c r="B274" s="86" t="str">
        <x:v>Warrant source-empty baseline</x:v>
      </x:c>
      <x:c r="C274" s="75" t="str">
        <x:v>Warrant Ledger!S274</x:v>
      </x:c>
      <x:c r="D274" s="75" t="str">
        <x:v>SOURCE EMPTY</x:v>
      </x:c>
      <x:c r="E274" s="75" t="str">
        <x:f>IF('Warrant Ledger'!S274="SOURCE EMPTY","PASS","FAIL")</x:f>
        <x:v>PASS</x:v>
      </x:c>
      <x:c r="F274" s="75"/>
      <x:c r="G274" s="75"/>
      <x:c r="H274" s="75"/>
      <x:c r="I274" s="75"/>
      <x:c r="J274" s="75"/>
      <x:c r="K274" s="75"/>
      <x:c r="L274" s="75"/>
      <x:c r="M274" s="75"/>
      <x:c r="N274" s="75"/>
      <x:c r="O274" s="75"/>
      <x:c r="P274" s="75"/>
      <x:c r="Q274" s="75"/>
      <x:c r="R274" s="75"/>
      <x:c r="S274" s="75"/>
      <x:c r="T274" s="75"/>
      <x:c r="U274" s="75"/>
      <x:c r="V274" s="75"/>
      <x:c r="W274" s="75"/>
      <x:c r="X274" s="75"/>
      <x:c r="Y274" s="75"/>
      <x:c r="Z274" s="75"/>
    </x:row>
    <x:row r="275" ht="20" customHeight="1">
      <x:c r="A275" s="75" t="str">
        <x:v>WA-270</x:v>
      </x:c>
      <x:c r="B275" s="86" t="str">
        <x:v>Warrant source-empty baseline</x:v>
      </x:c>
      <x:c r="C275" s="75" t="str">
        <x:v>Warrant Ledger!S275</x:v>
      </x:c>
      <x:c r="D275" s="75" t="str">
        <x:v>SOURCE EMPTY</x:v>
      </x:c>
      <x:c r="E275" s="75" t="str">
        <x:f>IF('Warrant Ledger'!S275="SOURCE EMPTY","PASS","FAIL")</x:f>
        <x:v>PASS</x:v>
      </x:c>
      <x:c r="F275" s="75"/>
      <x:c r="G275" s="75"/>
      <x:c r="H275" s="75"/>
      <x:c r="I275" s="75"/>
      <x:c r="J275" s="75"/>
      <x:c r="K275" s="75"/>
      <x:c r="L275" s="75"/>
      <x:c r="M275" s="75"/>
      <x:c r="N275" s="75"/>
      <x:c r="O275" s="75"/>
      <x:c r="P275" s="75"/>
      <x:c r="Q275" s="75"/>
      <x:c r="R275" s="75"/>
      <x:c r="S275" s="75"/>
      <x:c r="T275" s="75"/>
      <x:c r="U275" s="75"/>
      <x:c r="V275" s="75"/>
      <x:c r="W275" s="75"/>
      <x:c r="X275" s="75"/>
      <x:c r="Y275" s="75"/>
      <x:c r="Z275" s="75"/>
    </x:row>
    <x:row r="276" ht="20" customHeight="1">
      <x:c r="A276" s="75" t="str">
        <x:v>WA-271</x:v>
      </x:c>
      <x:c r="B276" s="86" t="str">
        <x:v>Warrant source-empty baseline</x:v>
      </x:c>
      <x:c r="C276" s="75" t="str">
        <x:v>Warrant Ledger!S276</x:v>
      </x:c>
      <x:c r="D276" s="75" t="str">
        <x:v>SOURCE EMPTY</x:v>
      </x:c>
      <x:c r="E276" s="75" t="str">
        <x:f>IF('Warrant Ledger'!S276="SOURCE EMPTY","PASS","FAIL")</x:f>
        <x:v>PASS</x:v>
      </x:c>
      <x:c r="F276" s="75"/>
      <x:c r="G276" s="75"/>
      <x:c r="H276" s="75"/>
      <x:c r="I276" s="75"/>
      <x:c r="J276" s="75"/>
      <x:c r="K276" s="75"/>
      <x:c r="L276" s="75"/>
      <x:c r="M276" s="75"/>
      <x:c r="N276" s="75"/>
      <x:c r="O276" s="75"/>
      <x:c r="P276" s="75"/>
      <x:c r="Q276" s="75"/>
      <x:c r="R276" s="75"/>
      <x:c r="S276" s="75"/>
      <x:c r="T276" s="75"/>
      <x:c r="U276" s="75"/>
      <x:c r="V276" s="75"/>
      <x:c r="W276" s="75"/>
      <x:c r="X276" s="75"/>
      <x:c r="Y276" s="75"/>
      <x:c r="Z276" s="75"/>
    </x:row>
    <x:row r="277" ht="20" customHeight="1">
      <x:c r="A277" s="75" t="str">
        <x:v>WA-272</x:v>
      </x:c>
      <x:c r="B277" s="86" t="str">
        <x:v>Warrant source-empty baseline</x:v>
      </x:c>
      <x:c r="C277" s="75" t="str">
        <x:v>Warrant Ledger!S277</x:v>
      </x:c>
      <x:c r="D277" s="75" t="str">
        <x:v>SOURCE EMPTY</x:v>
      </x:c>
      <x:c r="E277" s="75" t="str">
        <x:f>IF('Warrant Ledger'!S277="SOURCE EMPTY","PASS","FAIL")</x:f>
        <x:v>PASS</x:v>
      </x:c>
      <x:c r="F277" s="75"/>
      <x:c r="G277" s="75"/>
      <x:c r="H277" s="75"/>
      <x:c r="I277" s="75"/>
      <x:c r="J277" s="75"/>
      <x:c r="K277" s="75"/>
      <x:c r="L277" s="75"/>
      <x:c r="M277" s="75"/>
      <x:c r="N277" s="75"/>
      <x:c r="O277" s="75"/>
      <x:c r="P277" s="75"/>
      <x:c r="Q277" s="75"/>
      <x:c r="R277" s="75"/>
      <x:c r="S277" s="75"/>
      <x:c r="T277" s="75"/>
      <x:c r="U277" s="75"/>
      <x:c r="V277" s="75"/>
      <x:c r="W277" s="75"/>
      <x:c r="X277" s="75"/>
      <x:c r="Y277" s="75"/>
      <x:c r="Z277" s="75"/>
    </x:row>
    <x:row r="278" ht="20" customHeight="1">
      <x:c r="A278" s="75" t="str">
        <x:v>WA-273</x:v>
      </x:c>
      <x:c r="B278" s="86" t="str">
        <x:v>Warrant source-empty baseline</x:v>
      </x:c>
      <x:c r="C278" s="75" t="str">
        <x:v>Warrant Ledger!S278</x:v>
      </x:c>
      <x:c r="D278" s="75" t="str">
        <x:v>SOURCE EMPTY</x:v>
      </x:c>
      <x:c r="E278" s="75" t="str">
        <x:f>IF('Warrant Ledger'!S278="SOURCE EMPTY","PASS","FAIL")</x:f>
        <x:v>PASS</x:v>
      </x:c>
      <x:c r="F278" s="75"/>
      <x:c r="G278" s="75"/>
      <x:c r="H278" s="75"/>
      <x:c r="I278" s="75"/>
      <x:c r="J278" s="75"/>
      <x:c r="K278" s="75"/>
      <x:c r="L278" s="75"/>
      <x:c r="M278" s="75"/>
      <x:c r="N278" s="75"/>
      <x:c r="O278" s="75"/>
      <x:c r="P278" s="75"/>
      <x:c r="Q278" s="75"/>
      <x:c r="R278" s="75"/>
      <x:c r="S278" s="75"/>
      <x:c r="T278" s="75"/>
      <x:c r="U278" s="75"/>
      <x:c r="V278" s="75"/>
      <x:c r="W278" s="75"/>
      <x:c r="X278" s="75"/>
      <x:c r="Y278" s="75"/>
      <x:c r="Z278" s="75"/>
    </x:row>
    <x:row r="279" ht="20" customHeight="1">
      <x:c r="A279" s="75" t="str">
        <x:v>WA-274</x:v>
      </x:c>
      <x:c r="B279" s="86" t="str">
        <x:v>Warrant source-empty baseline</x:v>
      </x:c>
      <x:c r="C279" s="75" t="str">
        <x:v>Warrant Ledger!S279</x:v>
      </x:c>
      <x:c r="D279" s="75" t="str">
        <x:v>SOURCE EMPTY</x:v>
      </x:c>
      <x:c r="E279" s="75" t="str">
        <x:f>IF('Warrant Ledger'!S279="SOURCE EMPTY","PASS","FAIL")</x:f>
        <x:v>PASS</x:v>
      </x:c>
      <x:c r="F279" s="75"/>
      <x:c r="G279" s="75"/>
      <x:c r="H279" s="75"/>
      <x:c r="I279" s="75"/>
      <x:c r="J279" s="75"/>
      <x:c r="K279" s="75"/>
      <x:c r="L279" s="75"/>
      <x:c r="M279" s="75"/>
      <x:c r="N279" s="75"/>
      <x:c r="O279" s="75"/>
      <x:c r="P279" s="75"/>
      <x:c r="Q279" s="75"/>
      <x:c r="R279" s="75"/>
      <x:c r="S279" s="75"/>
      <x:c r="T279" s="75"/>
      <x:c r="U279" s="75"/>
      <x:c r="V279" s="75"/>
      <x:c r="W279" s="75"/>
      <x:c r="X279" s="75"/>
      <x:c r="Y279" s="75"/>
      <x:c r="Z279" s="75"/>
    </x:row>
    <x:row r="280" ht="20" customHeight="1">
      <x:c r="A280" s="75" t="str">
        <x:v>WA-275</x:v>
      </x:c>
      <x:c r="B280" s="86" t="str">
        <x:v>Warrant source-empty baseline</x:v>
      </x:c>
      <x:c r="C280" s="75" t="str">
        <x:v>Warrant Ledger!S280</x:v>
      </x:c>
      <x:c r="D280" s="75" t="str">
        <x:v>SOURCE EMPTY</x:v>
      </x:c>
      <x:c r="E280" s="75" t="str">
        <x:f>IF('Warrant Ledger'!S280="SOURCE EMPTY","PASS","FAIL")</x:f>
        <x:v>PASS</x:v>
      </x:c>
      <x:c r="F280" s="75"/>
      <x:c r="G280" s="75"/>
      <x:c r="H280" s="75"/>
      <x:c r="I280" s="75"/>
      <x:c r="J280" s="75"/>
      <x:c r="K280" s="75"/>
      <x:c r="L280" s="75"/>
      <x:c r="M280" s="75"/>
      <x:c r="N280" s="75"/>
      <x:c r="O280" s="75"/>
      <x:c r="P280" s="75"/>
      <x:c r="Q280" s="75"/>
      <x:c r="R280" s="75"/>
      <x:c r="S280" s="75"/>
      <x:c r="T280" s="75"/>
      <x:c r="U280" s="75"/>
      <x:c r="V280" s="75"/>
      <x:c r="W280" s="75"/>
      <x:c r="X280" s="75"/>
      <x:c r="Y280" s="75"/>
      <x:c r="Z280" s="75"/>
    </x:row>
    <x:row r="281" ht="20" customHeight="1">
      <x:c r="A281" s="75" t="str">
        <x:v>WA-276</x:v>
      </x:c>
      <x:c r="B281" s="86" t="str">
        <x:v>Warrant source-empty baseline</x:v>
      </x:c>
      <x:c r="C281" s="75" t="str">
        <x:v>Warrant Ledger!S281</x:v>
      </x:c>
      <x:c r="D281" s="75" t="str">
        <x:v>SOURCE EMPTY</x:v>
      </x:c>
      <x:c r="E281" s="75" t="str">
        <x:f>IF('Warrant Ledger'!S281="SOURCE EMPTY","PASS","FAIL")</x:f>
        <x:v>PASS</x:v>
      </x:c>
      <x:c r="F281" s="75"/>
      <x:c r="G281" s="75"/>
      <x:c r="H281" s="75"/>
      <x:c r="I281" s="75"/>
      <x:c r="J281" s="75"/>
      <x:c r="K281" s="75"/>
      <x:c r="L281" s="75"/>
      <x:c r="M281" s="75"/>
      <x:c r="N281" s="75"/>
      <x:c r="O281" s="75"/>
      <x:c r="P281" s="75"/>
      <x:c r="Q281" s="75"/>
      <x:c r="R281" s="75"/>
      <x:c r="S281" s="75"/>
      <x:c r="T281" s="75"/>
      <x:c r="U281" s="75"/>
      <x:c r="V281" s="75"/>
      <x:c r="W281" s="75"/>
      <x:c r="X281" s="75"/>
      <x:c r="Y281" s="75"/>
      <x:c r="Z281" s="75"/>
    </x:row>
    <x:row r="282" ht="20" customHeight="1">
      <x:c r="A282" s="75" t="str">
        <x:v>WA-277</x:v>
      </x:c>
      <x:c r="B282" s="86" t="str">
        <x:v>Warrant source-empty baseline</x:v>
      </x:c>
      <x:c r="C282" s="75" t="str">
        <x:v>Warrant Ledger!S282</x:v>
      </x:c>
      <x:c r="D282" s="75" t="str">
        <x:v>SOURCE EMPTY</x:v>
      </x:c>
      <x:c r="E282" s="75" t="str">
        <x:f>IF('Warrant Ledger'!S282="SOURCE EMPTY","PASS","FAIL")</x:f>
        <x:v>PASS</x:v>
      </x:c>
      <x:c r="F282" s="75"/>
      <x:c r="G282" s="75"/>
      <x:c r="H282" s="75"/>
      <x:c r="I282" s="75"/>
      <x:c r="J282" s="75"/>
      <x:c r="K282" s="75"/>
      <x:c r="L282" s="75"/>
      <x:c r="M282" s="75"/>
      <x:c r="N282" s="75"/>
      <x:c r="O282" s="75"/>
      <x:c r="P282" s="75"/>
      <x:c r="Q282" s="75"/>
      <x:c r="R282" s="75"/>
      <x:c r="S282" s="75"/>
      <x:c r="T282" s="75"/>
      <x:c r="U282" s="75"/>
      <x:c r="V282" s="75"/>
      <x:c r="W282" s="75"/>
      <x:c r="X282" s="75"/>
      <x:c r="Y282" s="75"/>
      <x:c r="Z282" s="75"/>
    </x:row>
    <x:row r="283" ht="20" customHeight="1">
      <x:c r="A283" s="75" t="str">
        <x:v>WA-278</x:v>
      </x:c>
      <x:c r="B283" s="86" t="str">
        <x:v>Warrant source-empty baseline</x:v>
      </x:c>
      <x:c r="C283" s="75" t="str">
        <x:v>Warrant Ledger!S283</x:v>
      </x:c>
      <x:c r="D283" s="75" t="str">
        <x:v>SOURCE EMPTY</x:v>
      </x:c>
      <x:c r="E283" s="75" t="str">
        <x:f>IF('Warrant Ledger'!S283="SOURCE EMPTY","PASS","FAIL")</x:f>
        <x:v>PASS</x:v>
      </x:c>
      <x:c r="F283" s="75"/>
      <x:c r="G283" s="75"/>
      <x:c r="H283" s="75"/>
      <x:c r="I283" s="75"/>
      <x:c r="J283" s="75"/>
      <x:c r="K283" s="75"/>
      <x:c r="L283" s="75"/>
      <x:c r="M283" s="75"/>
      <x:c r="N283" s="75"/>
      <x:c r="O283" s="75"/>
      <x:c r="P283" s="75"/>
      <x:c r="Q283" s="75"/>
      <x:c r="R283" s="75"/>
      <x:c r="S283" s="75"/>
      <x:c r="T283" s="75"/>
      <x:c r="U283" s="75"/>
      <x:c r="V283" s="75"/>
      <x:c r="W283" s="75"/>
      <x:c r="X283" s="75"/>
      <x:c r="Y283" s="75"/>
      <x:c r="Z283" s="75"/>
    </x:row>
    <x:row r="284" ht="20" customHeight="1">
      <x:c r="A284" s="75" t="str">
        <x:v>WA-279</x:v>
      </x:c>
      <x:c r="B284" s="86" t="str">
        <x:v>Warrant source-empty baseline</x:v>
      </x:c>
      <x:c r="C284" s="75" t="str">
        <x:v>Warrant Ledger!S284</x:v>
      </x:c>
      <x:c r="D284" s="75" t="str">
        <x:v>SOURCE EMPTY</x:v>
      </x:c>
      <x:c r="E284" s="75" t="str">
        <x:f>IF('Warrant Ledger'!S284="SOURCE EMPTY","PASS","FAIL")</x:f>
        <x:v>PASS</x:v>
      </x:c>
      <x:c r="F284" s="75"/>
      <x:c r="G284" s="75"/>
      <x:c r="H284" s="75"/>
      <x:c r="I284" s="75"/>
      <x:c r="J284" s="75"/>
      <x:c r="K284" s="75"/>
      <x:c r="L284" s="75"/>
      <x:c r="M284" s="75"/>
      <x:c r="N284" s="75"/>
      <x:c r="O284" s="75"/>
      <x:c r="P284" s="75"/>
      <x:c r="Q284" s="75"/>
      <x:c r="R284" s="75"/>
      <x:c r="S284" s="75"/>
      <x:c r="T284" s="75"/>
      <x:c r="U284" s="75"/>
      <x:c r="V284" s="75"/>
      <x:c r="W284" s="75"/>
      <x:c r="X284" s="75"/>
      <x:c r="Y284" s="75"/>
      <x:c r="Z284" s="75"/>
    </x:row>
    <x:row r="285" ht="20" customHeight="1">
      <x:c r="A285" s="75" t="str">
        <x:v>WA-280</x:v>
      </x:c>
      <x:c r="B285" s="86" t="str">
        <x:v>Warrant source-empty baseline</x:v>
      </x:c>
      <x:c r="C285" s="75" t="str">
        <x:v>Warrant Ledger!S285</x:v>
      </x:c>
      <x:c r="D285" s="75" t="str">
        <x:v>SOURCE EMPTY</x:v>
      </x:c>
      <x:c r="E285" s="75" t="str">
        <x:f>IF('Warrant Ledger'!S285="SOURCE EMPTY","PASS","FAIL")</x:f>
        <x:v>PASS</x:v>
      </x:c>
      <x:c r="F285" s="75"/>
      <x:c r="G285" s="75"/>
      <x:c r="H285" s="75"/>
      <x:c r="I285" s="75"/>
      <x:c r="J285" s="75"/>
      <x:c r="K285" s="75"/>
      <x:c r="L285" s="75"/>
      <x:c r="M285" s="75"/>
      <x:c r="N285" s="75"/>
      <x:c r="O285" s="75"/>
      <x:c r="P285" s="75"/>
      <x:c r="Q285" s="75"/>
      <x:c r="R285" s="75"/>
      <x:c r="S285" s="75"/>
      <x:c r="T285" s="75"/>
      <x:c r="U285" s="75"/>
      <x:c r="V285" s="75"/>
      <x:c r="W285" s="75"/>
      <x:c r="X285" s="75"/>
      <x:c r="Y285" s="75"/>
      <x:c r="Z285" s="75"/>
    </x:row>
    <x:row r="286" ht="20" customHeight="1">
      <x:c r="A286" s="75" t="str">
        <x:v>WA-281</x:v>
      </x:c>
      <x:c r="B286" s="86" t="str">
        <x:v>Warrant source-empty baseline</x:v>
      </x:c>
      <x:c r="C286" s="75" t="str">
        <x:v>Warrant Ledger!S286</x:v>
      </x:c>
      <x:c r="D286" s="75" t="str">
        <x:v>SOURCE EMPTY</x:v>
      </x:c>
      <x:c r="E286" s="75" t="str">
        <x:f>IF('Warrant Ledger'!S286="SOURCE EMPTY","PASS","FAIL")</x:f>
        <x:v>PASS</x:v>
      </x:c>
      <x:c r="F286" s="75"/>
      <x:c r="G286" s="75"/>
      <x:c r="H286" s="75"/>
      <x:c r="I286" s="75"/>
      <x:c r="J286" s="75"/>
      <x:c r="K286" s="75"/>
      <x:c r="L286" s="75"/>
      <x:c r="M286" s="75"/>
      <x:c r="N286" s="75"/>
      <x:c r="O286" s="75"/>
      <x:c r="P286" s="75"/>
      <x:c r="Q286" s="75"/>
      <x:c r="R286" s="75"/>
      <x:c r="S286" s="75"/>
      <x:c r="T286" s="75"/>
      <x:c r="U286" s="75"/>
      <x:c r="V286" s="75"/>
      <x:c r="W286" s="75"/>
      <x:c r="X286" s="75"/>
      <x:c r="Y286" s="75"/>
      <x:c r="Z286" s="75"/>
    </x:row>
    <x:row r="287" ht="20" customHeight="1">
      <x:c r="A287" s="75" t="str">
        <x:v>WA-282</x:v>
      </x:c>
      <x:c r="B287" s="86" t="str">
        <x:v>Warrant source-empty baseline</x:v>
      </x:c>
      <x:c r="C287" s="75" t="str">
        <x:v>Warrant Ledger!S287</x:v>
      </x:c>
      <x:c r="D287" s="75" t="str">
        <x:v>SOURCE EMPTY</x:v>
      </x:c>
      <x:c r="E287" s="75" t="str">
        <x:f>IF('Warrant Ledger'!S287="SOURCE EMPTY","PASS","FAIL")</x:f>
        <x:v>PASS</x:v>
      </x:c>
      <x:c r="F287" s="75"/>
      <x:c r="G287" s="75"/>
      <x:c r="H287" s="75"/>
      <x:c r="I287" s="75"/>
      <x:c r="J287" s="75"/>
      <x:c r="K287" s="75"/>
      <x:c r="L287" s="75"/>
      <x:c r="M287" s="75"/>
      <x:c r="N287" s="75"/>
      <x:c r="O287" s="75"/>
      <x:c r="P287" s="75"/>
      <x:c r="Q287" s="75"/>
      <x:c r="R287" s="75"/>
      <x:c r="S287" s="75"/>
      <x:c r="T287" s="75"/>
      <x:c r="U287" s="75"/>
      <x:c r="V287" s="75"/>
      <x:c r="W287" s="75"/>
      <x:c r="X287" s="75"/>
      <x:c r="Y287" s="75"/>
      <x:c r="Z287" s="75"/>
    </x:row>
    <x:row r="288" ht="20" customHeight="1">
      <x:c r="A288" s="75" t="str">
        <x:v>WA-283</x:v>
      </x:c>
      <x:c r="B288" s="86" t="str">
        <x:v>Warrant source-empty baseline</x:v>
      </x:c>
      <x:c r="C288" s="75" t="str">
        <x:v>Warrant Ledger!S288</x:v>
      </x:c>
      <x:c r="D288" s="75" t="str">
        <x:v>SOURCE EMPTY</x:v>
      </x:c>
      <x:c r="E288" s="75" t="str">
        <x:f>IF('Warrant Ledger'!S288="SOURCE EMPTY","PASS","FAIL")</x:f>
        <x:v>PASS</x:v>
      </x:c>
      <x:c r="F288" s="75"/>
      <x:c r="G288" s="75"/>
      <x:c r="H288" s="75"/>
      <x:c r="I288" s="75"/>
      <x:c r="J288" s="75"/>
      <x:c r="K288" s="75"/>
      <x:c r="L288" s="75"/>
      <x:c r="M288" s="75"/>
      <x:c r="N288" s="75"/>
      <x:c r="O288" s="75"/>
      <x:c r="P288" s="75"/>
      <x:c r="Q288" s="75"/>
      <x:c r="R288" s="75"/>
      <x:c r="S288" s="75"/>
      <x:c r="T288" s="75"/>
      <x:c r="U288" s="75"/>
      <x:c r="V288" s="75"/>
      <x:c r="W288" s="75"/>
      <x:c r="X288" s="75"/>
      <x:c r="Y288" s="75"/>
      <x:c r="Z288" s="75"/>
    </x:row>
    <x:row r="289" ht="20" customHeight="1">
      <x:c r="A289" s="75" t="str">
        <x:v>WA-284</x:v>
      </x:c>
      <x:c r="B289" s="86" t="str">
        <x:v>Warrant source-empty baseline</x:v>
      </x:c>
      <x:c r="C289" s="75" t="str">
        <x:v>Warrant Ledger!S289</x:v>
      </x:c>
      <x:c r="D289" s="75" t="str">
        <x:v>SOURCE EMPTY</x:v>
      </x:c>
      <x:c r="E289" s="75" t="str">
        <x:f>IF('Warrant Ledger'!S289="SOURCE EMPTY","PASS","FAIL")</x:f>
        <x:v>PASS</x:v>
      </x:c>
      <x:c r="F289" s="75"/>
      <x:c r="G289" s="75"/>
      <x:c r="H289" s="75"/>
      <x:c r="I289" s="75"/>
      <x:c r="J289" s="75"/>
      <x:c r="K289" s="75"/>
      <x:c r="L289" s="75"/>
      <x:c r="M289" s="75"/>
      <x:c r="N289" s="75"/>
      <x:c r="O289" s="75"/>
      <x:c r="P289" s="75"/>
      <x:c r="Q289" s="75"/>
      <x:c r="R289" s="75"/>
      <x:c r="S289" s="75"/>
      <x:c r="T289" s="75"/>
      <x:c r="U289" s="75"/>
      <x:c r="V289" s="75"/>
      <x:c r="W289" s="75"/>
      <x:c r="X289" s="75"/>
      <x:c r="Y289" s="75"/>
      <x:c r="Z289" s="75"/>
    </x:row>
    <x:row r="290" ht="20" customHeight="1">
      <x:c r="A290" s="75" t="str">
        <x:v>WA-285</x:v>
      </x:c>
      <x:c r="B290" s="86" t="str">
        <x:v>Warrant source-empty baseline</x:v>
      </x:c>
      <x:c r="C290" s="75" t="str">
        <x:v>Warrant Ledger!S290</x:v>
      </x:c>
      <x:c r="D290" s="75" t="str">
        <x:v>SOURCE EMPTY</x:v>
      </x:c>
      <x:c r="E290" s="75" t="str">
        <x:f>IF('Warrant Ledger'!S290="SOURCE EMPTY","PASS","FAIL")</x:f>
        <x:v>PASS</x:v>
      </x:c>
      <x:c r="F290" s="75"/>
      <x:c r="G290" s="75"/>
      <x:c r="H290" s="75"/>
      <x:c r="I290" s="75"/>
      <x:c r="J290" s="75"/>
      <x:c r="K290" s="75"/>
      <x:c r="L290" s="75"/>
      <x:c r="M290" s="75"/>
      <x:c r="N290" s="75"/>
      <x:c r="O290" s="75"/>
      <x:c r="P290" s="75"/>
      <x:c r="Q290" s="75"/>
      <x:c r="R290" s="75"/>
      <x:c r="S290" s="75"/>
      <x:c r="T290" s="75"/>
      <x:c r="U290" s="75"/>
      <x:c r="V290" s="75"/>
      <x:c r="W290" s="75"/>
      <x:c r="X290" s="75"/>
      <x:c r="Y290" s="75"/>
      <x:c r="Z290" s="75"/>
    </x:row>
    <x:row r="291" ht="20" customHeight="1">
      <x:c r="A291" s="75" t="str">
        <x:v>WA-286</x:v>
      </x:c>
      <x:c r="B291" s="86" t="str">
        <x:v>Warrant source-empty baseline</x:v>
      </x:c>
      <x:c r="C291" s="75" t="str">
        <x:v>Warrant Ledger!S291</x:v>
      </x:c>
      <x:c r="D291" s="75" t="str">
        <x:v>SOURCE EMPTY</x:v>
      </x:c>
      <x:c r="E291" s="75" t="str">
        <x:f>IF('Warrant Ledger'!S291="SOURCE EMPTY","PASS","FAIL")</x:f>
        <x:v>PASS</x:v>
      </x:c>
      <x:c r="F291" s="75"/>
      <x:c r="G291" s="75"/>
      <x:c r="H291" s="75"/>
      <x:c r="I291" s="75"/>
      <x:c r="J291" s="75"/>
      <x:c r="K291" s="75"/>
      <x:c r="L291" s="75"/>
      <x:c r="M291" s="75"/>
      <x:c r="N291" s="75"/>
      <x:c r="O291" s="75"/>
      <x:c r="P291" s="75"/>
      <x:c r="Q291" s="75"/>
      <x:c r="R291" s="75"/>
      <x:c r="S291" s="75"/>
      <x:c r="T291" s="75"/>
      <x:c r="U291" s="75"/>
      <x:c r="V291" s="75"/>
      <x:c r="W291" s="75"/>
      <x:c r="X291" s="75"/>
      <x:c r="Y291" s="75"/>
      <x:c r="Z291" s="75"/>
    </x:row>
    <x:row r="292" ht="20" customHeight="1">
      <x:c r="A292" s="75" t="str">
        <x:v>WA-287</x:v>
      </x:c>
      <x:c r="B292" s="86" t="str">
        <x:v>Warrant source-empty baseline</x:v>
      </x:c>
      <x:c r="C292" s="75" t="str">
        <x:v>Warrant Ledger!S292</x:v>
      </x:c>
      <x:c r="D292" s="75" t="str">
        <x:v>SOURCE EMPTY</x:v>
      </x:c>
      <x:c r="E292" s="75" t="str">
        <x:f>IF('Warrant Ledger'!S292="SOURCE EMPTY","PASS","FAIL")</x:f>
        <x:v>PASS</x:v>
      </x:c>
      <x:c r="F292" s="75"/>
      <x:c r="G292" s="75"/>
      <x:c r="H292" s="75"/>
      <x:c r="I292" s="75"/>
      <x:c r="J292" s="75"/>
      <x:c r="K292" s="75"/>
      <x:c r="L292" s="75"/>
      <x:c r="M292" s="75"/>
      <x:c r="N292" s="75"/>
      <x:c r="O292" s="75"/>
      <x:c r="P292" s="75"/>
      <x:c r="Q292" s="75"/>
      <x:c r="R292" s="75"/>
      <x:c r="S292" s="75"/>
      <x:c r="T292" s="75"/>
      <x:c r="U292" s="75"/>
      <x:c r="V292" s="75"/>
      <x:c r="W292" s="75"/>
      <x:c r="X292" s="75"/>
      <x:c r="Y292" s="75"/>
      <x:c r="Z292" s="75"/>
    </x:row>
    <x:row r="293" ht="20" customHeight="1">
      <x:c r="A293" s="75" t="str">
        <x:v>WA-288</x:v>
      </x:c>
      <x:c r="B293" s="86" t="str">
        <x:v>Warrant source-empty baseline</x:v>
      </x:c>
      <x:c r="C293" s="75" t="str">
        <x:v>Warrant Ledger!S293</x:v>
      </x:c>
      <x:c r="D293" s="75" t="str">
        <x:v>SOURCE EMPTY</x:v>
      </x:c>
      <x:c r="E293" s="75" t="str">
        <x:f>IF('Warrant Ledger'!S293="SOURCE EMPTY","PASS","FAIL")</x:f>
        <x:v>PASS</x:v>
      </x:c>
      <x:c r="F293" s="75"/>
      <x:c r="G293" s="75"/>
      <x:c r="H293" s="75"/>
      <x:c r="I293" s="75"/>
      <x:c r="J293" s="75"/>
      <x:c r="K293" s="75"/>
      <x:c r="L293" s="75"/>
      <x:c r="M293" s="75"/>
      <x:c r="N293" s="75"/>
      <x:c r="O293" s="75"/>
      <x:c r="P293" s="75"/>
      <x:c r="Q293" s="75"/>
      <x:c r="R293" s="75"/>
      <x:c r="S293" s="75"/>
      <x:c r="T293" s="75"/>
      <x:c r="U293" s="75"/>
      <x:c r="V293" s="75"/>
      <x:c r="W293" s="75"/>
      <x:c r="X293" s="75"/>
      <x:c r="Y293" s="75"/>
      <x:c r="Z293" s="75"/>
    </x:row>
    <x:row r="294" ht="20" customHeight="1">
      <x:c r="A294" s="75" t="str">
        <x:v>RT-01</x:v>
      </x:c>
      <x:c r="B294" s="86" t="str">
        <x:v>Root remains uncredited</x:v>
      </x:c>
      <x:c r="C294" s="75" t="str">
        <x:v>Root Registry!K6</x:v>
      </x:c>
      <x:c r="D294" s="75" t="str">
        <x:v>HOLD</x:v>
      </x:c>
      <x:c r="E294" s="75" t="str">
        <x:f>IF('Root Registry'!K6="HOLD","PASS","FAIL")</x:f>
        <x:v>PASS</x:v>
      </x:c>
      <x:c r="F294" s="75"/>
      <x:c r="G294" s="75"/>
      <x:c r="H294" s="75"/>
      <x:c r="I294" s="75"/>
      <x:c r="J294" s="75"/>
      <x:c r="K294" s="75"/>
      <x:c r="L294" s="75"/>
      <x:c r="M294" s="75"/>
      <x:c r="N294" s="75"/>
      <x:c r="O294" s="75"/>
      <x:c r="P294" s="75"/>
      <x:c r="Q294" s="75"/>
      <x:c r="R294" s="75"/>
      <x:c r="S294" s="75"/>
      <x:c r="T294" s="75"/>
      <x:c r="U294" s="75"/>
      <x:c r="V294" s="75"/>
      <x:c r="W294" s="75"/>
      <x:c r="X294" s="75"/>
      <x:c r="Y294" s="75"/>
      <x:c r="Z294" s="75"/>
    </x:row>
    <x:row r="295" ht="20" customHeight="1">
      <x:c r="A295" s="75" t="str">
        <x:v>RT-02</x:v>
      </x:c>
      <x:c r="B295" s="86" t="str">
        <x:v>Root remains uncredited</x:v>
      </x:c>
      <x:c r="C295" s="75" t="str">
        <x:v>Root Registry!K7</x:v>
      </x:c>
      <x:c r="D295" s="75" t="str">
        <x:v>HOLD</x:v>
      </x:c>
      <x:c r="E295" s="75" t="str">
        <x:f>IF('Root Registry'!K7="HOLD","PASS","FAIL")</x:f>
        <x:v>PASS</x:v>
      </x:c>
      <x:c r="F295" s="75"/>
      <x:c r="G295" s="75"/>
      <x:c r="H295" s="75"/>
      <x:c r="I295" s="75"/>
      <x:c r="J295" s="75"/>
      <x:c r="K295" s="75"/>
      <x:c r="L295" s="75"/>
      <x:c r="M295" s="75"/>
      <x:c r="N295" s="75"/>
      <x:c r="O295" s="75"/>
      <x:c r="P295" s="75"/>
      <x:c r="Q295" s="75"/>
      <x:c r="R295" s="75"/>
      <x:c r="S295" s="75"/>
      <x:c r="T295" s="75"/>
      <x:c r="U295" s="75"/>
      <x:c r="V295" s="75"/>
      <x:c r="W295" s="75"/>
      <x:c r="X295" s="75"/>
      <x:c r="Y295" s="75"/>
      <x:c r="Z295" s="75"/>
    </x:row>
    <x:row r="296" ht="20" customHeight="1">
      <x:c r="A296" s="75" t="str">
        <x:v>RT-03</x:v>
      </x:c>
      <x:c r="B296" s="86" t="str">
        <x:v>Root remains uncredited</x:v>
      </x:c>
      <x:c r="C296" s="75" t="str">
        <x:v>Root Registry!K8</x:v>
      </x:c>
      <x:c r="D296" s="75" t="str">
        <x:v>HOLD</x:v>
      </x:c>
      <x:c r="E296" s="75" t="str">
        <x:f>IF('Root Registry'!K8="HOLD","PASS","FAIL")</x:f>
        <x:v>PASS</x:v>
      </x:c>
      <x:c r="F296" s="75"/>
      <x:c r="G296" s="75"/>
      <x:c r="H296" s="75"/>
      <x:c r="I296" s="75"/>
      <x:c r="J296" s="75"/>
      <x:c r="K296" s="75"/>
      <x:c r="L296" s="75"/>
      <x:c r="M296" s="75"/>
      <x:c r="N296" s="75"/>
      <x:c r="O296" s="75"/>
      <x:c r="P296" s="75"/>
      <x:c r="Q296" s="75"/>
      <x:c r="R296" s="75"/>
      <x:c r="S296" s="75"/>
      <x:c r="T296" s="75"/>
      <x:c r="U296" s="75"/>
      <x:c r="V296" s="75"/>
      <x:c r="W296" s="75"/>
      <x:c r="X296" s="75"/>
      <x:c r="Y296" s="75"/>
      <x:c r="Z296" s="75"/>
    </x:row>
    <x:row r="297" ht="20" customHeight="1">
      <x:c r="A297" s="75" t="str">
        <x:v>RT-04</x:v>
      </x:c>
      <x:c r="B297" s="86" t="str">
        <x:v>Root remains uncredited</x:v>
      </x:c>
      <x:c r="C297" s="75" t="str">
        <x:v>Root Registry!K9</x:v>
      </x:c>
      <x:c r="D297" s="75" t="str">
        <x:v>HOLD</x:v>
      </x:c>
      <x:c r="E297" s="75" t="str">
        <x:f>IF('Root Registry'!K9="HOLD","PASS","FAIL")</x:f>
        <x:v>PASS</x:v>
      </x:c>
      <x:c r="F297" s="75"/>
      <x:c r="G297" s="75"/>
      <x:c r="H297" s="75"/>
      <x:c r="I297" s="75"/>
      <x:c r="J297" s="75"/>
      <x:c r="K297" s="75"/>
      <x:c r="L297" s="75"/>
      <x:c r="M297" s="75"/>
      <x:c r="N297" s="75"/>
      <x:c r="O297" s="75"/>
      <x:c r="P297" s="75"/>
      <x:c r="Q297" s="75"/>
      <x:c r="R297" s="75"/>
      <x:c r="S297" s="75"/>
      <x:c r="T297" s="75"/>
      <x:c r="U297" s="75"/>
      <x:c r="V297" s="75"/>
      <x:c r="W297" s="75"/>
      <x:c r="X297" s="75"/>
      <x:c r="Y297" s="75"/>
      <x:c r="Z297" s="75"/>
    </x:row>
    <x:row r="298" ht="20" customHeight="1">
      <x:c r="A298" s="75" t="str">
        <x:v>RT-05</x:v>
      </x:c>
      <x:c r="B298" s="86" t="str">
        <x:v>Root remains uncredited</x:v>
      </x:c>
      <x:c r="C298" s="75" t="str">
        <x:v>Root Registry!K10</x:v>
      </x:c>
      <x:c r="D298" s="75" t="str">
        <x:v>HOLD</x:v>
      </x:c>
      <x:c r="E298" s="75" t="str">
        <x:f>IF('Root Registry'!K10="HOLD","PASS","FAIL")</x:f>
        <x:v>PASS</x:v>
      </x:c>
      <x:c r="F298" s="75"/>
      <x:c r="G298" s="75"/>
      <x:c r="H298" s="75"/>
      <x:c r="I298" s="75"/>
      <x:c r="J298" s="75"/>
      <x:c r="K298" s="75"/>
      <x:c r="L298" s="75"/>
      <x:c r="M298" s="75"/>
      <x:c r="N298" s="75"/>
      <x:c r="O298" s="75"/>
      <x:c r="P298" s="75"/>
      <x:c r="Q298" s="75"/>
      <x:c r="R298" s="75"/>
      <x:c r="S298" s="75"/>
      <x:c r="T298" s="75"/>
      <x:c r="U298" s="75"/>
      <x:c r="V298" s="75"/>
      <x:c r="W298" s="75"/>
      <x:c r="X298" s="75"/>
      <x:c r="Y298" s="75"/>
      <x:c r="Z298" s="75"/>
    </x:row>
    <x:row r="299" ht="20" customHeight="1">
      <x:c r="A299" s="75" t="str">
        <x:v>RT-06</x:v>
      </x:c>
      <x:c r="B299" s="86" t="str">
        <x:v>Root remains uncredited</x:v>
      </x:c>
      <x:c r="C299" s="75" t="str">
        <x:v>Root Registry!K11</x:v>
      </x:c>
      <x:c r="D299" s="75" t="str">
        <x:v>HOLD</x:v>
      </x:c>
      <x:c r="E299" s="75" t="str">
        <x:f>IF('Root Registry'!K11="HOLD","PASS","FAIL")</x:f>
        <x:v>PASS</x:v>
      </x:c>
      <x:c r="F299" s="75"/>
      <x:c r="G299" s="75"/>
      <x:c r="H299" s="75"/>
      <x:c r="I299" s="75"/>
      <x:c r="J299" s="75"/>
      <x:c r="K299" s="75"/>
      <x:c r="L299" s="75"/>
      <x:c r="M299" s="75"/>
      <x:c r="N299" s="75"/>
      <x:c r="O299" s="75"/>
      <x:c r="P299" s="75"/>
      <x:c r="Q299" s="75"/>
      <x:c r="R299" s="75"/>
      <x:c r="S299" s="75"/>
      <x:c r="T299" s="75"/>
      <x:c r="U299" s="75"/>
      <x:c r="V299" s="75"/>
      <x:c r="W299" s="75"/>
      <x:c r="X299" s="75"/>
      <x:c r="Y299" s="75"/>
      <x:c r="Z299" s="75"/>
    </x:row>
    <x:row r="300" ht="20" customHeight="1">
      <x:c r="A300" s="75" t="str">
        <x:v>RT-07</x:v>
      </x:c>
      <x:c r="B300" s="86" t="str">
        <x:v>Root remains uncredited</x:v>
      </x:c>
      <x:c r="C300" s="75" t="str">
        <x:v>Root Registry!K12</x:v>
      </x:c>
      <x:c r="D300" s="75" t="str">
        <x:v>HOLD</x:v>
      </x:c>
      <x:c r="E300" s="75" t="str">
        <x:f>IF('Root Registry'!K12="HOLD","PASS","FAIL")</x:f>
        <x:v>PASS</x:v>
      </x:c>
      <x:c r="F300" s="75"/>
      <x:c r="G300" s="75"/>
      <x:c r="H300" s="75"/>
      <x:c r="I300" s="75"/>
      <x:c r="J300" s="75"/>
      <x:c r="K300" s="75"/>
      <x:c r="L300" s="75"/>
      <x:c r="M300" s="75"/>
      <x:c r="N300" s="75"/>
      <x:c r="O300" s="75"/>
      <x:c r="P300" s="75"/>
      <x:c r="Q300" s="75"/>
      <x:c r="R300" s="75"/>
      <x:c r="S300" s="75"/>
      <x:c r="T300" s="75"/>
      <x:c r="U300" s="75"/>
      <x:c r="V300" s="75"/>
      <x:c r="W300" s="75"/>
      <x:c r="X300" s="75"/>
      <x:c r="Y300" s="75"/>
      <x:c r="Z300" s="75"/>
    </x:row>
    <x:row r="301" ht="20" customHeight="1">
      <x:c r="A301" s="75" t="str">
        <x:v>RT-08</x:v>
      </x:c>
      <x:c r="B301" s="86" t="str">
        <x:v>Root remains uncredited</x:v>
      </x:c>
      <x:c r="C301" s="75" t="str">
        <x:v>Root Registry!K13</x:v>
      </x:c>
      <x:c r="D301" s="75" t="str">
        <x:v>HOLD</x:v>
      </x:c>
      <x:c r="E301" s="75" t="str">
        <x:f>IF('Root Registry'!K13="HOLD","PASS","FAIL")</x:f>
        <x:v>PASS</x:v>
      </x:c>
      <x:c r="F301" s="75"/>
      <x:c r="G301" s="75"/>
      <x:c r="H301" s="75"/>
      <x:c r="I301" s="75"/>
      <x:c r="J301" s="75"/>
      <x:c r="K301" s="75"/>
      <x:c r="L301" s="75"/>
      <x:c r="M301" s="75"/>
      <x:c r="N301" s="75"/>
      <x:c r="O301" s="75"/>
      <x:c r="P301" s="75"/>
      <x:c r="Q301" s="75"/>
      <x:c r="R301" s="75"/>
      <x:c r="S301" s="75"/>
      <x:c r="T301" s="75"/>
      <x:c r="U301" s="75"/>
      <x:c r="V301" s="75"/>
      <x:c r="W301" s="75"/>
      <x:c r="X301" s="75"/>
      <x:c r="Y301" s="75"/>
      <x:c r="Z301" s="75"/>
    </x:row>
    <x:row r="302" ht="20" customHeight="1">
      <x:c r="A302" s="75" t="str">
        <x:v>RT-09</x:v>
      </x:c>
      <x:c r="B302" s="86" t="str">
        <x:v>Root remains uncredited</x:v>
      </x:c>
      <x:c r="C302" s="75" t="str">
        <x:v>Root Registry!K14</x:v>
      </x:c>
      <x:c r="D302" s="75" t="str">
        <x:v>HOLD</x:v>
      </x:c>
      <x:c r="E302" s="75" t="str">
        <x:f>IF('Root Registry'!K14="HOLD","PASS","FAIL")</x:f>
        <x:v>PASS</x:v>
      </x:c>
      <x:c r="F302" s="75"/>
      <x:c r="G302" s="75"/>
      <x:c r="H302" s="75"/>
      <x:c r="I302" s="75"/>
      <x:c r="J302" s="75"/>
      <x:c r="K302" s="75"/>
      <x:c r="L302" s="75"/>
      <x:c r="M302" s="75"/>
      <x:c r="N302" s="75"/>
      <x:c r="O302" s="75"/>
      <x:c r="P302" s="75"/>
      <x:c r="Q302" s="75"/>
      <x:c r="R302" s="75"/>
      <x:c r="S302" s="75"/>
      <x:c r="T302" s="75"/>
      <x:c r="U302" s="75"/>
      <x:c r="V302" s="75"/>
      <x:c r="W302" s="75"/>
      <x:c r="X302" s="75"/>
      <x:c r="Y302" s="75"/>
      <x:c r="Z302" s="75"/>
    </x:row>
    <x:row r="303" ht="20" customHeight="1">
      <x:c r="A303" s="75" t="str">
        <x:v>RT-10</x:v>
      </x:c>
      <x:c r="B303" s="86" t="str">
        <x:v>Root remains uncredited</x:v>
      </x:c>
      <x:c r="C303" s="75" t="str">
        <x:v>Root Registry!K15</x:v>
      </x:c>
      <x:c r="D303" s="75" t="str">
        <x:v>HOLD</x:v>
      </x:c>
      <x:c r="E303" s="75" t="str">
        <x:f>IF('Root Registry'!K15="HOLD","PASS","FAIL")</x:f>
        <x:v>PASS</x:v>
      </x:c>
      <x:c r="F303" s="75"/>
      <x:c r="G303" s="75"/>
      <x:c r="H303" s="75"/>
      <x:c r="I303" s="75"/>
      <x:c r="J303" s="75"/>
      <x:c r="K303" s="75"/>
      <x:c r="L303" s="75"/>
      <x:c r="M303" s="75"/>
      <x:c r="N303" s="75"/>
      <x:c r="O303" s="75"/>
      <x:c r="P303" s="75"/>
      <x:c r="Q303" s="75"/>
      <x:c r="R303" s="75"/>
      <x:c r="S303" s="75"/>
      <x:c r="T303" s="75"/>
      <x:c r="U303" s="75"/>
      <x:c r="V303" s="75"/>
      <x:c r="W303" s="75"/>
      <x:c r="X303" s="75"/>
      <x:c r="Y303" s="75"/>
      <x:c r="Z303" s="75"/>
    </x:row>
    <x:row r="304" ht="20" customHeight="1">
      <x:c r="A304" s="75" t="str">
        <x:v>RT-11</x:v>
      </x:c>
      <x:c r="B304" s="86" t="str">
        <x:v>Root remains uncredited</x:v>
      </x:c>
      <x:c r="C304" s="75" t="str">
        <x:v>Root Registry!K16</x:v>
      </x:c>
      <x:c r="D304" s="75" t="str">
        <x:v>HOLD</x:v>
      </x:c>
      <x:c r="E304" s="75" t="str">
        <x:f>IF('Root Registry'!K16="HOLD","PASS","FAIL")</x:f>
        <x:v>PASS</x:v>
      </x:c>
      <x:c r="F304" s="75"/>
      <x:c r="G304" s="75"/>
      <x:c r="H304" s="75"/>
      <x:c r="I304" s="75"/>
      <x:c r="J304" s="75"/>
      <x:c r="K304" s="75"/>
      <x:c r="L304" s="75"/>
      <x:c r="M304" s="75"/>
      <x:c r="N304" s="75"/>
      <x:c r="O304" s="75"/>
      <x:c r="P304" s="75"/>
      <x:c r="Q304" s="75"/>
      <x:c r="R304" s="75"/>
      <x:c r="S304" s="75"/>
      <x:c r="T304" s="75"/>
      <x:c r="U304" s="75"/>
      <x:c r="V304" s="75"/>
      <x:c r="W304" s="75"/>
      <x:c r="X304" s="75"/>
      <x:c r="Y304" s="75"/>
      <x:c r="Z304" s="75"/>
    </x:row>
    <x:row r="305" ht="20" customHeight="1">
      <x:c r="A305" s="75" t="str">
        <x:v>RT-12</x:v>
      </x:c>
      <x:c r="B305" s="86" t="str">
        <x:v>Root remains uncredited</x:v>
      </x:c>
      <x:c r="C305" s="75" t="str">
        <x:v>Root Registry!K17</x:v>
      </x:c>
      <x:c r="D305" s="75" t="str">
        <x:v>HOLD</x:v>
      </x:c>
      <x:c r="E305" s="75" t="str">
        <x:f>IF('Root Registry'!K17="HOLD","PASS","FAIL")</x:f>
        <x:v>PASS</x:v>
      </x:c>
      <x:c r="F305" s="75"/>
      <x:c r="G305" s="75"/>
      <x:c r="H305" s="75"/>
      <x:c r="I305" s="75"/>
      <x:c r="J305" s="75"/>
      <x:c r="K305" s="75"/>
      <x:c r="L305" s="75"/>
      <x:c r="M305" s="75"/>
      <x:c r="N305" s="75"/>
      <x:c r="O305" s="75"/>
      <x:c r="P305" s="75"/>
      <x:c r="Q305" s="75"/>
      <x:c r="R305" s="75"/>
      <x:c r="S305" s="75"/>
      <x:c r="T305" s="75"/>
      <x:c r="U305" s="75"/>
      <x:c r="V305" s="75"/>
      <x:c r="W305" s="75"/>
      <x:c r="X305" s="75"/>
      <x:c r="Y305" s="75"/>
      <x:c r="Z305" s="75"/>
    </x:row>
    <x:row r="306" ht="20" customHeight="1">
      <x:c r="A306" s="75" t="str">
        <x:v>RT-13</x:v>
      </x:c>
      <x:c r="B306" s="86" t="str">
        <x:v>Root remains uncredited</x:v>
      </x:c>
      <x:c r="C306" s="75" t="str">
        <x:v>Root Registry!K18</x:v>
      </x:c>
      <x:c r="D306" s="75" t="str">
        <x:v>HOLD</x:v>
      </x:c>
      <x:c r="E306" s="75" t="str">
        <x:f>IF('Root Registry'!K18="HOLD","PASS","FAIL")</x:f>
        <x:v>PASS</x:v>
      </x:c>
      <x:c r="F306" s="75"/>
      <x:c r="G306" s="75"/>
      <x:c r="H306" s="75"/>
      <x:c r="I306" s="75"/>
      <x:c r="J306" s="75"/>
      <x:c r="K306" s="75"/>
      <x:c r="L306" s="75"/>
      <x:c r="M306" s="75"/>
      <x:c r="N306" s="75"/>
      <x:c r="O306" s="75"/>
      <x:c r="P306" s="75"/>
      <x:c r="Q306" s="75"/>
      <x:c r="R306" s="75"/>
      <x:c r="S306" s="75"/>
      <x:c r="T306" s="75"/>
      <x:c r="U306" s="75"/>
      <x:c r="V306" s="75"/>
      <x:c r="W306" s="75"/>
      <x:c r="X306" s="75"/>
      <x:c r="Y306" s="75"/>
      <x:c r="Z306" s="75"/>
    </x:row>
    <x:row r="307" ht="20" customHeight="1">
      <x:c r="A307" s="75" t="str">
        <x:v>RT-14</x:v>
      </x:c>
      <x:c r="B307" s="86" t="str">
        <x:v>Root remains uncredited</x:v>
      </x:c>
      <x:c r="C307" s="75" t="str">
        <x:v>Root Registry!K19</x:v>
      </x:c>
      <x:c r="D307" s="75" t="str">
        <x:v>HOLD</x:v>
      </x:c>
      <x:c r="E307" s="75" t="str">
        <x:f>IF('Root Registry'!K19="HOLD","PASS","FAIL")</x:f>
        <x:v>PASS</x:v>
      </x:c>
      <x:c r="F307" s="75"/>
      <x:c r="G307" s="75"/>
      <x:c r="H307" s="75"/>
      <x:c r="I307" s="75"/>
      <x:c r="J307" s="75"/>
      <x:c r="K307" s="75"/>
      <x:c r="L307" s="75"/>
      <x:c r="M307" s="75"/>
      <x:c r="N307" s="75"/>
      <x:c r="O307" s="75"/>
      <x:c r="P307" s="75"/>
      <x:c r="Q307" s="75"/>
      <x:c r="R307" s="75"/>
      <x:c r="S307" s="75"/>
      <x:c r="T307" s="75"/>
      <x:c r="U307" s="75"/>
      <x:c r="V307" s="75"/>
      <x:c r="W307" s="75"/>
      <x:c r="X307" s="75"/>
      <x:c r="Y307" s="75"/>
      <x:c r="Z307" s="75"/>
    </x:row>
    <x:row r="308" ht="20" customHeight="1">
      <x:c r="A308" s="75" t="str">
        <x:v>RT-15</x:v>
      </x:c>
      <x:c r="B308" s="86" t="str">
        <x:v>Root remains uncredited</x:v>
      </x:c>
      <x:c r="C308" s="75" t="str">
        <x:v>Root Registry!K20</x:v>
      </x:c>
      <x:c r="D308" s="75" t="str">
        <x:v>HOLD</x:v>
      </x:c>
      <x:c r="E308" s="75" t="str">
        <x:f>IF('Root Registry'!K20="HOLD","PASS","FAIL")</x:f>
        <x:v>PASS</x:v>
      </x:c>
      <x:c r="F308" s="75"/>
      <x:c r="G308" s="75"/>
      <x:c r="H308" s="75"/>
      <x:c r="I308" s="75"/>
      <x:c r="J308" s="75"/>
      <x:c r="K308" s="75"/>
      <x:c r="L308" s="75"/>
      <x:c r="M308" s="75"/>
      <x:c r="N308" s="75"/>
      <x:c r="O308" s="75"/>
      <x:c r="P308" s="75"/>
      <x:c r="Q308" s="75"/>
      <x:c r="R308" s="75"/>
      <x:c r="S308" s="75"/>
      <x:c r="T308" s="75"/>
      <x:c r="U308" s="75"/>
      <x:c r="V308" s="75"/>
      <x:c r="W308" s="75"/>
      <x:c r="X308" s="75"/>
      <x:c r="Y308" s="75"/>
      <x:c r="Z308" s="75"/>
    </x:row>
    <x:row r="309" ht="20" customHeight="1">
      <x:c r="A309" s="75" t="str">
        <x:v>RT-16</x:v>
      </x:c>
      <x:c r="B309" s="86" t="str">
        <x:v>Root remains uncredited</x:v>
      </x:c>
      <x:c r="C309" s="75" t="str">
        <x:v>Root Registry!K21</x:v>
      </x:c>
      <x:c r="D309" s="75" t="str">
        <x:v>HOLD</x:v>
      </x:c>
      <x:c r="E309" s="75" t="str">
        <x:f>IF('Root Registry'!K21="HOLD","PASS","FAIL")</x:f>
        <x:v>PASS</x:v>
      </x:c>
      <x:c r="F309" s="75"/>
      <x:c r="G309" s="75"/>
      <x:c r="H309" s="75"/>
      <x:c r="I309" s="75"/>
      <x:c r="J309" s="75"/>
      <x:c r="K309" s="75"/>
      <x:c r="L309" s="75"/>
      <x:c r="M309" s="75"/>
      <x:c r="N309" s="75"/>
      <x:c r="O309" s="75"/>
      <x:c r="P309" s="75"/>
      <x:c r="Q309" s="75"/>
      <x:c r="R309" s="75"/>
      <x:c r="S309" s="75"/>
      <x:c r="T309" s="75"/>
      <x:c r="U309" s="75"/>
      <x:c r="V309" s="75"/>
      <x:c r="W309" s="75"/>
      <x:c r="X309" s="75"/>
      <x:c r="Y309" s="75"/>
      <x:c r="Z309" s="75"/>
    </x:row>
    <x:row r="310" ht="20" customHeight="1">
      <x:c r="A310" s="75" t="str">
        <x:v>RT-17</x:v>
      </x:c>
      <x:c r="B310" s="86" t="str">
        <x:v>Root remains uncredited</x:v>
      </x:c>
      <x:c r="C310" s="75" t="str">
        <x:v>Root Registry!K22</x:v>
      </x:c>
      <x:c r="D310" s="75" t="str">
        <x:v>HOLD</x:v>
      </x:c>
      <x:c r="E310" s="75" t="str">
        <x:f>IF('Root Registry'!K22="HOLD","PASS","FAIL")</x:f>
        <x:v>PASS</x:v>
      </x:c>
      <x:c r="F310" s="75"/>
      <x:c r="G310" s="75"/>
      <x:c r="H310" s="75"/>
      <x:c r="I310" s="75"/>
      <x:c r="J310" s="75"/>
      <x:c r="K310" s="75"/>
      <x:c r="L310" s="75"/>
      <x:c r="M310" s="75"/>
      <x:c r="N310" s="75"/>
      <x:c r="O310" s="75"/>
      <x:c r="P310" s="75"/>
      <x:c r="Q310" s="75"/>
      <x:c r="R310" s="75"/>
      <x:c r="S310" s="75"/>
      <x:c r="T310" s="75"/>
      <x:c r="U310" s="75"/>
      <x:c r="V310" s="75"/>
      <x:c r="W310" s="75"/>
      <x:c r="X310" s="75"/>
      <x:c r="Y310" s="75"/>
      <x:c r="Z310" s="75"/>
    </x:row>
    <x:row r="311" ht="20" customHeight="1">
      <x:c r="A311" s="75" t="str">
        <x:v>RT-18</x:v>
      </x:c>
      <x:c r="B311" s="86" t="str">
        <x:v>Root remains uncredited</x:v>
      </x:c>
      <x:c r="C311" s="75" t="str">
        <x:v>Root Registry!K23</x:v>
      </x:c>
      <x:c r="D311" s="75" t="str">
        <x:v>HOLD</x:v>
      </x:c>
      <x:c r="E311" s="75" t="str">
        <x:f>IF('Root Registry'!K23="HOLD","PASS","FAIL")</x:f>
        <x:v>PASS</x:v>
      </x:c>
      <x:c r="F311" s="75"/>
      <x:c r="G311" s="75"/>
      <x:c r="H311" s="75"/>
      <x:c r="I311" s="75"/>
      <x:c r="J311" s="75"/>
      <x:c r="K311" s="75"/>
      <x:c r="L311" s="75"/>
      <x:c r="M311" s="75"/>
      <x:c r="N311" s="75"/>
      <x:c r="O311" s="75"/>
      <x:c r="P311" s="75"/>
      <x:c r="Q311" s="75"/>
      <x:c r="R311" s="75"/>
      <x:c r="S311" s="75"/>
      <x:c r="T311" s="75"/>
      <x:c r="U311" s="75"/>
      <x:c r="V311" s="75"/>
      <x:c r="W311" s="75"/>
      <x:c r="X311" s="75"/>
      <x:c r="Y311" s="75"/>
      <x:c r="Z311" s="75"/>
    </x:row>
    <x:row r="312" ht="20" customHeight="1">
      <x:c r="A312" s="75" t="str">
        <x:v>RT-19</x:v>
      </x:c>
      <x:c r="B312" s="86" t="str">
        <x:v>Root remains uncredited</x:v>
      </x:c>
      <x:c r="C312" s="75" t="str">
        <x:v>Root Registry!K24</x:v>
      </x:c>
      <x:c r="D312" s="75" t="str">
        <x:v>HOLD</x:v>
      </x:c>
      <x:c r="E312" s="75" t="str">
        <x:f>IF('Root Registry'!K24="HOLD","PASS","FAIL")</x:f>
        <x:v>PASS</x:v>
      </x:c>
      <x:c r="F312" s="75"/>
      <x:c r="G312" s="75"/>
      <x:c r="H312" s="75"/>
      <x:c r="I312" s="75"/>
      <x:c r="J312" s="75"/>
      <x:c r="K312" s="75"/>
      <x:c r="L312" s="75"/>
      <x:c r="M312" s="75"/>
      <x:c r="N312" s="75"/>
      <x:c r="O312" s="75"/>
      <x:c r="P312" s="75"/>
      <x:c r="Q312" s="75"/>
      <x:c r="R312" s="75"/>
      <x:c r="S312" s="75"/>
      <x:c r="T312" s="75"/>
      <x:c r="U312" s="75"/>
      <x:c r="V312" s="75"/>
      <x:c r="W312" s="75"/>
      <x:c r="X312" s="75"/>
      <x:c r="Y312" s="75"/>
      <x:c r="Z312" s="75"/>
    </x:row>
    <x:row r="313" ht="20" customHeight="1">
      <x:c r="A313" s="75" t="str">
        <x:v>RT-20</x:v>
      </x:c>
      <x:c r="B313" s="86" t="str">
        <x:v>Root remains uncredited</x:v>
      </x:c>
      <x:c r="C313" s="75" t="str">
        <x:v>Root Registry!K25</x:v>
      </x:c>
      <x:c r="D313" s="75" t="str">
        <x:v>HOLD</x:v>
      </x:c>
      <x:c r="E313" s="75" t="str">
        <x:f>IF('Root Registry'!K25="HOLD","PASS","FAIL")</x:f>
        <x:v>PASS</x:v>
      </x:c>
      <x:c r="F313" s="75"/>
      <x:c r="G313" s="75"/>
      <x:c r="H313" s="75"/>
      <x:c r="I313" s="75"/>
      <x:c r="J313" s="75"/>
      <x:c r="K313" s="75"/>
      <x:c r="L313" s="75"/>
      <x:c r="M313" s="75"/>
      <x:c r="N313" s="75"/>
      <x:c r="O313" s="75"/>
      <x:c r="P313" s="75"/>
      <x:c r="Q313" s="75"/>
      <x:c r="R313" s="75"/>
      <x:c r="S313" s="75"/>
      <x:c r="T313" s="75"/>
      <x:c r="U313" s="75"/>
      <x:c r="V313" s="75"/>
      <x:c r="W313" s="75"/>
      <x:c r="X313" s="75"/>
      <x:c r="Y313" s="75"/>
      <x:c r="Z313" s="75"/>
    </x:row>
    <x:row r="314" ht="20" customHeight="1">
      <x:c r="A314" s="75" t="str">
        <x:v>RT-21</x:v>
      </x:c>
      <x:c r="B314" s="86" t="str">
        <x:v>Root remains uncredited</x:v>
      </x:c>
      <x:c r="C314" s="75" t="str">
        <x:v>Root Registry!K26</x:v>
      </x:c>
      <x:c r="D314" s="75" t="str">
        <x:v>HOLD</x:v>
      </x:c>
      <x:c r="E314" s="75" t="str">
        <x:f>IF('Root Registry'!K26="HOLD","PASS","FAIL")</x:f>
        <x:v>PASS</x:v>
      </x:c>
      <x:c r="F314" s="75"/>
      <x:c r="G314" s="75"/>
      <x:c r="H314" s="75"/>
      <x:c r="I314" s="75"/>
      <x:c r="J314" s="75"/>
      <x:c r="K314" s="75"/>
      <x:c r="L314" s="75"/>
      <x:c r="M314" s="75"/>
      <x:c r="N314" s="75"/>
      <x:c r="O314" s="75"/>
      <x:c r="P314" s="75"/>
      <x:c r="Q314" s="75"/>
      <x:c r="R314" s="75"/>
      <x:c r="S314" s="75"/>
      <x:c r="T314" s="75"/>
      <x:c r="U314" s="75"/>
      <x:c r="V314" s="75"/>
      <x:c r="W314" s="75"/>
      <x:c r="X314" s="75"/>
      <x:c r="Y314" s="75"/>
      <x:c r="Z314" s="75"/>
    </x:row>
    <x:row r="315" ht="20" customHeight="1">
      <x:c r="A315" s="75" t="str">
        <x:v>RT-22</x:v>
      </x:c>
      <x:c r="B315" s="86" t="str">
        <x:v>Root remains uncredited</x:v>
      </x:c>
      <x:c r="C315" s="75" t="str">
        <x:v>Root Registry!K27</x:v>
      </x:c>
      <x:c r="D315" s="75" t="str">
        <x:v>HOLD</x:v>
      </x:c>
      <x:c r="E315" s="75" t="str">
        <x:f>IF('Root Registry'!K27="HOLD","PASS","FAIL")</x:f>
        <x:v>PASS</x:v>
      </x:c>
      <x:c r="F315" s="75"/>
      <x:c r="G315" s="75"/>
      <x:c r="H315" s="75"/>
      <x:c r="I315" s="75"/>
      <x:c r="J315" s="75"/>
      <x:c r="K315" s="75"/>
      <x:c r="L315" s="75"/>
      <x:c r="M315" s="75"/>
      <x:c r="N315" s="75"/>
      <x:c r="O315" s="75"/>
      <x:c r="P315" s="75"/>
      <x:c r="Q315" s="75"/>
      <x:c r="R315" s="75"/>
      <x:c r="S315" s="75"/>
      <x:c r="T315" s="75"/>
      <x:c r="U315" s="75"/>
      <x:c r="V315" s="75"/>
      <x:c r="W315" s="75"/>
      <x:c r="X315" s="75"/>
      <x:c r="Y315" s="75"/>
      <x:c r="Z315" s="75"/>
    </x:row>
    <x:row r="316" ht="20" customHeight="1">
      <x:c r="A316" s="75" t="str">
        <x:v>RT-23</x:v>
      </x:c>
      <x:c r="B316" s="86" t="str">
        <x:v>Root remains uncredited</x:v>
      </x:c>
      <x:c r="C316" s="75" t="str">
        <x:v>Root Registry!K28</x:v>
      </x:c>
      <x:c r="D316" s="75" t="str">
        <x:v>HOLD</x:v>
      </x:c>
      <x:c r="E316" s="75" t="str">
        <x:f>IF('Root Registry'!K28="HOLD","PASS","FAIL")</x:f>
        <x:v>PASS</x:v>
      </x:c>
      <x:c r="F316" s="75"/>
      <x:c r="G316" s="75"/>
      <x:c r="H316" s="75"/>
      <x:c r="I316" s="75"/>
      <x:c r="J316" s="75"/>
      <x:c r="K316" s="75"/>
      <x:c r="L316" s="75"/>
      <x:c r="M316" s="75"/>
      <x:c r="N316" s="75"/>
      <x:c r="O316" s="75"/>
      <x:c r="P316" s="75"/>
      <x:c r="Q316" s="75"/>
      <x:c r="R316" s="75"/>
      <x:c r="S316" s="75"/>
      <x:c r="T316" s="75"/>
      <x:c r="U316" s="75"/>
      <x:c r="V316" s="75"/>
      <x:c r="W316" s="75"/>
      <x:c r="X316" s="75"/>
      <x:c r="Y316" s="75"/>
      <x:c r="Z316" s="75"/>
    </x:row>
    <x:row r="317" ht="20" customHeight="1">
      <x:c r="A317" s="75" t="str">
        <x:v>RT-24</x:v>
      </x:c>
      <x:c r="B317" s="86" t="str">
        <x:v>Root remains uncredited</x:v>
      </x:c>
      <x:c r="C317" s="75" t="str">
        <x:v>Root Registry!K29</x:v>
      </x:c>
      <x:c r="D317" s="75" t="str">
        <x:v>HOLD</x:v>
      </x:c>
      <x:c r="E317" s="75" t="str">
        <x:f>IF('Root Registry'!K29="HOLD","PASS","FAIL")</x:f>
        <x:v>PASS</x:v>
      </x:c>
      <x:c r="F317" s="75"/>
      <x:c r="G317" s="75"/>
      <x:c r="H317" s="75"/>
      <x:c r="I317" s="75"/>
      <x:c r="J317" s="75"/>
      <x:c r="K317" s="75"/>
      <x:c r="L317" s="75"/>
      <x:c r="M317" s="75"/>
      <x:c r="N317" s="75"/>
      <x:c r="O317" s="75"/>
      <x:c r="P317" s="75"/>
      <x:c r="Q317" s="75"/>
      <x:c r="R317" s="75"/>
      <x:c r="S317" s="75"/>
      <x:c r="T317" s="75"/>
      <x:c r="U317" s="75"/>
      <x:c r="V317" s="75"/>
      <x:c r="W317" s="75"/>
      <x:c r="X317" s="75"/>
      <x:c r="Y317" s="75"/>
      <x:c r="Z317" s="75"/>
    </x:row>
    <x:row r="318" ht="20" customHeight="1">
      <x:c r="A318" s="75" t="str">
        <x:v>SB-1</x:v>
      </x:c>
      <x:c r="B318" s="86" t="str">
        <x:v>System barrier remains closed</x:v>
      </x:c>
      <x:c r="C318" s="75" t="str">
        <x:v>System Barriers!I6</x:v>
      </x:c>
      <x:c r="D318" s="75" t="str">
        <x:v>BLOCKED</x:v>
      </x:c>
      <x:c r="E318" s="75" t="str">
        <x:f>IF('System Barriers'!I6="BLOCKED","PASS","FAIL")</x:f>
        <x:v>PASS</x:v>
      </x:c>
      <x:c r="F318" s="75"/>
      <x:c r="G318" s="75"/>
      <x:c r="H318" s="75"/>
      <x:c r="I318" s="75"/>
      <x:c r="J318" s="75"/>
      <x:c r="K318" s="75"/>
      <x:c r="L318" s="75"/>
      <x:c r="M318" s="75"/>
      <x:c r="N318" s="75"/>
      <x:c r="O318" s="75"/>
      <x:c r="P318" s="75"/>
      <x:c r="Q318" s="75"/>
      <x:c r="R318" s="75"/>
      <x:c r="S318" s="75"/>
      <x:c r="T318" s="75"/>
      <x:c r="U318" s="75"/>
      <x:c r="V318" s="75"/>
      <x:c r="W318" s="75"/>
      <x:c r="X318" s="75"/>
      <x:c r="Y318" s="75"/>
      <x:c r="Z318" s="75"/>
    </x:row>
    <x:row r="319" ht="20" customHeight="1">
      <x:c r="A319" s="75" t="str">
        <x:v>SB-2</x:v>
      </x:c>
      <x:c r="B319" s="86" t="str">
        <x:v>System barrier remains closed</x:v>
      </x:c>
      <x:c r="C319" s="75" t="str">
        <x:v>System Barriers!I7</x:v>
      </x:c>
      <x:c r="D319" s="75" t="str">
        <x:v>BLOCKED</x:v>
      </x:c>
      <x:c r="E319" s="75" t="str">
        <x:f>IF('System Barriers'!I7="BLOCKED","PASS","FAIL")</x:f>
        <x:v>PASS</x:v>
      </x:c>
      <x:c r="F319" s="75"/>
      <x:c r="G319" s="75"/>
      <x:c r="H319" s="75"/>
      <x:c r="I319" s="75"/>
      <x:c r="J319" s="75"/>
      <x:c r="K319" s="75"/>
      <x:c r="L319" s="75"/>
      <x:c r="M319" s="75"/>
      <x:c r="N319" s="75"/>
      <x:c r="O319" s="75"/>
      <x:c r="P319" s="75"/>
      <x:c r="Q319" s="75"/>
      <x:c r="R319" s="75"/>
      <x:c r="S319" s="75"/>
      <x:c r="T319" s="75"/>
      <x:c r="U319" s="75"/>
      <x:c r="V319" s="75"/>
      <x:c r="W319" s="75"/>
      <x:c r="X319" s="75"/>
      <x:c r="Y319" s="75"/>
      <x:c r="Z319" s="75"/>
    </x:row>
    <x:row r="320" ht="20" customHeight="1">
      <x:c r="A320" s="75" t="str">
        <x:v>SB-3</x:v>
      </x:c>
      <x:c r="B320" s="86" t="str">
        <x:v>System barrier remains closed</x:v>
      </x:c>
      <x:c r="C320" s="75" t="str">
        <x:v>System Barriers!I8</x:v>
      </x:c>
      <x:c r="D320" s="75" t="str">
        <x:v>BLOCKED</x:v>
      </x:c>
      <x:c r="E320" s="75" t="str">
        <x:f>IF('System Barriers'!I8="BLOCKED","PASS","FAIL")</x:f>
        <x:v>PASS</x:v>
      </x:c>
      <x:c r="F320" s="75"/>
      <x:c r="G320" s="75"/>
      <x:c r="H320" s="75"/>
      <x:c r="I320" s="75"/>
      <x:c r="J320" s="75"/>
      <x:c r="K320" s="75"/>
      <x:c r="L320" s="75"/>
      <x:c r="M320" s="75"/>
      <x:c r="N320" s="75"/>
      <x:c r="O320" s="75"/>
      <x:c r="P320" s="75"/>
      <x:c r="Q320" s="75"/>
      <x:c r="R320" s="75"/>
      <x:c r="S320" s="75"/>
      <x:c r="T320" s="75"/>
      <x:c r="U320" s="75"/>
      <x:c r="V320" s="75"/>
      <x:c r="W320" s="75"/>
      <x:c r="X320" s="75"/>
      <x:c r="Y320" s="75"/>
      <x:c r="Z320" s="75"/>
    </x:row>
    <x:row r="321" ht="20" customHeight="1">
      <x:c r="A321" s="75" t="str">
        <x:v>SB-4</x:v>
      </x:c>
      <x:c r="B321" s="86" t="str">
        <x:v>System barrier remains closed</x:v>
      </x:c>
      <x:c r="C321" s="75" t="str">
        <x:v>System Barriers!I9</x:v>
      </x:c>
      <x:c r="D321" s="75" t="str">
        <x:v>BLOCKED</x:v>
      </x:c>
      <x:c r="E321" s="75" t="str">
        <x:f>IF('System Barriers'!I9="BLOCKED","PASS","FAIL")</x:f>
        <x:v>PASS</x:v>
      </x:c>
      <x:c r="F321" s="75"/>
      <x:c r="G321" s="75"/>
      <x:c r="H321" s="75"/>
      <x:c r="I321" s="75"/>
      <x:c r="J321" s="75"/>
      <x:c r="K321" s="75"/>
      <x:c r="L321" s="75"/>
      <x:c r="M321" s="75"/>
      <x:c r="N321" s="75"/>
      <x:c r="O321" s="75"/>
      <x:c r="P321" s="75"/>
      <x:c r="Q321" s="75"/>
      <x:c r="R321" s="75"/>
      <x:c r="S321" s="75"/>
      <x:c r="T321" s="75"/>
      <x:c r="U321" s="75"/>
      <x:c r="V321" s="75"/>
      <x:c r="W321" s="75"/>
      <x:c r="X321" s="75"/>
      <x:c r="Y321" s="75"/>
      <x:c r="Z321" s="75"/>
    </x:row>
    <x:row r="322" ht="20" customHeight="1">
      <x:c r="A322" s="75" t="str">
        <x:v>SB-5</x:v>
      </x:c>
      <x:c r="B322" s="86" t="str">
        <x:v>System barrier remains closed</x:v>
      </x:c>
      <x:c r="C322" s="75" t="str">
        <x:v>System Barriers!I10</x:v>
      </x:c>
      <x:c r="D322" s="75" t="str">
        <x:v>BLOCKED</x:v>
      </x:c>
      <x:c r="E322" s="75" t="str">
        <x:f>IF('System Barriers'!I10="BLOCKED","PASS","FAIL")</x:f>
        <x:v>PASS</x:v>
      </x:c>
      <x:c r="F322" s="75"/>
      <x:c r="G322" s="75"/>
      <x:c r="H322" s="75"/>
      <x:c r="I322" s="75"/>
      <x:c r="J322" s="75"/>
      <x:c r="K322" s="75"/>
      <x:c r="L322" s="75"/>
      <x:c r="M322" s="75"/>
      <x:c r="N322" s="75"/>
      <x:c r="O322" s="75"/>
      <x:c r="P322" s="75"/>
      <x:c r="Q322" s="75"/>
      <x:c r="R322" s="75"/>
      <x:c r="S322" s="75"/>
      <x:c r="T322" s="75"/>
      <x:c r="U322" s="75"/>
      <x:c r="V322" s="75"/>
      <x:c r="W322" s="75"/>
      <x:c r="X322" s="75"/>
      <x:c r="Y322" s="75"/>
      <x:c r="Z322" s="75"/>
    </x:row>
    <x:row r="323" ht="20" customHeight="1">
      <x:c r="A323" s="75" t="str">
        <x:v>SB-6</x:v>
      </x:c>
      <x:c r="B323" s="86" t="str">
        <x:v>System barrier remains closed</x:v>
      </x:c>
      <x:c r="C323" s="75" t="str">
        <x:v>System Barriers!I11</x:v>
      </x:c>
      <x:c r="D323" s="75" t="str">
        <x:v>BLOCKED</x:v>
      </x:c>
      <x:c r="E323" s="75" t="str">
        <x:f>IF('System Barriers'!I11="BLOCKED","PASS","FAIL")</x:f>
        <x:v>PASS</x:v>
      </x:c>
      <x:c r="F323" s="75"/>
      <x:c r="G323" s="75"/>
      <x:c r="H323" s="75"/>
      <x:c r="I323" s="75"/>
      <x:c r="J323" s="75"/>
      <x:c r="K323" s="75"/>
      <x:c r="L323" s="75"/>
      <x:c r="M323" s="75"/>
      <x:c r="N323" s="75"/>
      <x:c r="O323" s="75"/>
      <x:c r="P323" s="75"/>
      <x:c r="Q323" s="75"/>
      <x:c r="R323" s="75"/>
      <x:c r="S323" s="75"/>
      <x:c r="T323" s="75"/>
      <x:c r="U323" s="75"/>
      <x:c r="V323" s="75"/>
      <x:c r="W323" s="75"/>
      <x:c r="X323" s="75"/>
      <x:c r="Y323" s="75"/>
      <x:c r="Z323" s="75"/>
    </x:row>
    <x:row r="324" ht="20" customHeight="1">
      <x:c r="A324" s="75" t="str">
        <x:v>FA-1</x:v>
      </x:c>
      <x:c r="B324" s="86" t="str">
        <x:v>Exclusive account value</x:v>
      </x:c>
      <x:c r="C324" s="75" t="str">
        <x:v>Fiscal Accounts!C6</x:v>
      </x:c>
      <x:c r="D324" s="75" t="n">
        <x:v>550</x:v>
      </x:c>
      <x:c r="E324" s="75" t="str">
        <x:f>IF(ABS('Fiscal Accounts'!C6-550)&lt;0.0001,"PASS","FAIL")</x:f>
        <x:v>PASS</x:v>
      </x:c>
      <x:c r="F324" s="75"/>
      <x:c r="G324" s="75"/>
      <x:c r="H324" s="75"/>
      <x:c r="I324" s="75"/>
      <x:c r="J324" s="75"/>
      <x:c r="K324" s="75"/>
      <x:c r="L324" s="75"/>
      <x:c r="M324" s="75"/>
      <x:c r="N324" s="75"/>
      <x:c r="O324" s="75"/>
      <x:c r="P324" s="75"/>
      <x:c r="Q324" s="75"/>
      <x:c r="R324" s="75"/>
      <x:c r="S324" s="75"/>
      <x:c r="T324" s="75"/>
      <x:c r="U324" s="75"/>
      <x:c r="V324" s="75"/>
      <x:c r="W324" s="75"/>
      <x:c r="X324" s="75"/>
      <x:c r="Y324" s="75"/>
      <x:c r="Z324" s="75"/>
    </x:row>
    <x:row r="325" ht="20" customHeight="1">
      <x:c r="A325" s="75" t="str">
        <x:v>FA-2</x:v>
      </x:c>
      <x:c r="B325" s="86" t="str">
        <x:v>Exclusive account value</x:v>
      </x:c>
      <x:c r="C325" s="75" t="str">
        <x:v>Fiscal Accounts!C7</x:v>
      </x:c>
      <x:c r="D325" s="75" t="n">
        <x:v>150</x:v>
      </x:c>
      <x:c r="E325" s="75" t="str">
        <x:f>IF(ABS('Fiscal Accounts'!C7-150)&lt;0.0001,"PASS","FAIL")</x:f>
        <x:v>PASS</x:v>
      </x:c>
      <x:c r="F325" s="75"/>
      <x:c r="G325" s="75"/>
      <x:c r="H325" s="75"/>
      <x:c r="I325" s="75"/>
      <x:c r="J325" s="75"/>
      <x:c r="K325" s="75"/>
      <x:c r="L325" s="75"/>
      <x:c r="M325" s="75"/>
      <x:c r="N325" s="75"/>
      <x:c r="O325" s="75"/>
      <x:c r="P325" s="75"/>
      <x:c r="Q325" s="75"/>
      <x:c r="R325" s="75"/>
      <x:c r="S325" s="75"/>
      <x:c r="T325" s="75"/>
      <x:c r="U325" s="75"/>
      <x:c r="V325" s="75"/>
      <x:c r="W325" s="75"/>
      <x:c r="X325" s="75"/>
      <x:c r="Y325" s="75"/>
      <x:c r="Z325" s="75"/>
    </x:row>
    <x:row r="326" ht="20" customHeight="1">
      <x:c r="A326" s="75" t="str">
        <x:v>FA-3</x:v>
      </x:c>
      <x:c r="B326" s="86" t="str">
        <x:v>Exclusive account value</x:v>
      </x:c>
      <x:c r="C326" s="75" t="str">
        <x:v>Fiscal Accounts!C8</x:v>
      </x:c>
      <x:c r="D326" s="75" t="n">
        <x:v>150</x:v>
      </x:c>
      <x:c r="E326" s="75" t="str">
        <x:f>IF(ABS('Fiscal Accounts'!C8-150)&lt;0.0001,"PASS","FAIL")</x:f>
        <x:v>PASS</x:v>
      </x:c>
      <x:c r="F326" s="75"/>
      <x:c r="G326" s="75"/>
      <x:c r="H326" s="75"/>
      <x:c r="I326" s="75"/>
      <x:c r="J326" s="75"/>
      <x:c r="K326" s="75"/>
      <x:c r="L326" s="75"/>
      <x:c r="M326" s="75"/>
      <x:c r="N326" s="75"/>
      <x:c r="O326" s="75"/>
      <x:c r="P326" s="75"/>
      <x:c r="Q326" s="75"/>
      <x:c r="R326" s="75"/>
      <x:c r="S326" s="75"/>
      <x:c r="T326" s="75"/>
      <x:c r="U326" s="75"/>
      <x:c r="V326" s="75"/>
      <x:c r="W326" s="75"/>
      <x:c r="X326" s="75"/>
      <x:c r="Y326" s="75"/>
      <x:c r="Z326" s="75"/>
    </x:row>
    <x:row r="327" ht="20" customHeight="1">
      <x:c r="A327" s="75" t="str">
        <x:v>FA-4</x:v>
      </x:c>
      <x:c r="B327" s="86" t="str">
        <x:v>Exclusive account value</x:v>
      </x:c>
      <x:c r="C327" s="75" t="str">
        <x:v>Fiscal Accounts!C9</x:v>
      </x:c>
      <x:c r="D327" s="75" t="n">
        <x:v>100</x:v>
      </x:c>
      <x:c r="E327" s="75" t="str">
        <x:f>IF(ABS('Fiscal Accounts'!C9-100)&lt;0.0001,"PASS","FAIL")</x:f>
        <x:v>PASS</x:v>
      </x:c>
      <x:c r="F327" s="75"/>
      <x:c r="G327" s="75"/>
      <x:c r="H327" s="75"/>
      <x:c r="I327" s="75"/>
      <x:c r="J327" s="75"/>
      <x:c r="K327" s="75"/>
      <x:c r="L327" s="75"/>
      <x:c r="M327" s="75"/>
      <x:c r="N327" s="75"/>
      <x:c r="O327" s="75"/>
      <x:c r="P327" s="75"/>
      <x:c r="Q327" s="75"/>
      <x:c r="R327" s="75"/>
      <x:c r="S327" s="75"/>
      <x:c r="T327" s="75"/>
      <x:c r="U327" s="75"/>
      <x:c r="V327" s="75"/>
      <x:c r="W327" s="75"/>
      <x:c r="X327" s="75"/>
      <x:c r="Y327" s="75"/>
      <x:c r="Z327" s="75"/>
    </x:row>
    <x:row r="328" ht="20" customHeight="1">
      <x:c r="A328" s="75" t="str">
        <x:v>FA-5</x:v>
      </x:c>
      <x:c r="B328" s="86" t="str">
        <x:v>Exclusive account value</x:v>
      </x:c>
      <x:c r="C328" s="75" t="str">
        <x:v>Fiscal Accounts!C10</x:v>
      </x:c>
      <x:c r="D328" s="75" t="n">
        <x:v>50</x:v>
      </x:c>
      <x:c r="E328" s="75" t="str">
        <x:f>IF(ABS('Fiscal Accounts'!C10-50)&lt;0.0001,"PASS","FAIL")</x:f>
        <x:v>PASS</x:v>
      </x:c>
      <x:c r="F328" s="75"/>
      <x:c r="G328" s="75"/>
      <x:c r="H328" s="75"/>
      <x:c r="I328" s="75"/>
      <x:c r="J328" s="75"/>
      <x:c r="K328" s="75"/>
      <x:c r="L328" s="75"/>
      <x:c r="M328" s="75"/>
      <x:c r="N328" s="75"/>
      <x:c r="O328" s="75"/>
      <x:c r="P328" s="75"/>
      <x:c r="Q328" s="75"/>
      <x:c r="R328" s="75"/>
      <x:c r="S328" s="75"/>
      <x:c r="T328" s="75"/>
      <x:c r="U328" s="75"/>
      <x:c r="V328" s="75"/>
      <x:c r="W328" s="75"/>
      <x:c r="X328" s="75"/>
      <x:c r="Y328" s="75"/>
      <x:c r="Z328" s="75"/>
    </x:row>
    <x:row r="329" ht="20" customHeight="1">
      <x:c r="A329" s="75" t="str">
        <x:v>WV-01</x:v>
      </x:c>
      <x:c r="B329" s="86" t="str">
        <x:v>Account-wave multiplication</x:v>
      </x:c>
      <x:c r="C329" s="75" t="str">
        <x:v>Wave Authority!G6</x:v>
      </x:c>
      <x:c r="D329" s="75" t="str">
        <x:v>FORMULA</x:v>
      </x:c>
      <x:c r="E329" s="75" t="str">
        <x:f>IF(ABS('Wave Authority'!G6-INDEX('Fiscal Accounts'!$C$6:$C$10,MATCH('Wave Authority'!B6,'Fiscal Accounts'!$A$6:$A$10,0))*'Wave Authority'!F6)&lt;0.0001,"PASS","FAIL")</x:f>
        <x:v>PASS</x:v>
      </x:c>
      <x:c r="F329" s="75"/>
      <x:c r="G329" s="75"/>
      <x:c r="H329" s="75"/>
      <x:c r="I329" s="75"/>
      <x:c r="J329" s="75"/>
      <x:c r="K329" s="75"/>
      <x:c r="L329" s="75"/>
      <x:c r="M329" s="75"/>
      <x:c r="N329" s="75"/>
      <x:c r="O329" s="75"/>
      <x:c r="P329" s="75"/>
      <x:c r="Q329" s="75"/>
      <x:c r="R329" s="75"/>
      <x:c r="S329" s="75"/>
      <x:c r="T329" s="75"/>
      <x:c r="U329" s="75"/>
      <x:c r="V329" s="75"/>
      <x:c r="W329" s="75"/>
      <x:c r="X329" s="75"/>
      <x:c r="Y329" s="75"/>
      <x:c r="Z329" s="75"/>
    </x:row>
    <x:row r="330" ht="20" customHeight="1">
      <x:c r="A330" s="75" t="str">
        <x:v>WV-02</x:v>
      </x:c>
      <x:c r="B330" s="86" t="str">
        <x:v>Account-wave multiplication</x:v>
      </x:c>
      <x:c r="C330" s="75" t="str">
        <x:v>Wave Authority!G7</x:v>
      </x:c>
      <x:c r="D330" s="75" t="str">
        <x:v>FORMULA</x:v>
      </x:c>
      <x:c r="E330" s="75" t="str">
        <x:f>IF(ABS('Wave Authority'!G7-INDEX('Fiscal Accounts'!$C$6:$C$10,MATCH('Wave Authority'!B7,'Fiscal Accounts'!$A$6:$A$10,0))*'Wave Authority'!F7)&lt;0.0001,"PASS","FAIL")</x:f>
        <x:v>PASS</x:v>
      </x:c>
      <x:c r="F330" s="75"/>
      <x:c r="G330" s="75"/>
      <x:c r="H330" s="75"/>
      <x:c r="I330" s="75"/>
      <x:c r="J330" s="75"/>
      <x:c r="K330" s="75"/>
      <x:c r="L330" s="75"/>
      <x:c r="M330" s="75"/>
      <x:c r="N330" s="75"/>
      <x:c r="O330" s="75"/>
      <x:c r="P330" s="75"/>
      <x:c r="Q330" s="75"/>
      <x:c r="R330" s="75"/>
      <x:c r="S330" s="75"/>
      <x:c r="T330" s="75"/>
      <x:c r="U330" s="75"/>
      <x:c r="V330" s="75"/>
      <x:c r="W330" s="75"/>
      <x:c r="X330" s="75"/>
      <x:c r="Y330" s="75"/>
      <x:c r="Z330" s="75"/>
    </x:row>
    <x:row r="331" ht="20" customHeight="1">
      <x:c r="A331" s="75" t="str">
        <x:v>WV-03</x:v>
      </x:c>
      <x:c r="B331" s="86" t="str">
        <x:v>Account-wave multiplication</x:v>
      </x:c>
      <x:c r="C331" s="75" t="str">
        <x:v>Wave Authority!G8</x:v>
      </x:c>
      <x:c r="D331" s="75" t="str">
        <x:v>FORMULA</x:v>
      </x:c>
      <x:c r="E331" s="75" t="str">
        <x:f>IF(ABS('Wave Authority'!G8-INDEX('Fiscal Accounts'!$C$6:$C$10,MATCH('Wave Authority'!B8,'Fiscal Accounts'!$A$6:$A$10,0))*'Wave Authority'!F8)&lt;0.0001,"PASS","FAIL")</x:f>
        <x:v>PASS</x:v>
      </x:c>
      <x:c r="F331" s="75"/>
      <x:c r="G331" s="75"/>
      <x:c r="H331" s="75"/>
      <x:c r="I331" s="75"/>
      <x:c r="J331" s="75"/>
      <x:c r="K331" s="75"/>
      <x:c r="L331" s="75"/>
      <x:c r="M331" s="75"/>
      <x:c r="N331" s="75"/>
      <x:c r="O331" s="75"/>
      <x:c r="P331" s="75"/>
      <x:c r="Q331" s="75"/>
      <x:c r="R331" s="75"/>
      <x:c r="S331" s="75"/>
      <x:c r="T331" s="75"/>
      <x:c r="U331" s="75"/>
      <x:c r="V331" s="75"/>
      <x:c r="W331" s="75"/>
      <x:c r="X331" s="75"/>
      <x:c r="Y331" s="75"/>
      <x:c r="Z331" s="75"/>
    </x:row>
    <x:row r="332" ht="20" customHeight="1">
      <x:c r="A332" s="75" t="str">
        <x:v>WV-04</x:v>
      </x:c>
      <x:c r="B332" s="86" t="str">
        <x:v>Account-wave multiplication</x:v>
      </x:c>
      <x:c r="C332" s="75" t="str">
        <x:v>Wave Authority!G9</x:v>
      </x:c>
      <x:c r="D332" s="75" t="str">
        <x:v>FORMULA</x:v>
      </x:c>
      <x:c r="E332" s="75" t="str">
        <x:f>IF(ABS('Wave Authority'!G9-INDEX('Fiscal Accounts'!$C$6:$C$10,MATCH('Wave Authority'!B9,'Fiscal Accounts'!$A$6:$A$10,0))*'Wave Authority'!F9)&lt;0.0001,"PASS","FAIL")</x:f>
        <x:v>PASS</x:v>
      </x:c>
      <x:c r="F332" s="75"/>
      <x:c r="G332" s="75"/>
      <x:c r="H332" s="75"/>
      <x:c r="I332" s="75"/>
      <x:c r="J332" s="75"/>
      <x:c r="K332" s="75"/>
      <x:c r="L332" s="75"/>
      <x:c r="M332" s="75"/>
      <x:c r="N332" s="75"/>
      <x:c r="O332" s="75"/>
      <x:c r="P332" s="75"/>
      <x:c r="Q332" s="75"/>
      <x:c r="R332" s="75"/>
      <x:c r="S332" s="75"/>
      <x:c r="T332" s="75"/>
      <x:c r="U332" s="75"/>
      <x:c r="V332" s="75"/>
      <x:c r="W332" s="75"/>
      <x:c r="X332" s="75"/>
      <x:c r="Y332" s="75"/>
      <x:c r="Z332" s="75"/>
    </x:row>
    <x:row r="333" ht="20" customHeight="1">
      <x:c r="A333" s="75" t="str">
        <x:v>WV-05</x:v>
      </x:c>
      <x:c r="B333" s="86" t="str">
        <x:v>Account-wave multiplication</x:v>
      </x:c>
      <x:c r="C333" s="75" t="str">
        <x:v>Wave Authority!G10</x:v>
      </x:c>
      <x:c r="D333" s="75" t="str">
        <x:v>FORMULA</x:v>
      </x:c>
      <x:c r="E333" s="75" t="str">
        <x:f>IF(ABS('Wave Authority'!G10-INDEX('Fiscal Accounts'!$C$6:$C$10,MATCH('Wave Authority'!B10,'Fiscal Accounts'!$A$6:$A$10,0))*'Wave Authority'!F10)&lt;0.0001,"PASS","FAIL")</x:f>
        <x:v>PASS</x:v>
      </x:c>
      <x:c r="F333" s="75"/>
      <x:c r="G333" s="75"/>
      <x:c r="H333" s="75"/>
      <x:c r="I333" s="75"/>
      <x:c r="J333" s="75"/>
      <x:c r="K333" s="75"/>
      <x:c r="L333" s="75"/>
      <x:c r="M333" s="75"/>
      <x:c r="N333" s="75"/>
      <x:c r="O333" s="75"/>
      <x:c r="P333" s="75"/>
      <x:c r="Q333" s="75"/>
      <x:c r="R333" s="75"/>
      <x:c r="S333" s="75"/>
      <x:c r="T333" s="75"/>
      <x:c r="U333" s="75"/>
      <x:c r="V333" s="75"/>
      <x:c r="W333" s="75"/>
      <x:c r="X333" s="75"/>
      <x:c r="Y333" s="75"/>
      <x:c r="Z333" s="75"/>
    </x:row>
    <x:row r="334" ht="20" customHeight="1">
      <x:c r="A334" s="75" t="str">
        <x:v>WV-06</x:v>
      </x:c>
      <x:c r="B334" s="86" t="str">
        <x:v>Account-wave multiplication</x:v>
      </x:c>
      <x:c r="C334" s="75" t="str">
        <x:v>Wave Authority!G11</x:v>
      </x:c>
      <x:c r="D334" s="75" t="str">
        <x:v>FORMULA</x:v>
      </x:c>
      <x:c r="E334" s="75" t="str">
        <x:f>IF(ABS('Wave Authority'!G11-INDEX('Fiscal Accounts'!$C$6:$C$10,MATCH('Wave Authority'!B11,'Fiscal Accounts'!$A$6:$A$10,0))*'Wave Authority'!F11)&lt;0.0001,"PASS","FAIL")</x:f>
        <x:v>PASS</x:v>
      </x:c>
      <x:c r="F334" s="75"/>
      <x:c r="G334" s="75"/>
      <x:c r="H334" s="75"/>
      <x:c r="I334" s="75"/>
      <x:c r="J334" s="75"/>
      <x:c r="K334" s="75"/>
      <x:c r="L334" s="75"/>
      <x:c r="M334" s="75"/>
      <x:c r="N334" s="75"/>
      <x:c r="O334" s="75"/>
      <x:c r="P334" s="75"/>
      <x:c r="Q334" s="75"/>
      <x:c r="R334" s="75"/>
      <x:c r="S334" s="75"/>
      <x:c r="T334" s="75"/>
      <x:c r="U334" s="75"/>
      <x:c r="V334" s="75"/>
      <x:c r="W334" s="75"/>
      <x:c r="X334" s="75"/>
      <x:c r="Y334" s="75"/>
      <x:c r="Z334" s="75"/>
    </x:row>
    <x:row r="335" ht="20" customHeight="1">
      <x:c r="A335" s="75" t="str">
        <x:v>WV-07</x:v>
      </x:c>
      <x:c r="B335" s="86" t="str">
        <x:v>Account-wave multiplication</x:v>
      </x:c>
      <x:c r="C335" s="75" t="str">
        <x:v>Wave Authority!G12</x:v>
      </x:c>
      <x:c r="D335" s="75" t="str">
        <x:v>FORMULA</x:v>
      </x:c>
      <x:c r="E335" s="75" t="str">
        <x:f>IF(ABS('Wave Authority'!G12-INDEX('Fiscal Accounts'!$C$6:$C$10,MATCH('Wave Authority'!B12,'Fiscal Accounts'!$A$6:$A$10,0))*'Wave Authority'!F12)&lt;0.0001,"PASS","FAIL")</x:f>
        <x:v>PASS</x:v>
      </x:c>
      <x:c r="F335" s="75"/>
      <x:c r="G335" s="75"/>
      <x:c r="H335" s="75"/>
      <x:c r="I335" s="75"/>
      <x:c r="J335" s="75"/>
      <x:c r="K335" s="75"/>
      <x:c r="L335" s="75"/>
      <x:c r="M335" s="75"/>
      <x:c r="N335" s="75"/>
      <x:c r="O335" s="75"/>
      <x:c r="P335" s="75"/>
      <x:c r="Q335" s="75"/>
      <x:c r="R335" s="75"/>
      <x:c r="S335" s="75"/>
      <x:c r="T335" s="75"/>
      <x:c r="U335" s="75"/>
      <x:c r="V335" s="75"/>
      <x:c r="W335" s="75"/>
      <x:c r="X335" s="75"/>
      <x:c r="Y335" s="75"/>
      <x:c r="Z335" s="75"/>
    </x:row>
    <x:row r="336" ht="20" customHeight="1">
      <x:c r="A336" s="75" t="str">
        <x:v>WV-08</x:v>
      </x:c>
      <x:c r="B336" s="86" t="str">
        <x:v>Account-wave multiplication</x:v>
      </x:c>
      <x:c r="C336" s="75" t="str">
        <x:v>Wave Authority!G13</x:v>
      </x:c>
      <x:c r="D336" s="75" t="str">
        <x:v>FORMULA</x:v>
      </x:c>
      <x:c r="E336" s="75" t="str">
        <x:f>IF(ABS('Wave Authority'!G13-INDEX('Fiscal Accounts'!$C$6:$C$10,MATCH('Wave Authority'!B13,'Fiscal Accounts'!$A$6:$A$10,0))*'Wave Authority'!F13)&lt;0.0001,"PASS","FAIL")</x:f>
        <x:v>PASS</x:v>
      </x:c>
      <x:c r="F336" s="75"/>
      <x:c r="G336" s="75"/>
      <x:c r="H336" s="75"/>
      <x:c r="I336" s="75"/>
      <x:c r="J336" s="75"/>
      <x:c r="K336" s="75"/>
      <x:c r="L336" s="75"/>
      <x:c r="M336" s="75"/>
      <x:c r="N336" s="75"/>
      <x:c r="O336" s="75"/>
      <x:c r="P336" s="75"/>
      <x:c r="Q336" s="75"/>
      <x:c r="R336" s="75"/>
      <x:c r="S336" s="75"/>
      <x:c r="T336" s="75"/>
      <x:c r="U336" s="75"/>
      <x:c r="V336" s="75"/>
      <x:c r="W336" s="75"/>
      <x:c r="X336" s="75"/>
      <x:c r="Y336" s="75"/>
      <x:c r="Z336" s="75"/>
    </x:row>
    <x:row r="337" ht="20" customHeight="1">
      <x:c r="A337" s="75" t="str">
        <x:v>WV-09</x:v>
      </x:c>
      <x:c r="B337" s="86" t="str">
        <x:v>Account-wave multiplication</x:v>
      </x:c>
      <x:c r="C337" s="75" t="str">
        <x:v>Wave Authority!G14</x:v>
      </x:c>
      <x:c r="D337" s="75" t="str">
        <x:v>FORMULA</x:v>
      </x:c>
      <x:c r="E337" s="75" t="str">
        <x:f>IF(ABS('Wave Authority'!G14-INDEX('Fiscal Accounts'!$C$6:$C$10,MATCH('Wave Authority'!B14,'Fiscal Accounts'!$A$6:$A$10,0))*'Wave Authority'!F14)&lt;0.0001,"PASS","FAIL")</x:f>
        <x:v>PASS</x:v>
      </x:c>
      <x:c r="F337" s="75"/>
      <x:c r="G337" s="75"/>
      <x:c r="H337" s="75"/>
      <x:c r="I337" s="75"/>
      <x:c r="J337" s="75"/>
      <x:c r="K337" s="75"/>
      <x:c r="L337" s="75"/>
      <x:c r="M337" s="75"/>
      <x:c r="N337" s="75"/>
      <x:c r="O337" s="75"/>
      <x:c r="P337" s="75"/>
      <x:c r="Q337" s="75"/>
      <x:c r="R337" s="75"/>
      <x:c r="S337" s="75"/>
      <x:c r="T337" s="75"/>
      <x:c r="U337" s="75"/>
      <x:c r="V337" s="75"/>
      <x:c r="W337" s="75"/>
      <x:c r="X337" s="75"/>
      <x:c r="Y337" s="75"/>
      <x:c r="Z337" s="75"/>
    </x:row>
    <x:row r="338" ht="20" customHeight="1">
      <x:c r="A338" s="75" t="str">
        <x:v>WV-10</x:v>
      </x:c>
      <x:c r="B338" s="86" t="str">
        <x:v>Account-wave multiplication</x:v>
      </x:c>
      <x:c r="C338" s="75" t="str">
        <x:v>Wave Authority!G15</x:v>
      </x:c>
      <x:c r="D338" s="75" t="str">
        <x:v>FORMULA</x:v>
      </x:c>
      <x:c r="E338" s="75" t="str">
        <x:f>IF(ABS('Wave Authority'!G15-INDEX('Fiscal Accounts'!$C$6:$C$10,MATCH('Wave Authority'!B15,'Fiscal Accounts'!$A$6:$A$10,0))*'Wave Authority'!F15)&lt;0.0001,"PASS","FAIL")</x:f>
        <x:v>PASS</x:v>
      </x:c>
      <x:c r="F338" s="75"/>
      <x:c r="G338" s="75"/>
      <x:c r="H338" s="75"/>
      <x:c r="I338" s="75"/>
      <x:c r="J338" s="75"/>
      <x:c r="K338" s="75"/>
      <x:c r="L338" s="75"/>
      <x:c r="M338" s="75"/>
      <x:c r="N338" s="75"/>
      <x:c r="O338" s="75"/>
      <x:c r="P338" s="75"/>
      <x:c r="Q338" s="75"/>
      <x:c r="R338" s="75"/>
      <x:c r="S338" s="75"/>
      <x:c r="T338" s="75"/>
      <x:c r="U338" s="75"/>
      <x:c r="V338" s="75"/>
      <x:c r="W338" s="75"/>
      <x:c r="X338" s="75"/>
      <x:c r="Y338" s="75"/>
      <x:c r="Z338" s="75"/>
    </x:row>
    <x:row r="339" ht="20" customHeight="1">
      <x:c r="A339" s="75" t="str">
        <x:v>WV-11</x:v>
      </x:c>
      <x:c r="B339" s="86" t="str">
        <x:v>Account-wave multiplication</x:v>
      </x:c>
      <x:c r="C339" s="75" t="str">
        <x:v>Wave Authority!G16</x:v>
      </x:c>
      <x:c r="D339" s="75" t="str">
        <x:v>FORMULA</x:v>
      </x:c>
      <x:c r="E339" s="75" t="str">
        <x:f>IF(ABS('Wave Authority'!G16-INDEX('Fiscal Accounts'!$C$6:$C$10,MATCH('Wave Authority'!B16,'Fiscal Accounts'!$A$6:$A$10,0))*'Wave Authority'!F16)&lt;0.0001,"PASS","FAIL")</x:f>
        <x:v>PASS</x:v>
      </x:c>
      <x:c r="F339" s="75"/>
      <x:c r="G339" s="75"/>
      <x:c r="H339" s="75"/>
      <x:c r="I339" s="75"/>
      <x:c r="J339" s="75"/>
      <x:c r="K339" s="75"/>
      <x:c r="L339" s="75"/>
      <x:c r="M339" s="75"/>
      <x:c r="N339" s="75"/>
      <x:c r="O339" s="75"/>
      <x:c r="P339" s="75"/>
      <x:c r="Q339" s="75"/>
      <x:c r="R339" s="75"/>
      <x:c r="S339" s="75"/>
      <x:c r="T339" s="75"/>
      <x:c r="U339" s="75"/>
      <x:c r="V339" s="75"/>
      <x:c r="W339" s="75"/>
      <x:c r="X339" s="75"/>
      <x:c r="Y339" s="75"/>
      <x:c r="Z339" s="75"/>
    </x:row>
    <x:row r="340" ht="20" customHeight="1">
      <x:c r="A340" s="75" t="str">
        <x:v>WV-12</x:v>
      </x:c>
      <x:c r="B340" s="86" t="str">
        <x:v>Account-wave multiplication</x:v>
      </x:c>
      <x:c r="C340" s="75" t="str">
        <x:v>Wave Authority!G17</x:v>
      </x:c>
      <x:c r="D340" s="75" t="str">
        <x:v>FORMULA</x:v>
      </x:c>
      <x:c r="E340" s="75" t="str">
        <x:f>IF(ABS('Wave Authority'!G17-INDEX('Fiscal Accounts'!$C$6:$C$10,MATCH('Wave Authority'!B17,'Fiscal Accounts'!$A$6:$A$10,0))*'Wave Authority'!F17)&lt;0.0001,"PASS","FAIL")</x:f>
        <x:v>PASS</x:v>
      </x:c>
      <x:c r="F340" s="75"/>
      <x:c r="G340" s="75"/>
      <x:c r="H340" s="75"/>
      <x:c r="I340" s="75"/>
      <x:c r="J340" s="75"/>
      <x:c r="K340" s="75"/>
      <x:c r="L340" s="75"/>
      <x:c r="M340" s="75"/>
      <x:c r="N340" s="75"/>
      <x:c r="O340" s="75"/>
      <x:c r="P340" s="75"/>
      <x:c r="Q340" s="75"/>
      <x:c r="R340" s="75"/>
      <x:c r="S340" s="75"/>
      <x:c r="T340" s="75"/>
      <x:c r="U340" s="75"/>
      <x:c r="V340" s="75"/>
      <x:c r="W340" s="75"/>
      <x:c r="X340" s="75"/>
      <x:c r="Y340" s="75"/>
      <x:c r="Z340" s="75"/>
    </x:row>
    <x:row r="341" ht="20" customHeight="1">
      <x:c r="A341" s="75" t="str">
        <x:v>WV-13</x:v>
      </x:c>
      <x:c r="B341" s="86" t="str">
        <x:v>Account-wave multiplication</x:v>
      </x:c>
      <x:c r="C341" s="75" t="str">
        <x:v>Wave Authority!G18</x:v>
      </x:c>
      <x:c r="D341" s="75" t="str">
        <x:v>FORMULA</x:v>
      </x:c>
      <x:c r="E341" s="75" t="str">
        <x:f>IF(ABS('Wave Authority'!G18-INDEX('Fiscal Accounts'!$C$6:$C$10,MATCH('Wave Authority'!B18,'Fiscal Accounts'!$A$6:$A$10,0))*'Wave Authority'!F18)&lt;0.0001,"PASS","FAIL")</x:f>
        <x:v>PASS</x:v>
      </x:c>
      <x:c r="F341" s="75"/>
      <x:c r="G341" s="75"/>
      <x:c r="H341" s="75"/>
      <x:c r="I341" s="75"/>
      <x:c r="J341" s="75"/>
      <x:c r="K341" s="75"/>
      <x:c r="L341" s="75"/>
      <x:c r="M341" s="75"/>
      <x:c r="N341" s="75"/>
      <x:c r="O341" s="75"/>
      <x:c r="P341" s="75"/>
      <x:c r="Q341" s="75"/>
      <x:c r="R341" s="75"/>
      <x:c r="S341" s="75"/>
      <x:c r="T341" s="75"/>
      <x:c r="U341" s="75"/>
      <x:c r="V341" s="75"/>
      <x:c r="W341" s="75"/>
      <x:c r="X341" s="75"/>
      <x:c r="Y341" s="75"/>
      <x:c r="Z341" s="75"/>
    </x:row>
    <x:row r="342" ht="20" customHeight="1">
      <x:c r="A342" s="75" t="str">
        <x:v>WV-14</x:v>
      </x:c>
      <x:c r="B342" s="86" t="str">
        <x:v>Account-wave multiplication</x:v>
      </x:c>
      <x:c r="C342" s="75" t="str">
        <x:v>Wave Authority!G19</x:v>
      </x:c>
      <x:c r="D342" s="75" t="str">
        <x:v>FORMULA</x:v>
      </x:c>
      <x:c r="E342" s="75" t="str">
        <x:f>IF(ABS('Wave Authority'!G19-INDEX('Fiscal Accounts'!$C$6:$C$10,MATCH('Wave Authority'!B19,'Fiscal Accounts'!$A$6:$A$10,0))*'Wave Authority'!F19)&lt;0.0001,"PASS","FAIL")</x:f>
        <x:v>PASS</x:v>
      </x:c>
      <x:c r="F342" s="75"/>
      <x:c r="G342" s="75"/>
      <x:c r="H342" s="75"/>
      <x:c r="I342" s="75"/>
      <x:c r="J342" s="75"/>
      <x:c r="K342" s="75"/>
      <x:c r="L342" s="75"/>
      <x:c r="M342" s="75"/>
      <x:c r="N342" s="75"/>
      <x:c r="O342" s="75"/>
      <x:c r="P342" s="75"/>
      <x:c r="Q342" s="75"/>
      <x:c r="R342" s="75"/>
      <x:c r="S342" s="75"/>
      <x:c r="T342" s="75"/>
      <x:c r="U342" s="75"/>
      <x:c r="V342" s="75"/>
      <x:c r="W342" s="75"/>
      <x:c r="X342" s="75"/>
      <x:c r="Y342" s="75"/>
      <x:c r="Z342" s="75"/>
    </x:row>
    <x:row r="343" ht="20" customHeight="1">
      <x:c r="A343" s="75" t="str">
        <x:v>WV-15</x:v>
      </x:c>
      <x:c r="B343" s="86" t="str">
        <x:v>Account-wave multiplication</x:v>
      </x:c>
      <x:c r="C343" s="75" t="str">
        <x:v>Wave Authority!G20</x:v>
      </x:c>
      <x:c r="D343" s="75" t="str">
        <x:v>FORMULA</x:v>
      </x:c>
      <x:c r="E343" s="75" t="str">
        <x:f>IF(ABS('Wave Authority'!G20-INDEX('Fiscal Accounts'!$C$6:$C$10,MATCH('Wave Authority'!B20,'Fiscal Accounts'!$A$6:$A$10,0))*'Wave Authority'!F20)&lt;0.0001,"PASS","FAIL")</x:f>
        <x:v>PASS</x:v>
      </x:c>
      <x:c r="F343" s="75"/>
      <x:c r="G343" s="75"/>
      <x:c r="H343" s="75"/>
      <x:c r="I343" s="75"/>
      <x:c r="J343" s="75"/>
      <x:c r="K343" s="75"/>
      <x:c r="L343" s="75"/>
      <x:c r="M343" s="75"/>
      <x:c r="N343" s="75"/>
      <x:c r="O343" s="75"/>
      <x:c r="P343" s="75"/>
      <x:c r="Q343" s="75"/>
      <x:c r="R343" s="75"/>
      <x:c r="S343" s="75"/>
      <x:c r="T343" s="75"/>
      <x:c r="U343" s="75"/>
      <x:c r="V343" s="75"/>
      <x:c r="W343" s="75"/>
      <x:c r="X343" s="75"/>
      <x:c r="Y343" s="75"/>
      <x:c r="Z343" s="75"/>
    </x:row>
    <x:row r="344" ht="20" customHeight="1">
      <x:c r="A344" s="75" t="str">
        <x:v>WV-16</x:v>
      </x:c>
      <x:c r="B344" s="86" t="str">
        <x:v>Account-wave multiplication</x:v>
      </x:c>
      <x:c r="C344" s="75" t="str">
        <x:v>Wave Authority!G21</x:v>
      </x:c>
      <x:c r="D344" s="75" t="str">
        <x:v>FORMULA</x:v>
      </x:c>
      <x:c r="E344" s="75" t="str">
        <x:f>IF(ABS('Wave Authority'!G21-INDEX('Fiscal Accounts'!$C$6:$C$10,MATCH('Wave Authority'!B21,'Fiscal Accounts'!$A$6:$A$10,0))*'Wave Authority'!F21)&lt;0.0001,"PASS","FAIL")</x:f>
        <x:v>PASS</x:v>
      </x:c>
      <x:c r="F344" s="75"/>
      <x:c r="G344" s="75"/>
      <x:c r="H344" s="75"/>
      <x:c r="I344" s="75"/>
      <x:c r="J344" s="75"/>
      <x:c r="K344" s="75"/>
      <x:c r="L344" s="75"/>
      <x:c r="M344" s="75"/>
      <x:c r="N344" s="75"/>
      <x:c r="O344" s="75"/>
      <x:c r="P344" s="75"/>
      <x:c r="Q344" s="75"/>
      <x:c r="R344" s="75"/>
      <x:c r="S344" s="75"/>
      <x:c r="T344" s="75"/>
      <x:c r="U344" s="75"/>
      <x:c r="V344" s="75"/>
      <x:c r="W344" s="75"/>
      <x:c r="X344" s="75"/>
      <x:c r="Y344" s="75"/>
      <x:c r="Z344" s="75"/>
    </x:row>
    <x:row r="345" ht="20" customHeight="1">
      <x:c r="A345" s="75" t="str">
        <x:v>WV-17</x:v>
      </x:c>
      <x:c r="B345" s="86" t="str">
        <x:v>Account-wave multiplication</x:v>
      </x:c>
      <x:c r="C345" s="75" t="str">
        <x:v>Wave Authority!G22</x:v>
      </x:c>
      <x:c r="D345" s="75" t="str">
        <x:v>FORMULA</x:v>
      </x:c>
      <x:c r="E345" s="75" t="str">
        <x:f>IF(ABS('Wave Authority'!G22-INDEX('Fiscal Accounts'!$C$6:$C$10,MATCH('Wave Authority'!B22,'Fiscal Accounts'!$A$6:$A$10,0))*'Wave Authority'!F22)&lt;0.0001,"PASS","FAIL")</x:f>
        <x:v>PASS</x:v>
      </x:c>
      <x:c r="F345" s="75"/>
      <x:c r="G345" s="75"/>
      <x:c r="H345" s="75"/>
      <x:c r="I345" s="75"/>
      <x:c r="J345" s="75"/>
      <x:c r="K345" s="75"/>
      <x:c r="L345" s="75"/>
      <x:c r="M345" s="75"/>
      <x:c r="N345" s="75"/>
      <x:c r="O345" s="75"/>
      <x:c r="P345" s="75"/>
      <x:c r="Q345" s="75"/>
      <x:c r="R345" s="75"/>
      <x:c r="S345" s="75"/>
      <x:c r="T345" s="75"/>
      <x:c r="U345" s="75"/>
      <x:c r="V345" s="75"/>
      <x:c r="W345" s="75"/>
      <x:c r="X345" s="75"/>
      <x:c r="Y345" s="75"/>
      <x:c r="Z345" s="75"/>
    </x:row>
    <x:row r="346" ht="20" customHeight="1">
      <x:c r="A346" s="75" t="str">
        <x:v>WV-18</x:v>
      </x:c>
      <x:c r="B346" s="86" t="str">
        <x:v>Account-wave multiplication</x:v>
      </x:c>
      <x:c r="C346" s="75" t="str">
        <x:v>Wave Authority!G23</x:v>
      </x:c>
      <x:c r="D346" s="75" t="str">
        <x:v>FORMULA</x:v>
      </x:c>
      <x:c r="E346" s="75" t="str">
        <x:f>IF(ABS('Wave Authority'!G23-INDEX('Fiscal Accounts'!$C$6:$C$10,MATCH('Wave Authority'!B23,'Fiscal Accounts'!$A$6:$A$10,0))*'Wave Authority'!F23)&lt;0.0001,"PASS","FAIL")</x:f>
        <x:v>PASS</x:v>
      </x:c>
      <x:c r="F346" s="75"/>
      <x:c r="G346" s="75"/>
      <x:c r="H346" s="75"/>
      <x:c r="I346" s="75"/>
      <x:c r="J346" s="75"/>
      <x:c r="K346" s="75"/>
      <x:c r="L346" s="75"/>
      <x:c r="M346" s="75"/>
      <x:c r="N346" s="75"/>
      <x:c r="O346" s="75"/>
      <x:c r="P346" s="75"/>
      <x:c r="Q346" s="75"/>
      <x:c r="R346" s="75"/>
      <x:c r="S346" s="75"/>
      <x:c r="T346" s="75"/>
      <x:c r="U346" s="75"/>
      <x:c r="V346" s="75"/>
      <x:c r="W346" s="75"/>
      <x:c r="X346" s="75"/>
      <x:c r="Y346" s="75"/>
      <x:c r="Z346" s="75"/>
    </x:row>
    <x:row r="347" ht="20" customHeight="1">
      <x:c r="A347" s="75" t="str">
        <x:v>WV-19</x:v>
      </x:c>
      <x:c r="B347" s="86" t="str">
        <x:v>Account-wave multiplication</x:v>
      </x:c>
      <x:c r="C347" s="75" t="str">
        <x:v>Wave Authority!G24</x:v>
      </x:c>
      <x:c r="D347" s="75" t="str">
        <x:v>FORMULA</x:v>
      </x:c>
      <x:c r="E347" s="75" t="str">
        <x:f>IF(ABS('Wave Authority'!G24-INDEX('Fiscal Accounts'!$C$6:$C$10,MATCH('Wave Authority'!B24,'Fiscal Accounts'!$A$6:$A$10,0))*'Wave Authority'!F24)&lt;0.0001,"PASS","FAIL")</x:f>
        <x:v>PASS</x:v>
      </x:c>
      <x:c r="F347" s="75"/>
      <x:c r="G347" s="75"/>
      <x:c r="H347" s="75"/>
      <x:c r="I347" s="75"/>
      <x:c r="J347" s="75"/>
      <x:c r="K347" s="75"/>
      <x:c r="L347" s="75"/>
      <x:c r="M347" s="75"/>
      <x:c r="N347" s="75"/>
      <x:c r="O347" s="75"/>
      <x:c r="P347" s="75"/>
      <x:c r="Q347" s="75"/>
      <x:c r="R347" s="75"/>
      <x:c r="S347" s="75"/>
      <x:c r="T347" s="75"/>
      <x:c r="U347" s="75"/>
      <x:c r="V347" s="75"/>
      <x:c r="W347" s="75"/>
      <x:c r="X347" s="75"/>
      <x:c r="Y347" s="75"/>
      <x:c r="Z347" s="75"/>
    </x:row>
    <x:row r="348" ht="20" customHeight="1">
      <x:c r="A348" s="75" t="str">
        <x:v>WV-20</x:v>
      </x:c>
      <x:c r="B348" s="86" t="str">
        <x:v>Account-wave multiplication</x:v>
      </x:c>
      <x:c r="C348" s="75" t="str">
        <x:v>Wave Authority!G25</x:v>
      </x:c>
      <x:c r="D348" s="75" t="str">
        <x:v>FORMULA</x:v>
      </x:c>
      <x:c r="E348" s="75" t="str">
        <x:f>IF(ABS('Wave Authority'!G25-INDEX('Fiscal Accounts'!$C$6:$C$10,MATCH('Wave Authority'!B25,'Fiscal Accounts'!$A$6:$A$10,0))*'Wave Authority'!F25)&lt;0.0001,"PASS","FAIL")</x:f>
        <x:v>PASS</x:v>
      </x:c>
      <x:c r="F348" s="75"/>
      <x:c r="G348" s="75"/>
      <x:c r="H348" s="75"/>
      <x:c r="I348" s="75"/>
      <x:c r="J348" s="75"/>
      <x:c r="K348" s="75"/>
      <x:c r="L348" s="75"/>
      <x:c r="M348" s="75"/>
      <x:c r="N348" s="75"/>
      <x:c r="O348" s="75"/>
      <x:c r="P348" s="75"/>
      <x:c r="Q348" s="75"/>
      <x:c r="R348" s="75"/>
      <x:c r="S348" s="75"/>
      <x:c r="T348" s="75"/>
      <x:c r="U348" s="75"/>
      <x:c r="V348" s="75"/>
      <x:c r="W348" s="75"/>
      <x:c r="X348" s="75"/>
      <x:c r="Y348" s="75"/>
      <x:c r="Z348" s="75"/>
    </x:row>
    <x:row r="349" ht="20" customHeight="1">
      <x:c r="A349" s="75" t="str">
        <x:v>WV-21</x:v>
      </x:c>
      <x:c r="B349" s="86" t="str">
        <x:v>Account-wave multiplication</x:v>
      </x:c>
      <x:c r="C349" s="75" t="str">
        <x:v>Wave Authority!G26</x:v>
      </x:c>
      <x:c r="D349" s="75" t="str">
        <x:v>FORMULA</x:v>
      </x:c>
      <x:c r="E349" s="75" t="str">
        <x:f>IF(ABS('Wave Authority'!G26-INDEX('Fiscal Accounts'!$C$6:$C$10,MATCH('Wave Authority'!B26,'Fiscal Accounts'!$A$6:$A$10,0))*'Wave Authority'!F26)&lt;0.0001,"PASS","FAIL")</x:f>
        <x:v>PASS</x:v>
      </x:c>
      <x:c r="F349" s="75"/>
      <x:c r="G349" s="75"/>
      <x:c r="H349" s="75"/>
      <x:c r="I349" s="75"/>
      <x:c r="J349" s="75"/>
      <x:c r="K349" s="75"/>
      <x:c r="L349" s="75"/>
      <x:c r="M349" s="75"/>
      <x:c r="N349" s="75"/>
      <x:c r="O349" s="75"/>
      <x:c r="P349" s="75"/>
      <x:c r="Q349" s="75"/>
      <x:c r="R349" s="75"/>
      <x:c r="S349" s="75"/>
      <x:c r="T349" s="75"/>
      <x:c r="U349" s="75"/>
      <x:c r="V349" s="75"/>
      <x:c r="W349" s="75"/>
      <x:c r="X349" s="75"/>
      <x:c r="Y349" s="75"/>
      <x:c r="Z349" s="75"/>
    </x:row>
    <x:row r="350" ht="20" customHeight="1">
      <x:c r="A350" s="75" t="str">
        <x:v>WV-22</x:v>
      </x:c>
      <x:c r="B350" s="86" t="str">
        <x:v>Account-wave multiplication</x:v>
      </x:c>
      <x:c r="C350" s="75" t="str">
        <x:v>Wave Authority!G27</x:v>
      </x:c>
      <x:c r="D350" s="75" t="str">
        <x:v>FORMULA</x:v>
      </x:c>
      <x:c r="E350" s="75" t="str">
        <x:f>IF(ABS('Wave Authority'!G27-INDEX('Fiscal Accounts'!$C$6:$C$10,MATCH('Wave Authority'!B27,'Fiscal Accounts'!$A$6:$A$10,0))*'Wave Authority'!F27)&lt;0.0001,"PASS","FAIL")</x:f>
        <x:v>PASS</x:v>
      </x:c>
      <x:c r="F350" s="75"/>
      <x:c r="G350" s="75"/>
      <x:c r="H350" s="75"/>
      <x:c r="I350" s="75"/>
      <x:c r="J350" s="75"/>
      <x:c r="K350" s="75"/>
      <x:c r="L350" s="75"/>
      <x:c r="M350" s="75"/>
      <x:c r="N350" s="75"/>
      <x:c r="O350" s="75"/>
      <x:c r="P350" s="75"/>
      <x:c r="Q350" s="75"/>
      <x:c r="R350" s="75"/>
      <x:c r="S350" s="75"/>
      <x:c r="T350" s="75"/>
      <x:c r="U350" s="75"/>
      <x:c r="V350" s="75"/>
      <x:c r="W350" s="75"/>
      <x:c r="X350" s="75"/>
      <x:c r="Y350" s="75"/>
      <x:c r="Z350" s="75"/>
    </x:row>
    <x:row r="351" ht="20" customHeight="1">
      <x:c r="A351" s="75" t="str">
        <x:v>WV-23</x:v>
      </x:c>
      <x:c r="B351" s="86" t="str">
        <x:v>Account-wave multiplication</x:v>
      </x:c>
      <x:c r="C351" s="75" t="str">
        <x:v>Wave Authority!G28</x:v>
      </x:c>
      <x:c r="D351" s="75" t="str">
        <x:v>FORMULA</x:v>
      </x:c>
      <x:c r="E351" s="75" t="str">
        <x:f>IF(ABS('Wave Authority'!G28-INDEX('Fiscal Accounts'!$C$6:$C$10,MATCH('Wave Authority'!B28,'Fiscal Accounts'!$A$6:$A$10,0))*'Wave Authority'!F28)&lt;0.0001,"PASS","FAIL")</x:f>
        <x:v>PASS</x:v>
      </x:c>
      <x:c r="F351" s="75"/>
      <x:c r="G351" s="75"/>
      <x:c r="H351" s="75"/>
      <x:c r="I351" s="75"/>
      <x:c r="J351" s="75"/>
      <x:c r="K351" s="75"/>
      <x:c r="L351" s="75"/>
      <x:c r="M351" s="75"/>
      <x:c r="N351" s="75"/>
      <x:c r="O351" s="75"/>
      <x:c r="P351" s="75"/>
      <x:c r="Q351" s="75"/>
      <x:c r="R351" s="75"/>
      <x:c r="S351" s="75"/>
      <x:c r="T351" s="75"/>
      <x:c r="U351" s="75"/>
      <x:c r="V351" s="75"/>
      <x:c r="W351" s="75"/>
      <x:c r="X351" s="75"/>
      <x:c r="Y351" s="75"/>
      <x:c r="Z351" s="75"/>
    </x:row>
    <x:row r="352" ht="20" customHeight="1">
      <x:c r="A352" s="75" t="str">
        <x:v>WV-24</x:v>
      </x:c>
      <x:c r="B352" s="86" t="str">
        <x:v>Account-wave multiplication</x:v>
      </x:c>
      <x:c r="C352" s="75" t="str">
        <x:v>Wave Authority!G29</x:v>
      </x:c>
      <x:c r="D352" s="75" t="str">
        <x:v>FORMULA</x:v>
      </x:c>
      <x:c r="E352" s="75" t="str">
        <x:f>IF(ABS('Wave Authority'!G29-INDEX('Fiscal Accounts'!$C$6:$C$10,MATCH('Wave Authority'!B29,'Fiscal Accounts'!$A$6:$A$10,0))*'Wave Authority'!F29)&lt;0.0001,"PASS","FAIL")</x:f>
        <x:v>PASS</x:v>
      </x:c>
      <x:c r="F352" s="75"/>
      <x:c r="G352" s="75"/>
      <x:c r="H352" s="75"/>
      <x:c r="I352" s="75"/>
      <x:c r="J352" s="75"/>
      <x:c r="K352" s="75"/>
      <x:c r="L352" s="75"/>
      <x:c r="M352" s="75"/>
      <x:c r="N352" s="75"/>
      <x:c r="O352" s="75"/>
      <x:c r="P352" s="75"/>
      <x:c r="Q352" s="75"/>
      <x:c r="R352" s="75"/>
      <x:c r="S352" s="75"/>
      <x:c r="T352" s="75"/>
      <x:c r="U352" s="75"/>
      <x:c r="V352" s="75"/>
      <x:c r="W352" s="75"/>
      <x:c r="X352" s="75"/>
      <x:c r="Y352" s="75"/>
      <x:c r="Z352" s="75"/>
    </x:row>
    <x:row r="353" ht="20" customHeight="1">
      <x:c r="A353" s="75" t="str">
        <x:v>WV-25</x:v>
      </x:c>
      <x:c r="B353" s="86" t="str">
        <x:v>Account-wave multiplication</x:v>
      </x:c>
      <x:c r="C353" s="75" t="str">
        <x:v>Wave Authority!G30</x:v>
      </x:c>
      <x:c r="D353" s="75" t="str">
        <x:v>FORMULA</x:v>
      </x:c>
      <x:c r="E353" s="75" t="str">
        <x:f>IF(ABS('Wave Authority'!G30-INDEX('Fiscal Accounts'!$C$6:$C$10,MATCH('Wave Authority'!B30,'Fiscal Accounts'!$A$6:$A$10,0))*'Wave Authority'!F30)&lt;0.0001,"PASS","FAIL")</x:f>
        <x:v>PASS</x:v>
      </x:c>
      <x:c r="F353" s="75"/>
      <x:c r="G353" s="75"/>
      <x:c r="H353" s="75"/>
      <x:c r="I353" s="75"/>
      <x:c r="J353" s="75"/>
      <x:c r="K353" s="75"/>
      <x:c r="L353" s="75"/>
      <x:c r="M353" s="75"/>
      <x:c r="N353" s="75"/>
      <x:c r="O353" s="75"/>
      <x:c r="P353" s="75"/>
      <x:c r="Q353" s="75"/>
      <x:c r="R353" s="75"/>
      <x:c r="S353" s="75"/>
      <x:c r="T353" s="75"/>
      <x:c r="U353" s="75"/>
      <x:c r="V353" s="75"/>
      <x:c r="W353" s="75"/>
      <x:c r="X353" s="75"/>
      <x:c r="Y353" s="75"/>
      <x:c r="Z353" s="75"/>
    </x:row>
    <x:row r="354" ht="20" customHeight="1">
      <x:c r="A354" s="75" t="str">
        <x:v>P184-1</x:v>
      </x:c>
      <x:c r="B354" s="86" t="str">
        <x:v>Pass 184 nested value</x:v>
      </x:c>
      <x:c r="C354" s="75" t="str">
        <x:v>Pass184 Reconcile!D6</x:v>
      </x:c>
      <x:c r="D354" s="75" t="n">
        <x:v>17.2</x:v>
      </x:c>
      <x:c r="E354" s="75" t="str">
        <x:f>IF(ABS('Pass184 Reconcile'!D6-17.2)&lt;0.0001,"PASS","FAIL")</x:f>
        <x:v>PASS</x:v>
      </x:c>
      <x:c r="F354" s="75"/>
      <x:c r="G354" s="75"/>
      <x:c r="H354" s="75"/>
      <x:c r="I354" s="75"/>
      <x:c r="J354" s="75"/>
      <x:c r="K354" s="75"/>
      <x:c r="L354" s="75"/>
      <x:c r="M354" s="75"/>
      <x:c r="N354" s="75"/>
      <x:c r="O354" s="75"/>
      <x:c r="P354" s="75"/>
      <x:c r="Q354" s="75"/>
      <x:c r="R354" s="75"/>
      <x:c r="S354" s="75"/>
      <x:c r="T354" s="75"/>
      <x:c r="U354" s="75"/>
      <x:c r="V354" s="75"/>
      <x:c r="W354" s="75"/>
      <x:c r="X354" s="75"/>
      <x:c r="Y354" s="75"/>
      <x:c r="Z354" s="75"/>
    </x:row>
    <x:row r="355" ht="20" customHeight="1">
      <x:c r="A355" s="75" t="str">
        <x:v>P184-2</x:v>
      </x:c>
      <x:c r="B355" s="86" t="str">
        <x:v>Pass 184 nested value</x:v>
      </x:c>
      <x:c r="C355" s="75" t="str">
        <x:v>Pass184 Reconcile!D7</x:v>
      </x:c>
      <x:c r="D355" s="75" t="n">
        <x:v>12.9</x:v>
      </x:c>
      <x:c r="E355" s="75" t="str">
        <x:f>IF(ABS('Pass184 Reconcile'!D7-12.9)&lt;0.0001,"PASS","FAIL")</x:f>
        <x:v>PASS</x:v>
      </x:c>
      <x:c r="F355" s="75"/>
      <x:c r="G355" s="75"/>
      <x:c r="H355" s="75"/>
      <x:c r="I355" s="75"/>
      <x:c r="J355" s="75"/>
      <x:c r="K355" s="75"/>
      <x:c r="L355" s="75"/>
      <x:c r="M355" s="75"/>
      <x:c r="N355" s="75"/>
      <x:c r="O355" s="75"/>
      <x:c r="P355" s="75"/>
      <x:c r="Q355" s="75"/>
      <x:c r="R355" s="75"/>
      <x:c r="S355" s="75"/>
      <x:c r="T355" s="75"/>
      <x:c r="U355" s="75"/>
      <x:c r="V355" s="75"/>
      <x:c r="W355" s="75"/>
      <x:c r="X355" s="75"/>
      <x:c r="Y355" s="75"/>
      <x:c r="Z355" s="75"/>
    </x:row>
    <x:row r="356" ht="20" customHeight="1">
      <x:c r="A356" s="75" t="str">
        <x:v>P184-3</x:v>
      </x:c>
      <x:c r="B356" s="86" t="str">
        <x:v>Pass 184 nested value</x:v>
      </x:c>
      <x:c r="C356" s="75" t="str">
        <x:v>Pass184 Reconcile!D8</x:v>
      </x:c>
      <x:c r="D356" s="75" t="n">
        <x:v>8.6</x:v>
      </x:c>
      <x:c r="E356" s="75" t="str">
        <x:f>IF(ABS('Pass184 Reconcile'!D8-8.6)&lt;0.0001,"PASS","FAIL")</x:f>
        <x:v>PASS</x:v>
      </x:c>
      <x:c r="F356" s="75"/>
      <x:c r="G356" s="75"/>
      <x:c r="H356" s="75"/>
      <x:c r="I356" s="75"/>
      <x:c r="J356" s="75"/>
      <x:c r="K356" s="75"/>
      <x:c r="L356" s="75"/>
      <x:c r="M356" s="75"/>
      <x:c r="N356" s="75"/>
      <x:c r="O356" s="75"/>
      <x:c r="P356" s="75"/>
      <x:c r="Q356" s="75"/>
      <x:c r="R356" s="75"/>
      <x:c r="S356" s="75"/>
      <x:c r="T356" s="75"/>
      <x:c r="U356" s="75"/>
      <x:c r="V356" s="75"/>
      <x:c r="W356" s="75"/>
      <x:c r="X356" s="75"/>
      <x:c r="Y356" s="75"/>
      <x:c r="Z356" s="75"/>
    </x:row>
    <x:row r="357" ht="20" customHeight="1">
      <x:c r="A357" s="75" t="str">
        <x:v>P184-4</x:v>
      </x:c>
      <x:c r="B357" s="86" t="str">
        <x:v>Pass 184 nested value</x:v>
      </x:c>
      <x:c r="C357" s="75" t="str">
        <x:v>Pass184 Reconcile!D9</x:v>
      </x:c>
      <x:c r="D357" s="75" t="n">
        <x:v>4.3</x:v>
      </x:c>
      <x:c r="E357" s="75" t="str">
        <x:f>IF(ABS('Pass184 Reconcile'!D9-4.3)&lt;0.0001,"PASS","FAIL")</x:f>
        <x:v>PASS</x:v>
      </x:c>
      <x:c r="F357" s="75"/>
      <x:c r="G357" s="75"/>
      <x:c r="H357" s="75"/>
      <x:c r="I357" s="75"/>
      <x:c r="J357" s="75"/>
      <x:c r="K357" s="75"/>
      <x:c r="L357" s="75"/>
      <x:c r="M357" s="75"/>
      <x:c r="N357" s="75"/>
      <x:c r="O357" s="75"/>
      <x:c r="P357" s="75"/>
      <x:c r="Q357" s="75"/>
      <x:c r="R357" s="75"/>
      <x:c r="S357" s="75"/>
      <x:c r="T357" s="75"/>
      <x:c r="U357" s="75"/>
      <x:c r="V357" s="75"/>
      <x:c r="W357" s="75"/>
      <x:c r="X357" s="75"/>
      <x:c r="Y357" s="75"/>
      <x:c r="Z357" s="75"/>
    </x:row>
    <x:row r="358" ht="20" customHeight="1">
      <x:c r="A358" s="75" t="str">
        <x:v>CA-01</x:v>
      </x:c>
      <x:c r="B358" s="86" t="str">
        <x:v>Selected architecture passes all gates</x:v>
      </x:c>
      <x:c r="C358" s="75" t="str">
        <x:v>Architecture!M10</x:v>
      </x:c>
      <x:c r="D358" s="75" t="n">
        <x:v>10</x:v>
      </x:c>
      <x:c r="E358" s="75" t="str">
        <x:f>IF('Architecture'!M10=10,"PASS","FAIL")</x:f>
        <x:v>PASS</x:v>
      </x:c>
      <x:c r="F358" s="75"/>
      <x:c r="G358" s="75"/>
      <x:c r="H358" s="75"/>
      <x:c r="I358" s="75"/>
      <x:c r="J358" s="75"/>
      <x:c r="K358" s="75"/>
      <x:c r="L358" s="75"/>
      <x:c r="M358" s="75"/>
      <x:c r="N358" s="75"/>
      <x:c r="O358" s="75"/>
      <x:c r="P358" s="75"/>
      <x:c r="Q358" s="75"/>
      <x:c r="R358" s="75"/>
      <x:c r="S358" s="75"/>
      <x:c r="T358" s="75"/>
      <x:c r="U358" s="75"/>
      <x:c r="V358" s="75"/>
      <x:c r="W358" s="75"/>
      <x:c r="X358" s="75"/>
      <x:c r="Y358" s="75"/>
      <x:c r="Z358" s="75"/>
    </x:row>
    <x:row r="359" ht="20" customHeight="1">
      <x:c r="A359" s="75" t="str">
        <x:v>CA-02</x:v>
      </x:c>
      <x:c r="B359" s="86" t="str">
        <x:v>Only one architecture is eligible</x:v>
      </x:c>
      <x:c r="C359" s="75" t="str">
        <x:v>Architecture!N6:N10</x:v>
      </x:c>
      <x:c r="D359" s="75" t="str">
        <x:v>ONE ELIGIBLE</x:v>
      </x:c>
      <x:c r="E359" s="75" t="str">
        <x:f>IF(COUNTIFS('Architecture'!N6:N10,"ELIGIBLE")=1,"PASS","FAIL")</x:f>
        <x:v>PASS</x:v>
      </x:c>
      <x:c r="F359" s="75"/>
      <x:c r="G359" s="75"/>
      <x:c r="H359" s="75"/>
      <x:c r="I359" s="75"/>
      <x:c r="J359" s="75"/>
      <x:c r="K359" s="75"/>
      <x:c r="L359" s="75"/>
      <x:c r="M359" s="75"/>
      <x:c r="N359" s="75"/>
      <x:c r="O359" s="75"/>
      <x:c r="P359" s="75"/>
      <x:c r="Q359" s="75"/>
      <x:c r="R359" s="75"/>
      <x:c r="S359" s="75"/>
      <x:c r="T359" s="75"/>
      <x:c r="U359" s="75"/>
      <x:c r="V359" s="75"/>
      <x:c r="W359" s="75"/>
      <x:c r="X359" s="75"/>
      <x:c r="Y359" s="75"/>
      <x:c r="Z359" s="75"/>
    </x:row>
    <x:row r="360" ht="20" customHeight="1">
      <x:c r="A360" s="75" t="str">
        <x:v>CA-03</x:v>
      </x:c>
      <x:c r="B360" s="86" t="str">
        <x:v>Warrant shares conserve mission authority</x:v>
      </x:c>
      <x:c r="C360" s="75" t="str">
        <x:v>Capability States!I18</x:v>
      </x:c>
      <x:c r="D360" s="75" t="n">
        <x:v>1</x:v>
      </x:c>
      <x:c r="E360" s="75" t="str">
        <x:f>IF(ABS('Capability States'!I18-1)&lt;0.0001,"PASS","FAIL")</x:f>
        <x:v>PASS</x:v>
      </x:c>
      <x:c r="F360" s="75"/>
      <x:c r="G360" s="75"/>
      <x:c r="H360" s="75"/>
      <x:c r="I360" s="75"/>
      <x:c r="J360" s="75"/>
      <x:c r="K360" s="75"/>
      <x:c r="L360" s="75"/>
      <x:c r="M360" s="75"/>
      <x:c r="N360" s="75"/>
      <x:c r="O360" s="75"/>
      <x:c r="P360" s="75"/>
      <x:c r="Q360" s="75"/>
      <x:c r="R360" s="75"/>
      <x:c r="S360" s="75"/>
      <x:c r="T360" s="75"/>
      <x:c r="U360" s="75"/>
      <x:c r="V360" s="75"/>
      <x:c r="W360" s="75"/>
      <x:c r="X360" s="75"/>
      <x:c r="Y360" s="75"/>
      <x:c r="Z360" s="75"/>
    </x:row>
    <x:row r="361" ht="20" customHeight="1">
      <x:c r="A361" s="75" t="str">
        <x:v>CA-04</x:v>
      </x:c>
      <x:c r="B361" s="86" t="str">
        <x:v>Rounded root allocations reconcile to published system detail</x:v>
      </x:c>
      <x:c r="C361" s="75" t="str">
        <x:v>Root Registry!G6:G29</x:v>
      </x:c>
      <x:c r="D361" s="75" t="n">
        <x:v>549.9</x:v>
      </x:c>
      <x:c r="E361" s="75" t="str">
        <x:f>IF(ABS(SUM('Root Registry'!G6:G29)-549.9)&lt;0.0001,"PASS","FAIL")</x:f>
        <x:v>PASS</x:v>
      </x:c>
      <x:c r="F361" s="75"/>
      <x:c r="G361" s="75"/>
      <x:c r="H361" s="75"/>
      <x:c r="I361" s="75"/>
      <x:c r="J361" s="75"/>
      <x:c r="K361" s="75"/>
      <x:c r="L361" s="75"/>
      <x:c r="M361" s="75"/>
      <x:c r="N361" s="75"/>
      <x:c r="O361" s="75"/>
      <x:c r="P361" s="75"/>
      <x:c r="Q361" s="75"/>
      <x:c r="R361" s="75"/>
      <x:c r="S361" s="75"/>
      <x:c r="T361" s="75"/>
      <x:c r="U361" s="75"/>
      <x:c r="V361" s="75"/>
      <x:c r="W361" s="75"/>
      <x:c r="X361" s="75"/>
      <x:c r="Y361" s="75"/>
      <x:c r="Z361" s="75"/>
    </x:row>
    <x:row r="362" ht="20" customHeight="1">
      <x:c r="A362" s="75" t="str">
        <x:v>CA-05</x:v>
      </x:c>
      <x:c r="B362" s="86" t="str">
        <x:v>Exclusive accounts conserve program authority</x:v>
      </x:c>
      <x:c r="C362" s="75" t="str">
        <x:v>Fiscal Accounts!C12</x:v>
      </x:c>
      <x:c r="D362" s="75" t="n">
        <x:v>1000</x:v>
      </x:c>
      <x:c r="E362" s="75" t="str">
        <x:f>IF(ABS('Fiscal Accounts'!C12-1000)&lt;0.0001,"PASS","FAIL")</x:f>
        <x:v>PASS</x:v>
      </x:c>
      <x:c r="F362" s="75"/>
      <x:c r="G362" s="75"/>
      <x:c r="H362" s="75"/>
      <x:c r="I362" s="75"/>
      <x:c r="J362" s="75"/>
      <x:c r="K362" s="75"/>
      <x:c r="L362" s="75"/>
      <x:c r="M362" s="75"/>
      <x:c r="N362" s="75"/>
      <x:c r="O362" s="75"/>
      <x:c r="P362" s="75"/>
      <x:c r="Q362" s="75"/>
      <x:c r="R362" s="75"/>
      <x:c r="S362" s="75"/>
      <x:c r="T362" s="75"/>
      <x:c r="U362" s="75"/>
      <x:c r="V362" s="75"/>
      <x:c r="W362" s="75"/>
      <x:c r="X362" s="75"/>
      <x:c r="Y362" s="75"/>
      <x:c r="Z362" s="75"/>
    </x:row>
    <x:row r="363" ht="20" customHeight="1">
      <x:c r="A363" s="75" t="str">
        <x:v>CA-06</x:v>
      </x:c>
      <x:c r="B363" s="86" t="str">
        <x:v>Account-wave records conserve program authority</x:v>
      </x:c>
      <x:c r="C363" s="75" t="str">
        <x:v>Wave Authority!G6:G30</x:v>
      </x:c>
      <x:c r="D363" s="75" t="n">
        <x:v>1000</x:v>
      </x:c>
      <x:c r="E363" s="75" t="str">
        <x:f>IF(ABS(SUM('Wave Authority'!G6:G30)-1000)&lt;0.0001,"PASS","FAIL")</x:f>
        <x:v>PASS</x:v>
      </x:c>
      <x:c r="F363" s="75"/>
      <x:c r="G363" s="75"/>
      <x:c r="H363" s="75"/>
      <x:c r="I363" s="75"/>
      <x:c r="J363" s="75"/>
      <x:c r="K363" s="75"/>
      <x:c r="L363" s="75"/>
      <x:c r="M363" s="75"/>
      <x:c r="N363" s="75"/>
      <x:c r="O363" s="75"/>
      <x:c r="P363" s="75"/>
      <x:c r="Q363" s="75"/>
      <x:c r="R363" s="75"/>
      <x:c r="S363" s="75"/>
      <x:c r="T363" s="75"/>
      <x:c r="U363" s="75"/>
      <x:c r="V363" s="75"/>
      <x:c r="W363" s="75"/>
      <x:c r="X363" s="75"/>
      <x:c r="Y363" s="75"/>
      <x:c r="Z363" s="75"/>
    </x:row>
    <x:row r="364" ht="20" customHeight="1">
      <x:c r="A364" s="75" t="str">
        <x:v>CA-07</x:v>
      </x:c>
      <x:c r="B364" s="86" t="str">
        <x:v>Innovation programs conserve sovereign technical authority</x:v>
      </x:c>
      <x:c r="C364" s="75" t="str">
        <x:v>Innovation Program!E23</x:v>
      </x:c>
      <x:c r="D364" s="75" t="n">
        <x:v>100</x:v>
      </x:c>
      <x:c r="E364" s="75" t="str">
        <x:f>IF(ABS('Innovation Program'!E23-100)&lt;0.0001,"PASS","FAIL")</x:f>
        <x:v>PASS</x:v>
      </x:c>
      <x:c r="F364" s="75"/>
      <x:c r="G364" s="75"/>
      <x:c r="H364" s="75"/>
      <x:c r="I364" s="75"/>
      <x:c r="J364" s="75"/>
      <x:c r="K364" s="75"/>
      <x:c r="L364" s="75"/>
      <x:c r="M364" s="75"/>
      <x:c r="N364" s="75"/>
      <x:c r="O364" s="75"/>
      <x:c r="P364" s="75"/>
      <x:c r="Q364" s="75"/>
      <x:c r="R364" s="75"/>
      <x:c r="S364" s="75"/>
      <x:c r="T364" s="75"/>
      <x:c r="U364" s="75"/>
      <x:c r="V364" s="75"/>
      <x:c r="W364" s="75"/>
      <x:c r="X364" s="75"/>
      <x:c r="Y364" s="75"/>
      <x:c r="Z364" s="75"/>
    </x:row>
    <x:row r="365" ht="20" customHeight="1">
      <x:c r="A365" s="75" t="str">
        <x:v>CA-08</x:v>
      </x:c>
      <x:c r="B365" s="86" t="str">
        <x:v>All separation records begin source-empty</x:v>
      </x:c>
      <x:c r="C365" s="75" t="str">
        <x:v>Separation Matrix!G6:G25</x:v>
      </x:c>
      <x:c r="D365" s="75" t="str">
        <x:v>20 SOURCE EMPTY</x:v>
      </x:c>
      <x:c r="E365" s="75" t="str">
        <x:f>IF(COUNTIFS('Separation Matrix'!G6:G25,"SOURCE EMPTY")=20,"PASS","FAIL")</x:f>
        <x:v>PASS</x:v>
      </x:c>
      <x:c r="F365" s="75"/>
      <x:c r="G365" s="75"/>
      <x:c r="H365" s="75"/>
      <x:c r="I365" s="75"/>
      <x:c r="J365" s="75"/>
      <x:c r="K365" s="75"/>
      <x:c r="L365" s="75"/>
      <x:c r="M365" s="75"/>
      <x:c r="N365" s="75"/>
      <x:c r="O365" s="75"/>
      <x:c r="P365" s="75"/>
      <x:c r="Q365" s="75"/>
      <x:c r="R365" s="75"/>
      <x:c r="S365" s="75"/>
      <x:c r="T365" s="75"/>
      <x:c r="U365" s="75"/>
      <x:c r="V365" s="75"/>
      <x:c r="W365" s="75"/>
      <x:c r="X365" s="75"/>
      <x:c r="Y365" s="75"/>
      <x:c r="Z365" s="75"/>
    </x:row>
  </x:sheetData>
  <x:conditionalFormatting sqref="E6:E365">
    <x:cfRule type="containsText" dxfId="7" priority="1" operator="containsText" text="FAIL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100" hidden="0" customWidth="1"/>
    <x:col min="4" max="4" width="66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Internal sources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No external-site research is introduced in Pass 185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4" customHeight="1">
      <x:c r="A5" s="37" t="str">
        <x:v>Source ID</x:v>
      </x:c>
      <x:c r="B5" s="38" t="str">
        <x:v>Title</x:v>
      </x:c>
      <x:c r="C5" s="38" t="str">
        <x:v>Repository path</x:v>
      </x:c>
      <x:c r="D5" s="39" t="str">
        <x:v>Claims used</x:v>
      </x:c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36" customHeight="1">
      <x:c r="A6" s="75" t="str">
        <x:v>S-01</x:v>
      </x:c>
      <x:c r="B6" s="86" t="str">
        <x:v>Pass 184 proving service return</x:v>
      </x:c>
      <x:c r="C6" s="86" t="str">
        <x:v>research/force/generation/department-of-resilience-proving-service-and-synchronized-proof-wave-return.md</x:v>
      </x:c>
      <x:c r="D6" s="86" t="str">
        <x:v>RPS warrants, stations, lanes and USD 43.0B crosswalk</x:v>
      </x:c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36" customHeight="1">
      <x:c r="A7" s="75" t="str">
        <x:v>S-02</x:v>
      </x:c>
      <x:c r="B7" s="86" t="str">
        <x:v>Pass 175 root diversity constitution</x:v>
      </x:c>
      <x:c r="C7" s="86" t="str">
        <x:v>research/force/generation/department-of-resilience-twenty-four-root-diversity-and-g3-technical-freeze-constitution.md</x:v>
      </x:c>
      <x:c r="D7" s="86" t="str">
        <x:v>Twenty-four root theses and exclusive ancestry</x:v>
      </x:c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36" customHeight="1">
      <x:c r="A8" s="75" t="str">
        <x:v>S-03</x:v>
      </x:c>
      <x:c r="B8" s="86" t="str">
        <x:v>Pass 171 coupled wavefront</x:v>
      </x:c>
      <x:c r="C8" s="86" t="str">
        <x:v>research/force/generation/department-of-resilience-six-mission-system-coupled-development-wavefront-and-joint-demonstrator-constitution.md</x:v>
      </x:c>
      <x:c r="D8" s="86" t="str">
        <x:v>Five waves and USD 1.00T authority</x:v>
      </x:c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36" customHeight="1">
      <x:c r="A9" s="75" t="str">
        <x:v>S-04</x:v>
      </x:c>
      <x:c r="B9" s="86" t="str">
        <x:v>Pass 168 mission-system topology</x:v>
      </x:c>
      <x:c r="C9" s="86" t="str">
        <x:v>research/force/generation/department-of-resilience-six-mission-system-portfolio-topology-and-technology-competition-constitution.md</x:v>
      </x:c>
      <x:c r="D9" s="86" t="str">
        <x:v>Six systems and USD 550B allocations</x:v>
      </x:c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36" customHeight="1">
      <x:c r="A10" s="75" t="str">
        <x:v>S-05</x:v>
      </x:c>
      <x:c r="B10" s="86" t="str">
        <x:v>Pass 166 appropriation constitution</x:v>
      </x:c>
      <x:c r="C10" s="86" t="str">
        <x:v>research/force/generation/department-of-resilience-joint-mission-system-appropriation-reservation-and-accountability-constitution.md</x:v>
      </x:c>
      <x:c r="D10" s="86" t="str">
        <x:v>Five exclusive accounts and anti-double-counting</x:v>
      </x:c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36" customHeight="1">
      <x:c r="A11" s="75" t="str">
        <x:v>S-06</x:v>
      </x:c>
      <x:c r="B11" s="86" t="str">
        <x:v>Department force architecture</x:v>
      </x:c>
      <x:c r="C11" s="86" t="str">
        <x:v>research/force/force-architecture.md</x:v>
      </x:c>
      <x:c r="D11" s="86" t="str">
        <x:v>Services, effects, commands, components and readiness</x:v>
      </x:c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36" customHeight="1">
      <x:c r="A12" s="75" t="str">
        <x:v>S-07</x:v>
      </x:c>
      <x:c r="B12" s="86" t="str">
        <x:v>Department institutional architecture</x:v>
      </x:c>
      <x:c r="C12" s="86" t="str">
        <x:v>research/mandate/department-of-resilience.md</x:v>
      </x:c>
      <x:c r="D12" s="86" t="str">
        <x:v>Civil sovereignty, parity and mature establishment</x:v>
      </x:c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36" customHeight="1">
      <x:c r="A13" s="75" t="str">
        <x:v>S-08</x:v>
      </x:c>
      <x:c r="B13" s="86" t="str">
        <x:v>All-six exchange grammar</x:v>
      </x:c>
      <x:c r="C13" s="86" t="str">
        <x:v>research/force/generation/department-of-resilience-all-six-service-contract-vector-and-mission-exchange-grammar-constitution.md</x:v>
      </x:c>
      <x:c r="D13" s="86" t="str">
        <x:v>Typed, locally verifiable inter-system transactions</x:v>
      </x:c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7B8794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 t="str">
        <x:v>Workbook method and limits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Pass 185 capability-warrant state machine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0" customHeight="1">
      <x:c r="A6" s="37" t="str">
        <x:v>Topic</x:v>
      </x:c>
      <x:c r="B6" s="39" t="str">
        <x:v>Meaning</x:v>
      </x:c>
      <x:c r="C6" s="75"/>
      <x:c r="D6" s="75"/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0" customHeight="1">
      <x:c r="A7" s="75" t="str">
        <x:v>Decision</x:v>
      </x:c>
      <x:c r="B7" s="86" t="str">
        <x:v>Tests whether the Department should integrate its industrial economy through one hierarchy or a constitutional matrix.</x:v>
      </x:c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0" customHeight="1">
      <x:c r="A8" s="75" t="str">
        <x:v>State model</x:v>
      </x:c>
      <x:c r="B8" s="86" t="str">
        <x:v>A root advances through twelve serial warrants. No later state is inferred from inventory, spending, positive evidence or urgency.</x:v>
      </x:c>
      <x:c r="C8" s="75"/>
      <x:c r="D8" s="75"/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0" customHeight="1">
      <x:c r="A9" s="75" t="str">
        <x:v>Editable fields</x:v>
      </x:c>
      <x:c r="B9" s="86" t="str">
        <x:v>Yellow cells are source identities, decisions or controlled planning values. They begin empty except inherited authority controls.</x:v>
      </x:c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0" customHeight="1">
      <x:c r="A10" s="75" t="str">
        <x:v>Source-empty</x:v>
      </x:c>
      <x:c r="B10" s="86" t="str">
        <x:v>No commission, root house, service bundle, issuer, evidence, release or acceptance identity has been observed.</x:v>
      </x:c>
      <x:c r="C10" s="75"/>
      <x:c r="D10" s="75"/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0" customHeight="1">
      <x:c r="A11" s="75" t="str">
        <x:v>Financial scope</x:v>
      </x:c>
      <x:c r="B11" s="86" t="str">
        <x:v>USD 1.00T is a constant-2026-dollar, undiscounted technology and proving envelope. Executor views are not additive appropriations.</x:v>
      </x:c>
      <x:c r="C11" s="75"/>
      <x:c r="D11" s="75"/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0" customHeight="1">
      <x:c r="A12" s="75" t="str">
        <x:v>Pass 184 nesting</x:v>
      </x:c>
      <x:c r="B12" s="86" t="str">
        <x:v>USD 43.0B is cross-classified to mission-system, sovereign-technical and failure-reserve accounts without adding money.</x:v>
      </x:c>
      <x:c r="C12" s="75"/>
      <x:c r="D12" s="75"/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0" customHeight="1">
      <x:c r="A13" s="75" t="str">
        <x:v>Adverse law</x:v>
      </x:c>
      <x:c r="B13" s="86" t="str">
        <x:v>Rollback removes dependent authority and readiness but retains the evidence. Keystone failure kills the lineage.</x:v>
      </x:c>
      <x:c r="C13" s="75"/>
      <x:c r="D13" s="75"/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20" customHeight="1">
      <x:c r="A14" s="75" t="str">
        <x:v>Audit design</x:v>
      </x:c>
      <x:c r="B14" s="86" t="str">
        <x:v>The Audit sheet is terminal. No output, build or state calculation depends on an audit result.</x:v>
      </x:c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20" customHeight="1">
      <x:c r="A15" s="75" t="str">
        <x:v>Mutation protocol</x:v>
      </x:c>
      <x:c r="B15" s="86" t="str">
        <x:v>Nineteen disposable changes test sequence, dual keys, capture, rollback, readiness, account conservation and restoration.</x:v>
      </x:c>
      <x:c r="C15" s="75"/>
      <x:c r="D15" s="75"/>
      <x:c r="E15" s="75"/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20" customHeight="1">
      <x:c r="A16" s="75" t="str">
        <x:v>Rendering</x:v>
      </x:c>
      <x:c r="B16" s="86" t="str">
        <x:v>Exterior vehicle rendering remains blocked. This workbook defines institutions, warrants and authority only.</x:v>
      </x:c>
      <x:c r="C16" s="75"/>
      <x:c r="D16" s="75"/>
      <x:c r="E16" s="75"/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</x:sheetData>
  <x:pageMargins left="0.7" right="0.7" top="0.75" bottom="0.75" header="0.3" footer="0.3"/>
</x:worksheet>
</file>